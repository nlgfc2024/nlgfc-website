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bookViews>
    <workbookView xWindow="0" yWindow="0" windowWidth="20325" windowHeight="9735" firstSheet="4" activeTab="4"/>
  </bookViews>
  <sheets>
    <sheet name="Sheet1" sheetId="1" state="hidden" r:id="rId1"/>
    <sheet name="Sheet2" sheetId="2" state="hidden" r:id="rId2"/>
    <sheet name="Sheet3" sheetId="3" state="hidden" r:id="rId3"/>
    <sheet name="Sheet5" sheetId="5" state="hidden" r:id="rId4"/>
    <sheet name="April Funding Publication" sheetId="6" r:id="rId5"/>
    <sheet name="Sheet1 (2)" sheetId="4" state="hidden" r:id="rId6"/>
  </sheets>
  <definedNames>
    <definedName name="_xlnm._FilterDatabase" localSheetId="5" hidden="1">'Sheet1 (2)'!$A$1:$Y$771</definedName>
    <definedName name="_xlnm.Print_Area" localSheetId="4">'April Funding Publication'!$B$2:$L$230</definedName>
  </definedNames>
  <calcPr calcId="152511"/>
  <pivotCaches>
    <pivotCache cacheId="10" r:id="rId7"/>
  </pivotCaches>
</workbook>
</file>

<file path=xl/calcChain.xml><?xml version="1.0" encoding="utf-8"?>
<calcChain xmlns="http://schemas.openxmlformats.org/spreadsheetml/2006/main">
  <c r="X771" i="4" l="1"/>
  <c r="Y771" i="4" s="1"/>
  <c r="W771" i="4"/>
  <c r="Y770" i="4"/>
  <c r="X770" i="4"/>
  <c r="W770" i="4"/>
  <c r="X769" i="4"/>
  <c r="Y769" i="4" s="1"/>
  <c r="W769" i="4"/>
  <c r="X768" i="4"/>
  <c r="Y768" i="4" s="1"/>
  <c r="W768" i="4"/>
  <c r="X767" i="4"/>
  <c r="Y767" i="4" s="1"/>
  <c r="W767" i="4"/>
  <c r="Y766" i="4"/>
  <c r="X766" i="4"/>
  <c r="W766" i="4"/>
  <c r="X765" i="4"/>
  <c r="Y765" i="4" s="1"/>
  <c r="W765" i="4"/>
  <c r="X764" i="4"/>
  <c r="Y764" i="4" s="1"/>
  <c r="W764" i="4"/>
  <c r="X763" i="4"/>
  <c r="Y763" i="4" s="1"/>
  <c r="W763" i="4"/>
  <c r="Y762" i="4"/>
  <c r="X762" i="4"/>
  <c r="W762" i="4"/>
  <c r="X761" i="4"/>
  <c r="Y761" i="4" s="1"/>
  <c r="W761" i="4"/>
  <c r="X760" i="4"/>
  <c r="Y760" i="4" s="1"/>
  <c r="W760" i="4"/>
  <c r="X759" i="4"/>
  <c r="Y759" i="4" s="1"/>
  <c r="W759" i="4"/>
  <c r="Y758" i="4"/>
  <c r="X758" i="4"/>
  <c r="W758" i="4"/>
  <c r="X757" i="4"/>
  <c r="Y757" i="4" s="1"/>
  <c r="W757" i="4"/>
  <c r="X756" i="4"/>
  <c r="Y756" i="4" s="1"/>
  <c r="W756" i="4"/>
  <c r="X755" i="4"/>
  <c r="Y755" i="4" s="1"/>
  <c r="W755" i="4"/>
  <c r="Y754" i="4"/>
  <c r="X754" i="4"/>
  <c r="W754" i="4"/>
  <c r="X753" i="4"/>
  <c r="Y753" i="4" s="1"/>
  <c r="W753" i="4"/>
  <c r="X752" i="4"/>
  <c r="Y752" i="4" s="1"/>
  <c r="W752" i="4"/>
  <c r="X751" i="4"/>
  <c r="Y751" i="4" s="1"/>
  <c r="W751" i="4"/>
  <c r="Y750" i="4"/>
  <c r="X750" i="4"/>
  <c r="W750" i="4"/>
  <c r="X749" i="4"/>
  <c r="Y749" i="4" s="1"/>
  <c r="W749" i="4"/>
  <c r="X748" i="4"/>
  <c r="Y748" i="4" s="1"/>
  <c r="W748" i="4"/>
  <c r="X747" i="4"/>
  <c r="Y747" i="4" s="1"/>
  <c r="W747" i="4"/>
  <c r="Y746" i="4"/>
  <c r="X746" i="4"/>
  <c r="W746" i="4"/>
  <c r="X745" i="4"/>
  <c r="Y745" i="4" s="1"/>
  <c r="W745" i="4"/>
  <c r="X744" i="4"/>
  <c r="Y744" i="4" s="1"/>
  <c r="W744" i="4"/>
  <c r="X743" i="4"/>
  <c r="Y743" i="4" s="1"/>
  <c r="W743" i="4"/>
  <c r="Y742" i="4"/>
  <c r="X742" i="4"/>
  <c r="W742" i="4"/>
  <c r="X741" i="4"/>
  <c r="Y741" i="4" s="1"/>
  <c r="W741" i="4"/>
  <c r="X740" i="4"/>
  <c r="Y740" i="4" s="1"/>
  <c r="W740" i="4"/>
  <c r="X739" i="4"/>
  <c r="Y739" i="4" s="1"/>
  <c r="W739" i="4"/>
  <c r="Y738" i="4"/>
  <c r="X738" i="4"/>
  <c r="W738" i="4"/>
  <c r="X737" i="4"/>
  <c r="Y737" i="4" s="1"/>
  <c r="W737" i="4"/>
  <c r="X736" i="4"/>
  <c r="Y736" i="4" s="1"/>
  <c r="W736" i="4"/>
  <c r="X735" i="4"/>
  <c r="Y735" i="4" s="1"/>
  <c r="W735" i="4"/>
  <c r="Y734" i="4"/>
  <c r="X734" i="4"/>
  <c r="W734" i="4"/>
  <c r="X733" i="4"/>
  <c r="Y733" i="4" s="1"/>
  <c r="W733" i="4"/>
  <c r="X732" i="4"/>
  <c r="Y732" i="4" s="1"/>
  <c r="W732" i="4"/>
  <c r="X731" i="4"/>
  <c r="Y731" i="4" s="1"/>
  <c r="W731" i="4"/>
  <c r="Y730" i="4"/>
  <c r="X730" i="4"/>
  <c r="W730" i="4"/>
  <c r="X729" i="4"/>
  <c r="Y729" i="4" s="1"/>
  <c r="W729" i="4"/>
  <c r="X728" i="4"/>
  <c r="Y728" i="4" s="1"/>
  <c r="W728" i="4"/>
  <c r="X727" i="4"/>
  <c r="Y727" i="4" s="1"/>
  <c r="W727" i="4"/>
  <c r="Y726" i="4"/>
  <c r="X726" i="4"/>
  <c r="W726" i="4"/>
  <c r="X725" i="4"/>
  <c r="Y725" i="4" s="1"/>
  <c r="W725" i="4"/>
  <c r="Y724" i="4"/>
  <c r="X724" i="4"/>
  <c r="W724" i="4"/>
  <c r="X723" i="4"/>
  <c r="Y723" i="4" s="1"/>
  <c r="W723" i="4"/>
  <c r="Y722" i="4"/>
  <c r="X722" i="4"/>
  <c r="W722" i="4"/>
  <c r="X721" i="4"/>
  <c r="Y721" i="4" s="1"/>
  <c r="W721" i="4"/>
  <c r="Y720" i="4"/>
  <c r="X720" i="4"/>
  <c r="W720" i="4"/>
  <c r="X719" i="4"/>
  <c r="Y719" i="4" s="1"/>
  <c r="W719" i="4"/>
  <c r="Y718" i="4"/>
  <c r="X718" i="4"/>
  <c r="W718" i="4"/>
  <c r="X717" i="4"/>
  <c r="Y717" i="4" s="1"/>
  <c r="W717" i="4"/>
  <c r="Y716" i="4"/>
  <c r="X716" i="4"/>
  <c r="W716" i="4"/>
  <c r="X715" i="4"/>
  <c r="Y715" i="4" s="1"/>
  <c r="W715" i="4"/>
  <c r="Y714" i="4"/>
  <c r="X714" i="4"/>
  <c r="W714" i="4"/>
  <c r="X713" i="4"/>
  <c r="Y713" i="4" s="1"/>
  <c r="W713" i="4"/>
  <c r="Y712" i="4"/>
  <c r="X712" i="4"/>
  <c r="W712" i="4"/>
  <c r="X711" i="4"/>
  <c r="Y711" i="4" s="1"/>
  <c r="W711" i="4"/>
  <c r="Y710" i="4"/>
  <c r="X710" i="4"/>
  <c r="W710" i="4"/>
  <c r="X709" i="4"/>
  <c r="Y709" i="4" s="1"/>
  <c r="W709" i="4"/>
  <c r="Y708" i="4"/>
  <c r="X708" i="4"/>
  <c r="W708" i="4"/>
  <c r="X707" i="4"/>
  <c r="Y707" i="4" s="1"/>
  <c r="W707" i="4"/>
  <c r="Y706" i="4"/>
  <c r="X706" i="4"/>
  <c r="W706" i="4"/>
  <c r="X705" i="4"/>
  <c r="Y705" i="4" s="1"/>
  <c r="W705" i="4"/>
  <c r="Y704" i="4"/>
  <c r="X704" i="4"/>
  <c r="W704" i="4"/>
  <c r="X703" i="4"/>
  <c r="Y703" i="4" s="1"/>
  <c r="W703" i="4"/>
  <c r="Y702" i="4"/>
  <c r="X702" i="4"/>
  <c r="W702" i="4"/>
  <c r="X701" i="4"/>
  <c r="Y701" i="4" s="1"/>
  <c r="W701" i="4"/>
  <c r="Y700" i="4"/>
  <c r="X700" i="4"/>
  <c r="W700" i="4"/>
  <c r="X699" i="4"/>
  <c r="Y699" i="4" s="1"/>
  <c r="W699" i="4"/>
  <c r="Y698" i="4"/>
  <c r="X698" i="4"/>
  <c r="W698" i="4"/>
  <c r="X697" i="4"/>
  <c r="Y697" i="4" s="1"/>
  <c r="W697" i="4"/>
  <c r="Y696" i="4"/>
  <c r="X696" i="4"/>
  <c r="W696" i="4"/>
  <c r="X695" i="4"/>
  <c r="Y695" i="4" s="1"/>
  <c r="W695" i="4"/>
  <c r="Y694" i="4"/>
  <c r="X694" i="4"/>
  <c r="W694" i="4"/>
  <c r="X693" i="4"/>
  <c r="Y693" i="4" s="1"/>
  <c r="W693" i="4"/>
  <c r="X692" i="4"/>
  <c r="Y692" i="4" s="1"/>
  <c r="W692" i="4"/>
  <c r="X691" i="4"/>
  <c r="Y691" i="4" s="1"/>
  <c r="W691" i="4"/>
  <c r="Y690" i="4"/>
  <c r="X690" i="4"/>
  <c r="W690" i="4"/>
  <c r="X689" i="4"/>
  <c r="Y689" i="4" s="1"/>
  <c r="W689" i="4"/>
  <c r="X688" i="4"/>
  <c r="Y688" i="4" s="1"/>
  <c r="W688" i="4"/>
  <c r="X687" i="4"/>
  <c r="Y687" i="4" s="1"/>
  <c r="W687" i="4"/>
  <c r="Y686" i="4"/>
  <c r="X686" i="4"/>
  <c r="W686" i="4"/>
  <c r="X685" i="4"/>
  <c r="Y685" i="4" s="1"/>
  <c r="W685" i="4"/>
  <c r="X684" i="4"/>
  <c r="Y684" i="4" s="1"/>
  <c r="W684" i="4"/>
  <c r="X683" i="4"/>
  <c r="Y683" i="4" s="1"/>
  <c r="W683" i="4"/>
  <c r="Y682" i="4"/>
  <c r="X682" i="4"/>
  <c r="W682" i="4"/>
  <c r="X681" i="4"/>
  <c r="Y681" i="4" s="1"/>
  <c r="W681" i="4"/>
  <c r="Y680" i="4"/>
  <c r="X680" i="4"/>
  <c r="W680" i="4"/>
  <c r="X679" i="4"/>
  <c r="Y679" i="4" s="1"/>
  <c r="W679" i="4"/>
  <c r="Y678" i="4"/>
  <c r="X678" i="4"/>
  <c r="W678" i="4"/>
  <c r="X677" i="4"/>
  <c r="Y677" i="4" s="1"/>
  <c r="W677" i="4"/>
  <c r="Y676" i="4"/>
  <c r="X676" i="4"/>
  <c r="W676" i="4"/>
  <c r="X675" i="4"/>
  <c r="Y675" i="4" s="1"/>
  <c r="W675" i="4"/>
  <c r="Y674" i="4"/>
  <c r="X674" i="4"/>
  <c r="W674" i="4"/>
  <c r="X673" i="4"/>
  <c r="Y673" i="4" s="1"/>
  <c r="W673" i="4"/>
  <c r="Y672" i="4"/>
  <c r="X672" i="4"/>
  <c r="W672" i="4"/>
  <c r="X671" i="4"/>
  <c r="Y671" i="4" s="1"/>
  <c r="W671" i="4"/>
  <c r="Y670" i="4"/>
  <c r="X670" i="4"/>
  <c r="W670" i="4"/>
  <c r="X669" i="4"/>
  <c r="Y669" i="4" s="1"/>
  <c r="W669" i="4"/>
  <c r="X668" i="4"/>
  <c r="Y668" i="4" s="1"/>
  <c r="W668" i="4"/>
  <c r="X667" i="4"/>
  <c r="Y667" i="4" s="1"/>
  <c r="W667" i="4"/>
  <c r="Y666" i="4"/>
  <c r="X666" i="4"/>
  <c r="W666" i="4"/>
  <c r="X665" i="4"/>
  <c r="Y665" i="4" s="1"/>
  <c r="W665" i="4"/>
  <c r="X664" i="4"/>
  <c r="Y664" i="4" s="1"/>
  <c r="W664" i="4"/>
  <c r="X663" i="4"/>
  <c r="Y663" i="4" s="1"/>
  <c r="W663" i="4"/>
  <c r="Y662" i="4"/>
  <c r="X662" i="4"/>
  <c r="W662" i="4"/>
  <c r="X661" i="4"/>
  <c r="Y661" i="4" s="1"/>
  <c r="W661" i="4"/>
  <c r="X660" i="4"/>
  <c r="Y660" i="4" s="1"/>
  <c r="W660" i="4"/>
  <c r="X659" i="4"/>
  <c r="Y659" i="4" s="1"/>
  <c r="W659" i="4"/>
  <c r="Y658" i="4"/>
  <c r="X658" i="4"/>
  <c r="W658" i="4"/>
  <c r="X657" i="4"/>
  <c r="Y657" i="4" s="1"/>
  <c r="W657" i="4"/>
  <c r="X656" i="4"/>
  <c r="Y656" i="4" s="1"/>
  <c r="W656" i="4"/>
  <c r="X655" i="4"/>
  <c r="Y655" i="4" s="1"/>
  <c r="W655" i="4"/>
  <c r="Y654" i="4"/>
  <c r="X654" i="4"/>
  <c r="W654" i="4"/>
  <c r="X653" i="4"/>
  <c r="Y653" i="4" s="1"/>
  <c r="W653" i="4"/>
  <c r="X652" i="4"/>
  <c r="Y652" i="4" s="1"/>
  <c r="W652" i="4"/>
  <c r="X651" i="4"/>
  <c r="Y651" i="4" s="1"/>
  <c r="W651" i="4"/>
  <c r="Y650" i="4"/>
  <c r="X650" i="4"/>
  <c r="W650" i="4"/>
  <c r="X649" i="4"/>
  <c r="Y649" i="4" s="1"/>
  <c r="W649" i="4"/>
  <c r="X648" i="4"/>
  <c r="Y648" i="4" s="1"/>
  <c r="W648" i="4"/>
  <c r="X647" i="4"/>
  <c r="Y647" i="4" s="1"/>
  <c r="W647" i="4"/>
  <c r="Y646" i="4"/>
  <c r="X646" i="4"/>
  <c r="W646" i="4"/>
  <c r="X645" i="4"/>
  <c r="Y645" i="4" s="1"/>
  <c r="W645" i="4"/>
  <c r="X644" i="4"/>
  <c r="Y644" i="4" s="1"/>
  <c r="W644" i="4"/>
  <c r="X643" i="4"/>
  <c r="Y643" i="4" s="1"/>
  <c r="W643" i="4"/>
  <c r="Y642" i="4"/>
  <c r="X642" i="4"/>
  <c r="W642" i="4"/>
  <c r="X641" i="4"/>
  <c r="Y641" i="4" s="1"/>
  <c r="W641" i="4"/>
  <c r="X640" i="4"/>
  <c r="Y640" i="4" s="1"/>
  <c r="W640" i="4"/>
  <c r="Y639" i="4"/>
  <c r="X639" i="4"/>
  <c r="W639" i="4"/>
  <c r="Y638" i="4"/>
  <c r="X638" i="4"/>
  <c r="W638" i="4"/>
  <c r="X637" i="4"/>
  <c r="Y637" i="4" s="1"/>
  <c r="W637" i="4"/>
  <c r="X636" i="4"/>
  <c r="Y636" i="4" s="1"/>
  <c r="W636" i="4"/>
  <c r="Y635" i="4"/>
  <c r="X635" i="4"/>
  <c r="W635" i="4"/>
  <c r="Y634" i="4"/>
  <c r="X634" i="4"/>
  <c r="W634" i="4"/>
  <c r="X633" i="4"/>
  <c r="Y633" i="4" s="1"/>
  <c r="W633" i="4"/>
  <c r="X632" i="4"/>
  <c r="Y632" i="4" s="1"/>
  <c r="W632" i="4"/>
  <c r="Y631" i="4"/>
  <c r="X631" i="4"/>
  <c r="W631" i="4"/>
  <c r="Y630" i="4"/>
  <c r="X630" i="4"/>
  <c r="W630" i="4"/>
  <c r="X629" i="4"/>
  <c r="Y629" i="4" s="1"/>
  <c r="W629" i="4"/>
  <c r="X628" i="4"/>
  <c r="Y628" i="4" s="1"/>
  <c r="W628" i="4"/>
  <c r="Y627" i="4"/>
  <c r="X627" i="4"/>
  <c r="W627" i="4"/>
  <c r="Y626" i="4"/>
  <c r="X626" i="4"/>
  <c r="W626" i="4"/>
  <c r="X625" i="4"/>
  <c r="Y625" i="4" s="1"/>
  <c r="W625" i="4"/>
  <c r="X624" i="4"/>
  <c r="Y624" i="4" s="1"/>
  <c r="W624" i="4"/>
  <c r="Y623" i="4"/>
  <c r="X623" i="4"/>
  <c r="W623" i="4"/>
  <c r="Y622" i="4"/>
  <c r="X622" i="4"/>
  <c r="W622" i="4"/>
  <c r="X621" i="4"/>
  <c r="Y621" i="4" s="1"/>
  <c r="W621" i="4"/>
  <c r="X620" i="4"/>
  <c r="Y620" i="4" s="1"/>
  <c r="W620" i="4"/>
  <c r="Y619" i="4"/>
  <c r="X619" i="4"/>
  <c r="W619" i="4"/>
  <c r="Y618" i="4"/>
  <c r="X618" i="4"/>
  <c r="W618" i="4"/>
  <c r="X617" i="4"/>
  <c r="Y617" i="4" s="1"/>
  <c r="W617" i="4"/>
  <c r="X616" i="4"/>
  <c r="Y616" i="4" s="1"/>
  <c r="W616" i="4"/>
  <c r="Y615" i="4"/>
  <c r="X615" i="4"/>
  <c r="W615" i="4"/>
  <c r="Y614" i="4"/>
  <c r="X614" i="4"/>
  <c r="W614" i="4"/>
  <c r="X613" i="4"/>
  <c r="Y613" i="4" s="1"/>
  <c r="W613" i="4"/>
  <c r="X612" i="4"/>
  <c r="Y612" i="4" s="1"/>
  <c r="W612" i="4"/>
  <c r="Y611" i="4"/>
  <c r="X611" i="4"/>
  <c r="W611" i="4"/>
  <c r="Y610" i="4"/>
  <c r="X610" i="4"/>
  <c r="W610" i="4"/>
  <c r="X609" i="4"/>
  <c r="Y609" i="4" s="1"/>
  <c r="W609" i="4"/>
  <c r="X608" i="4"/>
  <c r="Y608" i="4" s="1"/>
  <c r="W608" i="4"/>
  <c r="Y607" i="4"/>
  <c r="X607" i="4"/>
  <c r="W607" i="4"/>
  <c r="Y606" i="4"/>
  <c r="X606" i="4"/>
  <c r="W606" i="4"/>
  <c r="X605" i="4"/>
  <c r="Y605" i="4" s="1"/>
  <c r="W605" i="4"/>
  <c r="X604" i="4"/>
  <c r="Y604" i="4" s="1"/>
  <c r="W604" i="4"/>
  <c r="Y603" i="4"/>
  <c r="X603" i="4"/>
  <c r="W603" i="4"/>
  <c r="Y602" i="4"/>
  <c r="X602" i="4"/>
  <c r="W602" i="4"/>
  <c r="X601" i="4"/>
  <c r="Y601" i="4" s="1"/>
  <c r="W601" i="4"/>
  <c r="X600" i="4"/>
  <c r="Y600" i="4" s="1"/>
  <c r="W600" i="4"/>
  <c r="Y599" i="4"/>
  <c r="X599" i="4"/>
  <c r="W599" i="4"/>
  <c r="Y598" i="4"/>
  <c r="X598" i="4"/>
  <c r="W598" i="4"/>
  <c r="X597" i="4"/>
  <c r="Y597" i="4" s="1"/>
  <c r="W597" i="4"/>
  <c r="X596" i="4"/>
  <c r="Y596" i="4" s="1"/>
  <c r="W596" i="4"/>
  <c r="Y595" i="4"/>
  <c r="X595" i="4"/>
  <c r="W595" i="4"/>
  <c r="Y594" i="4"/>
  <c r="X594" i="4"/>
  <c r="W594" i="4"/>
  <c r="X593" i="4"/>
  <c r="Y593" i="4" s="1"/>
  <c r="W593" i="4"/>
  <c r="X592" i="4"/>
  <c r="Y592" i="4" s="1"/>
  <c r="W592" i="4"/>
  <c r="Y591" i="4"/>
  <c r="X591" i="4"/>
  <c r="W591" i="4"/>
  <c r="Y590" i="4"/>
  <c r="X590" i="4"/>
  <c r="W590" i="4"/>
  <c r="X589" i="4"/>
  <c r="Y589" i="4" s="1"/>
  <c r="W589" i="4"/>
  <c r="X588" i="4"/>
  <c r="Y588" i="4" s="1"/>
  <c r="W588" i="4"/>
  <c r="Y587" i="4"/>
  <c r="X587" i="4"/>
  <c r="W587" i="4"/>
  <c r="Y586" i="4"/>
  <c r="X586" i="4"/>
  <c r="W586" i="4"/>
  <c r="X585" i="4"/>
  <c r="Y585" i="4" s="1"/>
  <c r="W585" i="4"/>
  <c r="X584" i="4"/>
  <c r="Y584" i="4" s="1"/>
  <c r="W584" i="4"/>
  <c r="Y583" i="4"/>
  <c r="X583" i="4"/>
  <c r="W583" i="4"/>
  <c r="Y582" i="4"/>
  <c r="X582" i="4"/>
  <c r="W582" i="4"/>
  <c r="X581" i="4"/>
  <c r="Y581" i="4" s="1"/>
  <c r="W581" i="4"/>
  <c r="X580" i="4"/>
  <c r="Y580" i="4" s="1"/>
  <c r="W580" i="4"/>
  <c r="Y579" i="4"/>
  <c r="X579" i="4"/>
  <c r="W579" i="4"/>
  <c r="Y578" i="4"/>
  <c r="X578" i="4"/>
  <c r="W578" i="4"/>
  <c r="X577" i="4"/>
  <c r="Y577" i="4" s="1"/>
  <c r="W577" i="4"/>
  <c r="X576" i="4"/>
  <c r="Y576" i="4" s="1"/>
  <c r="W576" i="4"/>
  <c r="Y575" i="4"/>
  <c r="X575" i="4"/>
  <c r="W575" i="4"/>
  <c r="Y574" i="4"/>
  <c r="X574" i="4"/>
  <c r="W574" i="4"/>
  <c r="X573" i="4"/>
  <c r="Y573" i="4" s="1"/>
  <c r="W573" i="4"/>
  <c r="X572" i="4"/>
  <c r="Y572" i="4" s="1"/>
  <c r="W572" i="4"/>
  <c r="Y571" i="4"/>
  <c r="X571" i="4"/>
  <c r="W571" i="4"/>
  <c r="Y570" i="4"/>
  <c r="X570" i="4"/>
  <c r="W570" i="4"/>
  <c r="X569" i="4"/>
  <c r="Y569" i="4" s="1"/>
  <c r="W569" i="4"/>
  <c r="X568" i="4"/>
  <c r="Y568" i="4" s="1"/>
  <c r="W568" i="4"/>
  <c r="Y567" i="4"/>
  <c r="X567" i="4"/>
  <c r="W567" i="4"/>
  <c r="Y566" i="4"/>
  <c r="X566" i="4"/>
  <c r="W566" i="4"/>
  <c r="X565" i="4"/>
  <c r="Y565" i="4" s="1"/>
  <c r="W565" i="4"/>
  <c r="X564" i="4"/>
  <c r="Y564" i="4" s="1"/>
  <c r="W564" i="4"/>
  <c r="Y563" i="4"/>
  <c r="X563" i="4"/>
  <c r="W563" i="4"/>
  <c r="Y562" i="4"/>
  <c r="X562" i="4"/>
  <c r="W562" i="4"/>
  <c r="Y561" i="4"/>
  <c r="X561" i="4"/>
  <c r="W561" i="4"/>
  <c r="X560" i="4"/>
  <c r="Y560" i="4" s="1"/>
  <c r="W560" i="4"/>
  <c r="Y559" i="4"/>
  <c r="X559" i="4"/>
  <c r="W559" i="4"/>
  <c r="Y558" i="4"/>
  <c r="X558" i="4"/>
  <c r="W558" i="4"/>
  <c r="X557" i="4"/>
  <c r="Y557" i="4" s="1"/>
  <c r="W557" i="4"/>
  <c r="X556" i="4"/>
  <c r="Y556" i="4" s="1"/>
  <c r="W556" i="4"/>
  <c r="Y555" i="4"/>
  <c r="X555" i="4"/>
  <c r="W555" i="4"/>
  <c r="Y554" i="4"/>
  <c r="X554" i="4"/>
  <c r="W554" i="4"/>
  <c r="Y553" i="4"/>
  <c r="X553" i="4"/>
  <c r="W553" i="4"/>
  <c r="X552" i="4"/>
  <c r="Y552" i="4" s="1"/>
  <c r="W552" i="4"/>
  <c r="Y551" i="4"/>
  <c r="X551" i="4"/>
  <c r="W551" i="4"/>
  <c r="Y550" i="4"/>
  <c r="X550" i="4"/>
  <c r="W550" i="4"/>
  <c r="X549" i="4"/>
  <c r="Y549" i="4" s="1"/>
  <c r="W549" i="4"/>
  <c r="X548" i="4"/>
  <c r="Y548" i="4" s="1"/>
  <c r="W548" i="4"/>
  <c r="Y547" i="4"/>
  <c r="X547" i="4"/>
  <c r="W547" i="4"/>
  <c r="Y546" i="4"/>
  <c r="X546" i="4"/>
  <c r="W546" i="4"/>
  <c r="Y545" i="4"/>
  <c r="X545" i="4"/>
  <c r="W545" i="4"/>
  <c r="X544" i="4"/>
  <c r="Y544" i="4" s="1"/>
  <c r="W544" i="4"/>
  <c r="Y543" i="4"/>
  <c r="X543" i="4"/>
  <c r="W543" i="4"/>
  <c r="Y542" i="4"/>
  <c r="X542" i="4"/>
  <c r="W542" i="4"/>
  <c r="X541" i="4"/>
  <c r="Y541" i="4" s="1"/>
  <c r="W541" i="4"/>
  <c r="X540" i="4"/>
  <c r="Y540" i="4" s="1"/>
  <c r="W540" i="4"/>
  <c r="Y539" i="4"/>
  <c r="X539" i="4"/>
  <c r="W539" i="4"/>
  <c r="Y538" i="4"/>
  <c r="X538" i="4"/>
  <c r="W538" i="4"/>
  <c r="Y537" i="4"/>
  <c r="X537" i="4"/>
  <c r="W537" i="4"/>
  <c r="X536" i="4"/>
  <c r="Y536" i="4" s="1"/>
  <c r="W536" i="4"/>
  <c r="Y535" i="4"/>
  <c r="X535" i="4"/>
  <c r="W535" i="4"/>
  <c r="Y534" i="4"/>
  <c r="X534" i="4"/>
  <c r="W534" i="4"/>
  <c r="X533" i="4"/>
  <c r="Y533" i="4" s="1"/>
  <c r="W533" i="4"/>
  <c r="X532" i="4"/>
  <c r="Y532" i="4" s="1"/>
  <c r="W532" i="4"/>
  <c r="Y531" i="4"/>
  <c r="X531" i="4"/>
  <c r="W531" i="4"/>
  <c r="X530" i="4"/>
  <c r="Y530" i="4" s="1"/>
  <c r="W530" i="4"/>
  <c r="Y529" i="4"/>
  <c r="X529" i="4"/>
  <c r="W529" i="4"/>
  <c r="X528" i="4"/>
  <c r="Y528" i="4" s="1"/>
  <c r="W528" i="4"/>
  <c r="Y527" i="4"/>
  <c r="X527" i="4"/>
  <c r="W527" i="4"/>
  <c r="Y526" i="4"/>
  <c r="X526" i="4"/>
  <c r="W526" i="4"/>
  <c r="X525" i="4"/>
  <c r="Y525" i="4" s="1"/>
  <c r="W525" i="4"/>
  <c r="X524" i="4"/>
  <c r="Y524" i="4" s="1"/>
  <c r="W524" i="4"/>
  <c r="Y523" i="4"/>
  <c r="X523" i="4"/>
  <c r="W523" i="4"/>
  <c r="X522" i="4"/>
  <c r="Y522" i="4" s="1"/>
  <c r="W522" i="4"/>
  <c r="Y521" i="4"/>
  <c r="X521" i="4"/>
  <c r="W521" i="4"/>
  <c r="X520" i="4"/>
  <c r="Y520" i="4" s="1"/>
  <c r="W520" i="4"/>
  <c r="Y519" i="4"/>
  <c r="X519" i="4"/>
  <c r="W519" i="4"/>
  <c r="Y518" i="4"/>
  <c r="X518" i="4"/>
  <c r="W518" i="4"/>
  <c r="X517" i="4"/>
  <c r="Y517" i="4" s="1"/>
  <c r="W517" i="4"/>
  <c r="X516" i="4"/>
  <c r="Y516" i="4" s="1"/>
  <c r="W516" i="4"/>
  <c r="Y515" i="4"/>
  <c r="X515" i="4"/>
  <c r="W515" i="4"/>
  <c r="X514" i="4"/>
  <c r="Y514" i="4" s="1"/>
  <c r="W514" i="4"/>
  <c r="Y513" i="4"/>
  <c r="X513" i="4"/>
  <c r="W513" i="4"/>
  <c r="X512" i="4"/>
  <c r="Y512" i="4" s="1"/>
  <c r="W512" i="4"/>
  <c r="Y511" i="4"/>
  <c r="X511" i="4"/>
  <c r="W511" i="4"/>
  <c r="Y510" i="4"/>
  <c r="X510" i="4"/>
  <c r="W510" i="4"/>
  <c r="X509" i="4"/>
  <c r="Y509" i="4" s="1"/>
  <c r="W509" i="4"/>
  <c r="X508" i="4"/>
  <c r="Y508" i="4" s="1"/>
  <c r="W508" i="4"/>
  <c r="Y507" i="4"/>
  <c r="X507" i="4"/>
  <c r="W507" i="4"/>
  <c r="X506" i="4"/>
  <c r="Y506" i="4" s="1"/>
  <c r="W506" i="4"/>
  <c r="Y505" i="4"/>
  <c r="X505" i="4"/>
  <c r="W505" i="4"/>
  <c r="X504" i="4"/>
  <c r="Y504" i="4" s="1"/>
  <c r="W504" i="4"/>
  <c r="Y503" i="4"/>
  <c r="X503" i="4"/>
  <c r="W503" i="4"/>
  <c r="Y502" i="4"/>
  <c r="X502" i="4"/>
  <c r="W502" i="4"/>
  <c r="X501" i="4"/>
  <c r="Y501" i="4" s="1"/>
  <c r="W501" i="4"/>
  <c r="X500" i="4"/>
  <c r="Y500" i="4" s="1"/>
  <c r="W500" i="4"/>
  <c r="Y499" i="4"/>
  <c r="X499" i="4"/>
  <c r="W499" i="4"/>
  <c r="X498" i="4"/>
  <c r="Y498" i="4" s="1"/>
  <c r="W498" i="4"/>
  <c r="Y497" i="4"/>
  <c r="X497" i="4"/>
  <c r="W497" i="4"/>
  <c r="X496" i="4"/>
  <c r="Y496" i="4" s="1"/>
  <c r="W496" i="4"/>
  <c r="Y495" i="4"/>
  <c r="X495" i="4"/>
  <c r="W495" i="4"/>
  <c r="Y494" i="4"/>
  <c r="X494" i="4"/>
  <c r="W494" i="4"/>
  <c r="X493" i="4"/>
  <c r="Y493" i="4" s="1"/>
  <c r="W493" i="4"/>
  <c r="X492" i="4"/>
  <c r="Y492" i="4" s="1"/>
  <c r="W492" i="4"/>
  <c r="Y491" i="4"/>
  <c r="X491" i="4"/>
  <c r="W491" i="4"/>
  <c r="X490" i="4"/>
  <c r="Y490" i="4" s="1"/>
  <c r="W490" i="4"/>
  <c r="Y489" i="4"/>
  <c r="X489" i="4"/>
  <c r="W489" i="4"/>
  <c r="X488" i="4"/>
  <c r="Y488" i="4" s="1"/>
  <c r="W488" i="4"/>
  <c r="Y487" i="4"/>
  <c r="X487" i="4"/>
  <c r="W487" i="4"/>
  <c r="Y486" i="4"/>
  <c r="X486" i="4"/>
  <c r="W486" i="4"/>
  <c r="X485" i="4"/>
  <c r="Y485" i="4" s="1"/>
  <c r="W485" i="4"/>
  <c r="X484" i="4"/>
  <c r="Y484" i="4" s="1"/>
  <c r="W484" i="4"/>
  <c r="Y483" i="4"/>
  <c r="X483" i="4"/>
  <c r="W483" i="4"/>
  <c r="X482" i="4"/>
  <c r="Y482" i="4" s="1"/>
  <c r="W482" i="4"/>
  <c r="Y481" i="4"/>
  <c r="X481" i="4"/>
  <c r="W481" i="4"/>
  <c r="X480" i="4"/>
  <c r="Y480" i="4" s="1"/>
  <c r="W480" i="4"/>
  <c r="Y479" i="4"/>
  <c r="X479" i="4"/>
  <c r="W479" i="4"/>
  <c r="Y478" i="4"/>
  <c r="X478" i="4"/>
  <c r="W478" i="4"/>
  <c r="X477" i="4"/>
  <c r="Y477" i="4" s="1"/>
  <c r="W477" i="4"/>
  <c r="X476" i="4"/>
  <c r="Y476" i="4" s="1"/>
  <c r="W476" i="4"/>
  <c r="Y475" i="4"/>
  <c r="X475" i="4"/>
  <c r="W475" i="4"/>
  <c r="X474" i="4"/>
  <c r="Y474" i="4" s="1"/>
  <c r="W474" i="4"/>
  <c r="Y473" i="4"/>
  <c r="X473" i="4"/>
  <c r="W473" i="4"/>
  <c r="X472" i="4"/>
  <c r="Y472" i="4" s="1"/>
  <c r="W472" i="4"/>
  <c r="Y471" i="4"/>
  <c r="X471" i="4"/>
  <c r="W471" i="4"/>
  <c r="Y470" i="4"/>
  <c r="X470" i="4"/>
  <c r="W470" i="4"/>
  <c r="X469" i="4"/>
  <c r="Y469" i="4" s="1"/>
  <c r="W469" i="4"/>
  <c r="X468" i="4"/>
  <c r="Y468" i="4" s="1"/>
  <c r="W468" i="4"/>
  <c r="Y467" i="4"/>
  <c r="X467" i="4"/>
  <c r="W467" i="4"/>
  <c r="X466" i="4"/>
  <c r="Y466" i="4" s="1"/>
  <c r="W466" i="4"/>
  <c r="Y465" i="4"/>
  <c r="X465" i="4"/>
  <c r="W465" i="4"/>
  <c r="X464" i="4"/>
  <c r="Y464" i="4" s="1"/>
  <c r="W464" i="4"/>
  <c r="Y463" i="4"/>
  <c r="X463" i="4"/>
  <c r="W463" i="4"/>
  <c r="Y462" i="4"/>
  <c r="X462" i="4"/>
  <c r="W462" i="4"/>
  <c r="X461" i="4"/>
  <c r="Y461" i="4" s="1"/>
  <c r="W461" i="4"/>
  <c r="X460" i="4"/>
  <c r="Y460" i="4" s="1"/>
  <c r="W460" i="4"/>
  <c r="Y459" i="4"/>
  <c r="X459" i="4"/>
  <c r="W459" i="4"/>
  <c r="X458" i="4"/>
  <c r="Y458" i="4" s="1"/>
  <c r="W458" i="4"/>
  <c r="Y457" i="4"/>
  <c r="X457" i="4"/>
  <c r="W457" i="4"/>
  <c r="X456" i="4"/>
  <c r="Y456" i="4" s="1"/>
  <c r="W456" i="4"/>
  <c r="Y455" i="4"/>
  <c r="X455" i="4"/>
  <c r="W455" i="4"/>
  <c r="Y454" i="4"/>
  <c r="X454" i="4"/>
  <c r="W454" i="4"/>
  <c r="X453" i="4"/>
  <c r="Y453" i="4" s="1"/>
  <c r="W453" i="4"/>
  <c r="X452" i="4"/>
  <c r="Y452" i="4" s="1"/>
  <c r="W452" i="4"/>
  <c r="Y451" i="4"/>
  <c r="X451" i="4"/>
  <c r="W451" i="4"/>
  <c r="X450" i="4"/>
  <c r="Y450" i="4" s="1"/>
  <c r="W450" i="4"/>
  <c r="Y449" i="4"/>
  <c r="X449" i="4"/>
  <c r="W449" i="4"/>
  <c r="X448" i="4"/>
  <c r="Y448" i="4" s="1"/>
  <c r="W448" i="4"/>
  <c r="Y447" i="4"/>
  <c r="X447" i="4"/>
  <c r="W447" i="4"/>
  <c r="Y446" i="4"/>
  <c r="X446" i="4"/>
  <c r="W446" i="4"/>
  <c r="X445" i="4"/>
  <c r="Y445" i="4" s="1"/>
  <c r="W445" i="4"/>
  <c r="X444" i="4"/>
  <c r="Y444" i="4" s="1"/>
  <c r="W444" i="4"/>
  <c r="Y443" i="4"/>
  <c r="X443" i="4"/>
  <c r="W443" i="4"/>
  <c r="X442" i="4"/>
  <c r="Y442" i="4" s="1"/>
  <c r="W442" i="4"/>
  <c r="Y441" i="4"/>
  <c r="X441" i="4"/>
  <c r="W441" i="4"/>
  <c r="X440" i="4"/>
  <c r="Y440" i="4" s="1"/>
  <c r="W440" i="4"/>
  <c r="Y439" i="4"/>
  <c r="X439" i="4"/>
  <c r="W439" i="4"/>
  <c r="Y438" i="4"/>
  <c r="X438" i="4"/>
  <c r="W438" i="4"/>
  <c r="X437" i="4"/>
  <c r="Y437" i="4" s="1"/>
  <c r="W437" i="4"/>
  <c r="X436" i="4"/>
  <c r="Y436" i="4" s="1"/>
  <c r="W436" i="4"/>
  <c r="Y435" i="4"/>
  <c r="X435" i="4"/>
  <c r="W435" i="4"/>
  <c r="X434" i="4"/>
  <c r="Y434" i="4" s="1"/>
  <c r="W434" i="4"/>
  <c r="Y433" i="4"/>
  <c r="X433" i="4"/>
  <c r="W433" i="4"/>
  <c r="X432" i="4"/>
  <c r="Y432" i="4" s="1"/>
  <c r="W432" i="4"/>
  <c r="Y431" i="4"/>
  <c r="X431" i="4"/>
  <c r="W431" i="4"/>
  <c r="Y430" i="4"/>
  <c r="X430" i="4"/>
  <c r="W430" i="4"/>
  <c r="X429" i="4"/>
  <c r="Y429" i="4" s="1"/>
  <c r="W429" i="4"/>
  <c r="X428" i="4"/>
  <c r="Y428" i="4" s="1"/>
  <c r="W428" i="4"/>
  <c r="Y427" i="4"/>
  <c r="X427" i="4"/>
  <c r="W427" i="4"/>
  <c r="X426" i="4"/>
  <c r="Y426" i="4" s="1"/>
  <c r="W426" i="4"/>
  <c r="Y425" i="4"/>
  <c r="X425" i="4"/>
  <c r="W425" i="4"/>
  <c r="X424" i="4"/>
  <c r="Y424" i="4" s="1"/>
  <c r="W424" i="4"/>
  <c r="Y423" i="4"/>
  <c r="X423" i="4"/>
  <c r="W423" i="4"/>
  <c r="Y422" i="4"/>
  <c r="X422" i="4"/>
  <c r="W422" i="4"/>
  <c r="X421" i="4"/>
  <c r="Y421" i="4" s="1"/>
  <c r="W421" i="4"/>
  <c r="X420" i="4"/>
  <c r="Y420" i="4" s="1"/>
  <c r="W420" i="4"/>
  <c r="Y419" i="4"/>
  <c r="X419" i="4"/>
  <c r="W419" i="4"/>
  <c r="X418" i="4"/>
  <c r="Y418" i="4" s="1"/>
  <c r="W418" i="4"/>
  <c r="Y417" i="4"/>
  <c r="X417" i="4"/>
  <c r="W417" i="4"/>
  <c r="X416" i="4"/>
  <c r="Y416" i="4" s="1"/>
  <c r="W416" i="4"/>
  <c r="Y415" i="4"/>
  <c r="X415" i="4"/>
  <c r="W415" i="4"/>
  <c r="Y414" i="4"/>
  <c r="X414" i="4"/>
  <c r="W414" i="4"/>
  <c r="X413" i="4"/>
  <c r="Y413" i="4" s="1"/>
  <c r="W413" i="4"/>
  <c r="X412" i="4"/>
  <c r="Y412" i="4" s="1"/>
  <c r="W412" i="4"/>
  <c r="Y411" i="4"/>
  <c r="X411" i="4"/>
  <c r="W411" i="4"/>
  <c r="X410" i="4"/>
  <c r="Y410" i="4" s="1"/>
  <c r="W410" i="4"/>
  <c r="Y409" i="4"/>
  <c r="X409" i="4"/>
  <c r="W409" i="4"/>
  <c r="X408" i="4"/>
  <c r="Y408" i="4" s="1"/>
  <c r="W408" i="4"/>
  <c r="Y407" i="4"/>
  <c r="X407" i="4"/>
  <c r="W407" i="4"/>
  <c r="Y406" i="4"/>
  <c r="X406" i="4"/>
  <c r="W406" i="4"/>
  <c r="X405" i="4"/>
  <c r="Y405" i="4" s="1"/>
  <c r="W405" i="4"/>
  <c r="X404" i="4"/>
  <c r="Y404" i="4" s="1"/>
  <c r="W404" i="4"/>
  <c r="Y403" i="4"/>
  <c r="X403" i="4"/>
  <c r="W403" i="4"/>
  <c r="X402" i="4"/>
  <c r="Y402" i="4" s="1"/>
  <c r="W402" i="4"/>
  <c r="Y401" i="4"/>
  <c r="X401" i="4"/>
  <c r="W401" i="4"/>
  <c r="X400" i="4"/>
  <c r="Y400" i="4" s="1"/>
  <c r="W400" i="4"/>
  <c r="Y399" i="4"/>
  <c r="X399" i="4"/>
  <c r="W399" i="4"/>
  <c r="Y398" i="4"/>
  <c r="X398" i="4"/>
  <c r="W398" i="4"/>
  <c r="X397" i="4"/>
  <c r="Y397" i="4" s="1"/>
  <c r="W397" i="4"/>
  <c r="X396" i="4"/>
  <c r="Y396" i="4" s="1"/>
  <c r="W396" i="4"/>
  <c r="Y395" i="4"/>
  <c r="X395" i="4"/>
  <c r="W395" i="4"/>
  <c r="X394" i="4"/>
  <c r="Y394" i="4" s="1"/>
  <c r="W394" i="4"/>
  <c r="Y393" i="4"/>
  <c r="X393" i="4"/>
  <c r="W393" i="4"/>
  <c r="X392" i="4"/>
  <c r="Y392" i="4" s="1"/>
  <c r="W392" i="4"/>
  <c r="Y391" i="4"/>
  <c r="X391" i="4"/>
  <c r="W391" i="4"/>
  <c r="Y390" i="4"/>
  <c r="X390" i="4"/>
  <c r="W390" i="4"/>
  <c r="X389" i="4"/>
  <c r="Y389" i="4" s="1"/>
  <c r="W389" i="4"/>
  <c r="X388" i="4"/>
  <c r="Y388" i="4" s="1"/>
  <c r="W388" i="4"/>
  <c r="Y387" i="4"/>
  <c r="X387" i="4"/>
  <c r="W387" i="4"/>
  <c r="X386" i="4"/>
  <c r="Y386" i="4" s="1"/>
  <c r="W386" i="4"/>
  <c r="Y385" i="4"/>
  <c r="X385" i="4"/>
  <c r="W385" i="4"/>
  <c r="X384" i="4"/>
  <c r="Y384" i="4" s="1"/>
  <c r="W384" i="4"/>
  <c r="Y383" i="4"/>
  <c r="X383" i="4"/>
  <c r="W383" i="4"/>
  <c r="X382" i="4"/>
  <c r="Y382" i="4" s="1"/>
  <c r="W382" i="4"/>
  <c r="Y381" i="4"/>
  <c r="X381" i="4"/>
  <c r="W381" i="4"/>
  <c r="X380" i="4"/>
  <c r="Y380" i="4" s="1"/>
  <c r="W380" i="4"/>
  <c r="Y379" i="4"/>
  <c r="X379" i="4"/>
  <c r="W379" i="4"/>
  <c r="X378" i="4"/>
  <c r="Y378" i="4" s="1"/>
  <c r="W378" i="4"/>
  <c r="Y377" i="4"/>
  <c r="X377" i="4"/>
  <c r="W377" i="4"/>
  <c r="X376" i="4"/>
  <c r="Y376" i="4" s="1"/>
  <c r="W376" i="4"/>
  <c r="Y375" i="4"/>
  <c r="X375" i="4"/>
  <c r="W375" i="4"/>
  <c r="X374" i="4"/>
  <c r="Y374" i="4" s="1"/>
  <c r="W374" i="4"/>
  <c r="Y373" i="4"/>
  <c r="X373" i="4"/>
  <c r="W373" i="4"/>
  <c r="X372" i="4"/>
  <c r="Y372" i="4" s="1"/>
  <c r="W372" i="4"/>
  <c r="Y371" i="4"/>
  <c r="X371" i="4"/>
  <c r="W371" i="4"/>
  <c r="X370" i="4"/>
  <c r="Y370" i="4" s="1"/>
  <c r="W370" i="4"/>
  <c r="Y369" i="4"/>
  <c r="X369" i="4"/>
  <c r="W369" i="4"/>
  <c r="X368" i="4"/>
  <c r="Y368" i="4" s="1"/>
  <c r="W368" i="4"/>
  <c r="Y367" i="4"/>
  <c r="X367" i="4"/>
  <c r="W367" i="4"/>
  <c r="X366" i="4"/>
  <c r="Y366" i="4" s="1"/>
  <c r="W366" i="4"/>
  <c r="Y365" i="4"/>
  <c r="X365" i="4"/>
  <c r="W365" i="4"/>
  <c r="X364" i="4"/>
  <c r="Y364" i="4" s="1"/>
  <c r="W364" i="4"/>
  <c r="Y363" i="4"/>
  <c r="X363" i="4"/>
  <c r="W363" i="4"/>
  <c r="X362" i="4"/>
  <c r="Y362" i="4" s="1"/>
  <c r="W362" i="4"/>
  <c r="Y361" i="4"/>
  <c r="X361" i="4"/>
  <c r="W361" i="4"/>
  <c r="X360" i="4"/>
  <c r="Y360" i="4" s="1"/>
  <c r="W360" i="4"/>
  <c r="Y359" i="4"/>
  <c r="X359" i="4"/>
  <c r="W359" i="4"/>
  <c r="X358" i="4"/>
  <c r="Y358" i="4" s="1"/>
  <c r="W358" i="4"/>
  <c r="Y357" i="4"/>
  <c r="X357" i="4"/>
  <c r="W357" i="4"/>
  <c r="X356" i="4"/>
  <c r="Y356" i="4" s="1"/>
  <c r="W356" i="4"/>
  <c r="Y355" i="4"/>
  <c r="X355" i="4"/>
  <c r="W355" i="4"/>
  <c r="X354" i="4"/>
  <c r="Y354" i="4" s="1"/>
  <c r="W354" i="4"/>
  <c r="Y353" i="4"/>
  <c r="X353" i="4"/>
  <c r="W353" i="4"/>
  <c r="X352" i="4"/>
  <c r="Y352" i="4" s="1"/>
  <c r="W352" i="4"/>
  <c r="Y351" i="4"/>
  <c r="X351" i="4"/>
  <c r="W351" i="4"/>
  <c r="X350" i="4"/>
  <c r="Y350" i="4" s="1"/>
  <c r="W350" i="4"/>
  <c r="Y349" i="4"/>
  <c r="X349" i="4"/>
  <c r="W349" i="4"/>
  <c r="X348" i="4"/>
  <c r="Y348" i="4" s="1"/>
  <c r="W348" i="4"/>
  <c r="Y347" i="4"/>
  <c r="X347" i="4"/>
  <c r="W347" i="4"/>
  <c r="X346" i="4"/>
  <c r="Y346" i="4" s="1"/>
  <c r="W346" i="4"/>
  <c r="Y345" i="4"/>
  <c r="X345" i="4"/>
  <c r="W345" i="4"/>
  <c r="X344" i="4"/>
  <c r="Y344" i="4" s="1"/>
  <c r="W344" i="4"/>
  <c r="Y343" i="4"/>
  <c r="X343" i="4"/>
  <c r="W343" i="4"/>
  <c r="X342" i="4"/>
  <c r="Y342" i="4" s="1"/>
  <c r="W342" i="4"/>
  <c r="Y341" i="4"/>
  <c r="X341" i="4"/>
  <c r="W341" i="4"/>
  <c r="X340" i="4"/>
  <c r="Y340" i="4" s="1"/>
  <c r="W340" i="4"/>
  <c r="Y339" i="4"/>
  <c r="X339" i="4"/>
  <c r="W339" i="4"/>
  <c r="X338" i="4"/>
  <c r="Y338" i="4" s="1"/>
  <c r="W338" i="4"/>
  <c r="Y337" i="4"/>
  <c r="X337" i="4"/>
  <c r="W337" i="4"/>
  <c r="X336" i="4"/>
  <c r="Y336" i="4" s="1"/>
  <c r="W336" i="4"/>
  <c r="Y335" i="4"/>
  <c r="X335" i="4"/>
  <c r="W335" i="4"/>
  <c r="X334" i="4"/>
  <c r="Y334" i="4" s="1"/>
  <c r="W334" i="4"/>
  <c r="Y333" i="4"/>
  <c r="X333" i="4"/>
  <c r="W333" i="4"/>
  <c r="X332" i="4"/>
  <c r="Y332" i="4" s="1"/>
  <c r="W332" i="4"/>
  <c r="Y331" i="4"/>
  <c r="X331" i="4"/>
  <c r="W331" i="4"/>
  <c r="X330" i="4"/>
  <c r="Y330" i="4" s="1"/>
  <c r="W330" i="4"/>
  <c r="Y329" i="4"/>
  <c r="X329" i="4"/>
  <c r="W329" i="4"/>
  <c r="X328" i="4"/>
  <c r="Y328" i="4" s="1"/>
  <c r="W328" i="4"/>
  <c r="Y327" i="4"/>
  <c r="X327" i="4"/>
  <c r="W327" i="4"/>
  <c r="X326" i="4"/>
  <c r="Y326" i="4" s="1"/>
  <c r="W326" i="4"/>
  <c r="Y325" i="4"/>
  <c r="X325" i="4"/>
  <c r="W325" i="4"/>
  <c r="X324" i="4"/>
  <c r="Y324" i="4" s="1"/>
  <c r="W324" i="4"/>
  <c r="Y323" i="4"/>
  <c r="X323" i="4"/>
  <c r="W323" i="4"/>
  <c r="X322" i="4"/>
  <c r="Y322" i="4" s="1"/>
  <c r="W322" i="4"/>
  <c r="Y321" i="4"/>
  <c r="X321" i="4"/>
  <c r="W321" i="4"/>
  <c r="X320" i="4"/>
  <c r="Y320" i="4" s="1"/>
  <c r="W320" i="4"/>
  <c r="Y319" i="4"/>
  <c r="X319" i="4"/>
  <c r="W319" i="4"/>
  <c r="X318" i="4"/>
  <c r="Y318" i="4" s="1"/>
  <c r="W318" i="4"/>
  <c r="Y317" i="4"/>
  <c r="X317" i="4"/>
  <c r="W317" i="4"/>
  <c r="X316" i="4"/>
  <c r="Y316" i="4" s="1"/>
  <c r="W316" i="4"/>
  <c r="Y315" i="4"/>
  <c r="X315" i="4"/>
  <c r="W315" i="4"/>
  <c r="X314" i="4"/>
  <c r="Y314" i="4" s="1"/>
  <c r="W314" i="4"/>
  <c r="Y313" i="4"/>
  <c r="X313" i="4"/>
  <c r="W313" i="4"/>
  <c r="X312" i="4"/>
  <c r="Y312" i="4" s="1"/>
  <c r="W312" i="4"/>
  <c r="Y311" i="4"/>
  <c r="X311" i="4"/>
  <c r="W311" i="4"/>
  <c r="X310" i="4"/>
  <c r="Y310" i="4" s="1"/>
  <c r="W310" i="4"/>
  <c r="Y309" i="4"/>
  <c r="X309" i="4"/>
  <c r="W309" i="4"/>
  <c r="X308" i="4"/>
  <c r="Y308" i="4" s="1"/>
  <c r="W308" i="4"/>
  <c r="Y307" i="4"/>
  <c r="X307" i="4"/>
  <c r="W307" i="4"/>
  <c r="X306" i="4"/>
  <c r="Y306" i="4" s="1"/>
  <c r="W306" i="4"/>
  <c r="Y305" i="4"/>
  <c r="X305" i="4"/>
  <c r="W305" i="4"/>
  <c r="X304" i="4"/>
  <c r="Y304" i="4" s="1"/>
  <c r="W304" i="4"/>
  <c r="Y303" i="4"/>
  <c r="X303" i="4"/>
  <c r="W303" i="4"/>
  <c r="X302" i="4"/>
  <c r="Y302" i="4" s="1"/>
  <c r="W302" i="4"/>
  <c r="Y301" i="4"/>
  <c r="X301" i="4"/>
  <c r="W301" i="4"/>
  <c r="X300" i="4"/>
  <c r="Y300" i="4" s="1"/>
  <c r="W300" i="4"/>
  <c r="Y299" i="4"/>
  <c r="X299" i="4"/>
  <c r="W299" i="4"/>
  <c r="X298" i="4"/>
  <c r="Y298" i="4" s="1"/>
  <c r="W298" i="4"/>
  <c r="Y297" i="4"/>
  <c r="X297" i="4"/>
  <c r="W297" i="4"/>
  <c r="X296" i="4"/>
  <c r="Y296" i="4" s="1"/>
  <c r="W296" i="4"/>
  <c r="Y295" i="4"/>
  <c r="X295" i="4"/>
  <c r="W295" i="4"/>
  <c r="X294" i="4"/>
  <c r="Y294" i="4" s="1"/>
  <c r="W294" i="4"/>
  <c r="Y293" i="4"/>
  <c r="X293" i="4"/>
  <c r="W293" i="4"/>
  <c r="X292" i="4"/>
  <c r="Y292" i="4" s="1"/>
  <c r="W292" i="4"/>
  <c r="Y291" i="4"/>
  <c r="X291" i="4"/>
  <c r="W291" i="4"/>
  <c r="X290" i="4"/>
  <c r="Y290" i="4" s="1"/>
  <c r="W290" i="4"/>
  <c r="Y289" i="4"/>
  <c r="X289" i="4"/>
  <c r="W289" i="4"/>
  <c r="X288" i="4"/>
  <c r="Y288" i="4" s="1"/>
  <c r="W288" i="4"/>
  <c r="Y287" i="4"/>
  <c r="X287" i="4"/>
  <c r="W287" i="4"/>
  <c r="X286" i="4"/>
  <c r="Y286" i="4" s="1"/>
  <c r="W286" i="4"/>
  <c r="Y285" i="4"/>
  <c r="X285" i="4"/>
  <c r="W285" i="4"/>
  <c r="X284" i="4"/>
  <c r="Y284" i="4" s="1"/>
  <c r="W284" i="4"/>
  <c r="Y283" i="4"/>
  <c r="X283" i="4"/>
  <c r="W283" i="4"/>
  <c r="X282" i="4"/>
  <c r="Y282" i="4" s="1"/>
  <c r="W282" i="4"/>
  <c r="Y281" i="4"/>
  <c r="X281" i="4"/>
  <c r="W281" i="4"/>
  <c r="X280" i="4"/>
  <c r="Y280" i="4" s="1"/>
  <c r="W280" i="4"/>
  <c r="Y279" i="4"/>
  <c r="X279" i="4"/>
  <c r="W279" i="4"/>
  <c r="X278" i="4"/>
  <c r="Y278" i="4" s="1"/>
  <c r="W278" i="4"/>
  <c r="Y277" i="4"/>
  <c r="X277" i="4"/>
  <c r="W277" i="4"/>
  <c r="X276" i="4"/>
  <c r="Y276" i="4" s="1"/>
  <c r="W276" i="4"/>
  <c r="Y275" i="4"/>
  <c r="X275" i="4"/>
  <c r="W275" i="4"/>
  <c r="X274" i="4"/>
  <c r="Y274" i="4" s="1"/>
  <c r="W274" i="4"/>
  <c r="Y273" i="4"/>
  <c r="X273" i="4"/>
  <c r="W273" i="4"/>
  <c r="X272" i="4"/>
  <c r="Y272" i="4" s="1"/>
  <c r="W272" i="4"/>
  <c r="Y271" i="4"/>
  <c r="X271" i="4"/>
  <c r="W271" i="4"/>
  <c r="X270" i="4"/>
  <c r="Y270" i="4" s="1"/>
  <c r="W270" i="4"/>
  <c r="Y269" i="4"/>
  <c r="X269" i="4"/>
  <c r="W269" i="4"/>
  <c r="X268" i="4"/>
  <c r="Y268" i="4" s="1"/>
  <c r="W268" i="4"/>
  <c r="Y267" i="4"/>
  <c r="X267" i="4"/>
  <c r="W267" i="4"/>
  <c r="X266" i="4"/>
  <c r="Y266" i="4" s="1"/>
  <c r="W266" i="4"/>
  <c r="Y265" i="4"/>
  <c r="X265" i="4"/>
  <c r="W265" i="4"/>
  <c r="X264" i="4"/>
  <c r="Y264" i="4" s="1"/>
  <c r="W264" i="4"/>
  <c r="Y263" i="4"/>
  <c r="X263" i="4"/>
  <c r="W263" i="4"/>
  <c r="X262" i="4"/>
  <c r="Y262" i="4" s="1"/>
  <c r="W262" i="4"/>
  <c r="Y261" i="4"/>
  <c r="X261" i="4"/>
  <c r="W261" i="4"/>
  <c r="X260" i="4"/>
  <c r="Y260" i="4" s="1"/>
  <c r="W260" i="4"/>
  <c r="Y259" i="4"/>
  <c r="X259" i="4"/>
  <c r="W259" i="4"/>
  <c r="X258" i="4"/>
  <c r="Y258" i="4" s="1"/>
  <c r="W258" i="4"/>
  <c r="Y257" i="4"/>
  <c r="X257" i="4"/>
  <c r="W257" i="4"/>
  <c r="X256" i="4"/>
  <c r="Y256" i="4" s="1"/>
  <c r="W256" i="4"/>
  <c r="Y255" i="4"/>
  <c r="X255" i="4"/>
  <c r="W255" i="4"/>
  <c r="X254" i="4"/>
  <c r="Y254" i="4" s="1"/>
  <c r="W254" i="4"/>
  <c r="Y253" i="4"/>
  <c r="X253" i="4"/>
  <c r="W253" i="4"/>
  <c r="X252" i="4"/>
  <c r="Y252" i="4" s="1"/>
  <c r="W252" i="4"/>
  <c r="Y251" i="4"/>
  <c r="X251" i="4"/>
  <c r="W251" i="4"/>
  <c r="X250" i="4"/>
  <c r="Y250" i="4" s="1"/>
  <c r="W250" i="4"/>
  <c r="Y249" i="4"/>
  <c r="X249" i="4"/>
  <c r="W249" i="4"/>
  <c r="X248" i="4"/>
  <c r="Y248" i="4" s="1"/>
  <c r="W248" i="4"/>
  <c r="Y247" i="4"/>
  <c r="X247" i="4"/>
  <c r="W247" i="4"/>
  <c r="X246" i="4"/>
  <c r="Y246" i="4" s="1"/>
  <c r="W246" i="4"/>
  <c r="Y245" i="4"/>
  <c r="X245" i="4"/>
  <c r="W245" i="4"/>
  <c r="X244" i="4"/>
  <c r="Y244" i="4" s="1"/>
  <c r="W244" i="4"/>
  <c r="Y243" i="4"/>
  <c r="X243" i="4"/>
  <c r="W243" i="4"/>
  <c r="X242" i="4"/>
  <c r="Y242" i="4" s="1"/>
  <c r="W242" i="4"/>
  <c r="Y241" i="4"/>
  <c r="X241" i="4"/>
  <c r="W241" i="4"/>
  <c r="X240" i="4"/>
  <c r="Y240" i="4" s="1"/>
  <c r="W240" i="4"/>
  <c r="Y239" i="4"/>
  <c r="X239" i="4"/>
  <c r="W239" i="4"/>
  <c r="X238" i="4"/>
  <c r="Y238" i="4" s="1"/>
  <c r="W238" i="4"/>
  <c r="Y237" i="4"/>
  <c r="X237" i="4"/>
  <c r="W237" i="4"/>
  <c r="X236" i="4"/>
  <c r="Y236" i="4" s="1"/>
  <c r="W236" i="4"/>
  <c r="Y235" i="4"/>
  <c r="X235" i="4"/>
  <c r="W235" i="4"/>
  <c r="X234" i="4"/>
  <c r="Y234" i="4" s="1"/>
  <c r="W234" i="4"/>
  <c r="Y233" i="4"/>
  <c r="X233" i="4"/>
  <c r="W233" i="4"/>
  <c r="X232" i="4"/>
  <c r="Y232" i="4" s="1"/>
  <c r="W232" i="4"/>
  <c r="Y231" i="4"/>
  <c r="X231" i="4"/>
  <c r="W231" i="4"/>
  <c r="X230" i="4"/>
  <c r="Y230" i="4" s="1"/>
  <c r="W230" i="4"/>
  <c r="Y229" i="4"/>
  <c r="X229" i="4"/>
  <c r="W229" i="4"/>
  <c r="X228" i="4"/>
  <c r="Y228" i="4" s="1"/>
  <c r="W228" i="4"/>
  <c r="Y227" i="4"/>
  <c r="X227" i="4"/>
  <c r="W227" i="4"/>
  <c r="X226" i="4"/>
  <c r="Y226" i="4" s="1"/>
  <c r="W226" i="4"/>
  <c r="Y225" i="4"/>
  <c r="X225" i="4"/>
  <c r="W225" i="4"/>
  <c r="X224" i="4"/>
  <c r="Y224" i="4" s="1"/>
  <c r="W224" i="4"/>
  <c r="Y223" i="4"/>
  <c r="X223" i="4"/>
  <c r="W223" i="4"/>
  <c r="X222" i="4"/>
  <c r="Y222" i="4" s="1"/>
  <c r="W222" i="4"/>
  <c r="Y221" i="4"/>
  <c r="X221" i="4"/>
  <c r="W221" i="4"/>
  <c r="X220" i="4"/>
  <c r="Y220" i="4" s="1"/>
  <c r="W220" i="4"/>
  <c r="Y219" i="4"/>
  <c r="X219" i="4"/>
  <c r="W219" i="4"/>
  <c r="X218" i="4"/>
  <c r="Y218" i="4" s="1"/>
  <c r="W218" i="4"/>
  <c r="Y217" i="4"/>
  <c r="X217" i="4"/>
  <c r="W217" i="4"/>
  <c r="X216" i="4"/>
  <c r="Y216" i="4" s="1"/>
  <c r="W216" i="4"/>
  <c r="Y215" i="4"/>
  <c r="X215" i="4"/>
  <c r="W215" i="4"/>
  <c r="X214" i="4"/>
  <c r="Y214" i="4" s="1"/>
  <c r="W214" i="4"/>
  <c r="Y213" i="4"/>
  <c r="X213" i="4"/>
  <c r="W213" i="4"/>
  <c r="X212" i="4"/>
  <c r="Y212" i="4" s="1"/>
  <c r="W212" i="4"/>
  <c r="Y211" i="4"/>
  <c r="X211" i="4"/>
  <c r="W211" i="4"/>
  <c r="X210" i="4"/>
  <c r="Y210" i="4" s="1"/>
  <c r="W210" i="4"/>
  <c r="Y209" i="4"/>
  <c r="X209" i="4"/>
  <c r="W209" i="4"/>
  <c r="X208" i="4"/>
  <c r="Y208" i="4" s="1"/>
  <c r="W208" i="4"/>
  <c r="Y207" i="4"/>
  <c r="X207" i="4"/>
  <c r="W207" i="4"/>
  <c r="X206" i="4"/>
  <c r="Y206" i="4" s="1"/>
  <c r="W206" i="4"/>
  <c r="Y205" i="4"/>
  <c r="X205" i="4"/>
  <c r="W205" i="4"/>
  <c r="X204" i="4"/>
  <c r="Y204" i="4" s="1"/>
  <c r="W204" i="4"/>
  <c r="Y203" i="4"/>
  <c r="X203" i="4"/>
  <c r="W203" i="4"/>
  <c r="X202" i="4"/>
  <c r="Y202" i="4" s="1"/>
  <c r="W202" i="4"/>
  <c r="Y201" i="4"/>
  <c r="X201" i="4"/>
  <c r="W201" i="4"/>
  <c r="X200" i="4"/>
  <c r="Y200" i="4" s="1"/>
  <c r="W200" i="4"/>
  <c r="Y199" i="4"/>
  <c r="X199" i="4"/>
  <c r="W199" i="4"/>
  <c r="X198" i="4"/>
  <c r="Y198" i="4" s="1"/>
  <c r="W198" i="4"/>
  <c r="Y197" i="4"/>
  <c r="X197" i="4"/>
  <c r="W197" i="4"/>
  <c r="X196" i="4"/>
  <c r="Y196" i="4" s="1"/>
  <c r="W196" i="4"/>
  <c r="Y195" i="4"/>
  <c r="X195" i="4"/>
  <c r="W195" i="4"/>
  <c r="X194" i="4"/>
  <c r="Y194" i="4" s="1"/>
  <c r="W194" i="4"/>
  <c r="Y193" i="4"/>
  <c r="X193" i="4"/>
  <c r="W193" i="4"/>
  <c r="X192" i="4"/>
  <c r="Y192" i="4" s="1"/>
  <c r="W192" i="4"/>
  <c r="Y191" i="4"/>
  <c r="X191" i="4"/>
  <c r="W191" i="4"/>
  <c r="X190" i="4"/>
  <c r="Y190" i="4" s="1"/>
  <c r="W190" i="4"/>
  <c r="Y189" i="4"/>
  <c r="X189" i="4"/>
  <c r="W189" i="4"/>
  <c r="X188" i="4"/>
  <c r="Y188" i="4" s="1"/>
  <c r="W188" i="4"/>
  <c r="Y187" i="4"/>
  <c r="X187" i="4"/>
  <c r="W187" i="4"/>
  <c r="X186" i="4"/>
  <c r="Y186" i="4" s="1"/>
  <c r="W186" i="4"/>
  <c r="Y185" i="4"/>
  <c r="X185" i="4"/>
  <c r="W185" i="4"/>
  <c r="X184" i="4"/>
  <c r="Y184" i="4" s="1"/>
  <c r="W184" i="4"/>
  <c r="Y183" i="4"/>
  <c r="X183" i="4"/>
  <c r="W183" i="4"/>
  <c r="X182" i="4"/>
  <c r="Y182" i="4" s="1"/>
  <c r="W182" i="4"/>
  <c r="Y181" i="4"/>
  <c r="X181" i="4"/>
  <c r="W181" i="4"/>
  <c r="X180" i="4"/>
  <c r="Y180" i="4" s="1"/>
  <c r="W180" i="4"/>
  <c r="Y179" i="4"/>
  <c r="X179" i="4"/>
  <c r="W179" i="4"/>
  <c r="X178" i="4"/>
  <c r="Y178" i="4" s="1"/>
  <c r="W178" i="4"/>
  <c r="Y177" i="4"/>
  <c r="X177" i="4"/>
  <c r="W177" i="4"/>
  <c r="X176" i="4"/>
  <c r="Y176" i="4" s="1"/>
  <c r="W176" i="4"/>
  <c r="Y175" i="4"/>
  <c r="X175" i="4"/>
  <c r="W175" i="4"/>
  <c r="X174" i="4"/>
  <c r="Y174" i="4" s="1"/>
  <c r="W174" i="4"/>
  <c r="Y173" i="4"/>
  <c r="X173" i="4"/>
  <c r="W173" i="4"/>
  <c r="X172" i="4"/>
  <c r="Y172" i="4" s="1"/>
  <c r="W172" i="4"/>
  <c r="Y171" i="4"/>
  <c r="X171" i="4"/>
  <c r="W171" i="4"/>
  <c r="X170" i="4"/>
  <c r="Y170" i="4" s="1"/>
  <c r="W170" i="4"/>
  <c r="Y169" i="4"/>
  <c r="X169" i="4"/>
  <c r="W169" i="4"/>
  <c r="X168" i="4"/>
  <c r="Y168" i="4" s="1"/>
  <c r="W168" i="4"/>
  <c r="Y167" i="4"/>
  <c r="X167" i="4"/>
  <c r="W167" i="4"/>
  <c r="X166" i="4"/>
  <c r="Y166" i="4" s="1"/>
  <c r="W166" i="4"/>
  <c r="Y165" i="4"/>
  <c r="X165" i="4"/>
  <c r="W165" i="4"/>
  <c r="X164" i="4"/>
  <c r="Y164" i="4" s="1"/>
  <c r="W164" i="4"/>
  <c r="Y163" i="4"/>
  <c r="X163" i="4"/>
  <c r="W163" i="4"/>
  <c r="X162" i="4"/>
  <c r="Y162" i="4" s="1"/>
  <c r="W162" i="4"/>
  <c r="Y161" i="4"/>
  <c r="X161" i="4"/>
  <c r="W161" i="4"/>
  <c r="X160" i="4"/>
  <c r="Y160" i="4" s="1"/>
  <c r="W160" i="4"/>
  <c r="Y159" i="4"/>
  <c r="X159" i="4"/>
  <c r="W159" i="4"/>
  <c r="X158" i="4"/>
  <c r="Y158" i="4" s="1"/>
  <c r="W158" i="4"/>
  <c r="Y157" i="4"/>
  <c r="X157" i="4"/>
  <c r="W157" i="4"/>
  <c r="X156" i="4"/>
  <c r="Y156" i="4" s="1"/>
  <c r="W156" i="4"/>
  <c r="Y155" i="4"/>
  <c r="X155" i="4"/>
  <c r="W155" i="4"/>
  <c r="X154" i="4"/>
  <c r="Y154" i="4" s="1"/>
  <c r="W154" i="4"/>
  <c r="Y153" i="4"/>
  <c r="X153" i="4"/>
  <c r="W153" i="4"/>
  <c r="X152" i="4"/>
  <c r="Y152" i="4" s="1"/>
  <c r="W152" i="4"/>
  <c r="Y151" i="4"/>
  <c r="X151" i="4"/>
  <c r="W151" i="4"/>
  <c r="X150" i="4"/>
  <c r="Y150" i="4" s="1"/>
  <c r="W150" i="4"/>
  <c r="Y149" i="4"/>
  <c r="X149" i="4"/>
  <c r="W149" i="4"/>
  <c r="X148" i="4"/>
  <c r="Y148" i="4" s="1"/>
  <c r="W148" i="4"/>
  <c r="Y147" i="4"/>
  <c r="X147" i="4"/>
  <c r="W147" i="4"/>
  <c r="X146" i="4"/>
  <c r="Y146" i="4" s="1"/>
  <c r="W146" i="4"/>
  <c r="Y145" i="4"/>
  <c r="X145" i="4"/>
  <c r="W145" i="4"/>
  <c r="X144" i="4"/>
  <c r="Y144" i="4" s="1"/>
  <c r="W144" i="4"/>
  <c r="Y143" i="4"/>
  <c r="X143" i="4"/>
  <c r="W143" i="4"/>
  <c r="X142" i="4"/>
  <c r="Y142" i="4" s="1"/>
  <c r="W142" i="4"/>
  <c r="Y141" i="4"/>
  <c r="X141" i="4"/>
  <c r="W141" i="4"/>
  <c r="X140" i="4"/>
  <c r="Y140" i="4" s="1"/>
  <c r="W140" i="4"/>
  <c r="Y139" i="4"/>
  <c r="X139" i="4"/>
  <c r="W139" i="4"/>
  <c r="X138" i="4"/>
  <c r="Y138" i="4" s="1"/>
  <c r="W138" i="4"/>
  <c r="Y137" i="4"/>
  <c r="X137" i="4"/>
  <c r="W137" i="4"/>
  <c r="X136" i="4"/>
  <c r="Y136" i="4" s="1"/>
  <c r="W136" i="4"/>
  <c r="Y135" i="4"/>
  <c r="X135" i="4"/>
  <c r="W135" i="4"/>
  <c r="X134" i="4"/>
  <c r="Y134" i="4" s="1"/>
  <c r="W134" i="4"/>
  <c r="Y133" i="4"/>
  <c r="X133" i="4"/>
  <c r="W133" i="4"/>
  <c r="X132" i="4"/>
  <c r="Y132" i="4" s="1"/>
  <c r="W132" i="4"/>
  <c r="Y131" i="4"/>
  <c r="X131" i="4"/>
  <c r="W131" i="4"/>
  <c r="X130" i="4"/>
  <c r="Y130" i="4" s="1"/>
  <c r="W130" i="4"/>
  <c r="Y129" i="4"/>
  <c r="X129" i="4"/>
  <c r="W129" i="4"/>
  <c r="X128" i="4"/>
  <c r="Y128" i="4" s="1"/>
  <c r="W128" i="4"/>
  <c r="Y127" i="4"/>
  <c r="X127" i="4"/>
  <c r="W127" i="4"/>
  <c r="X126" i="4"/>
  <c r="Y126" i="4" s="1"/>
  <c r="W126" i="4"/>
  <c r="Y125" i="4"/>
  <c r="X125" i="4"/>
  <c r="W125" i="4"/>
  <c r="X124" i="4"/>
  <c r="Y124" i="4" s="1"/>
  <c r="W124" i="4"/>
  <c r="Y123" i="4"/>
  <c r="X123" i="4"/>
  <c r="W123" i="4"/>
  <c r="X122" i="4"/>
  <c r="Y122" i="4" s="1"/>
  <c r="W122" i="4"/>
  <c r="Y121" i="4"/>
  <c r="X121" i="4"/>
  <c r="W121" i="4"/>
  <c r="X120" i="4"/>
  <c r="Y120" i="4" s="1"/>
  <c r="W120" i="4"/>
  <c r="Y119" i="4"/>
  <c r="X119" i="4"/>
  <c r="W119" i="4"/>
  <c r="X118" i="4"/>
  <c r="Y118" i="4" s="1"/>
  <c r="W118" i="4"/>
  <c r="Y117" i="4"/>
  <c r="X117" i="4"/>
  <c r="W117" i="4"/>
  <c r="X116" i="4"/>
  <c r="Y116" i="4" s="1"/>
  <c r="W116" i="4"/>
  <c r="Y115" i="4"/>
  <c r="X115" i="4"/>
  <c r="W115" i="4"/>
  <c r="X114" i="4"/>
  <c r="Y114" i="4" s="1"/>
  <c r="W114" i="4"/>
  <c r="Y113" i="4"/>
  <c r="X113" i="4"/>
  <c r="W113" i="4"/>
  <c r="X112" i="4"/>
  <c r="Y112" i="4" s="1"/>
  <c r="W112" i="4"/>
  <c r="Y111" i="4"/>
  <c r="X111" i="4"/>
  <c r="W111" i="4"/>
  <c r="X110" i="4"/>
  <c r="Y110" i="4" s="1"/>
  <c r="W110" i="4"/>
  <c r="Y109" i="4"/>
  <c r="X109" i="4"/>
  <c r="W109" i="4"/>
  <c r="X108" i="4"/>
  <c r="Y108" i="4" s="1"/>
  <c r="W108" i="4"/>
  <c r="Y107" i="4"/>
  <c r="X107" i="4"/>
  <c r="W107" i="4"/>
  <c r="X106" i="4"/>
  <c r="Y106" i="4" s="1"/>
  <c r="W106" i="4"/>
  <c r="Y105" i="4"/>
  <c r="X105" i="4"/>
  <c r="W105" i="4"/>
  <c r="X104" i="4"/>
  <c r="Y104" i="4" s="1"/>
  <c r="W104" i="4"/>
  <c r="Y103" i="4"/>
  <c r="X103" i="4"/>
  <c r="W103" i="4"/>
  <c r="X102" i="4"/>
  <c r="Y102" i="4" s="1"/>
  <c r="W102" i="4"/>
  <c r="Y101" i="4"/>
  <c r="X101" i="4"/>
  <c r="W101" i="4"/>
  <c r="X100" i="4"/>
  <c r="Y100" i="4" s="1"/>
  <c r="W100" i="4"/>
  <c r="Y99" i="4"/>
  <c r="X99" i="4"/>
  <c r="W99" i="4"/>
  <c r="X98" i="4"/>
  <c r="Y98" i="4" s="1"/>
  <c r="W98" i="4"/>
  <c r="Y97" i="4"/>
  <c r="X97" i="4"/>
  <c r="W97" i="4"/>
  <c r="X96" i="4"/>
  <c r="Y96" i="4" s="1"/>
  <c r="W96" i="4"/>
  <c r="Y95" i="4"/>
  <c r="X95" i="4"/>
  <c r="W95" i="4"/>
  <c r="X94" i="4"/>
  <c r="Y94" i="4" s="1"/>
  <c r="W94" i="4"/>
  <c r="Y93" i="4"/>
  <c r="X93" i="4"/>
  <c r="W93" i="4"/>
  <c r="X92" i="4"/>
  <c r="Y92" i="4" s="1"/>
  <c r="W92" i="4"/>
  <c r="Y91" i="4"/>
  <c r="X91" i="4"/>
  <c r="W91" i="4"/>
  <c r="X90" i="4"/>
  <c r="Y90" i="4" s="1"/>
  <c r="W90" i="4"/>
  <c r="Y89" i="4"/>
  <c r="X89" i="4"/>
  <c r="W89" i="4"/>
  <c r="X88" i="4"/>
  <c r="Y88" i="4" s="1"/>
  <c r="W88" i="4"/>
  <c r="Y87" i="4"/>
  <c r="X87" i="4"/>
  <c r="W87" i="4"/>
  <c r="X86" i="4"/>
  <c r="Y86" i="4" s="1"/>
  <c r="W86" i="4"/>
  <c r="Y85" i="4"/>
  <c r="X85" i="4"/>
  <c r="W85" i="4"/>
  <c r="X84" i="4"/>
  <c r="Y84" i="4" s="1"/>
  <c r="W84" i="4"/>
  <c r="Y83" i="4"/>
  <c r="X83" i="4"/>
  <c r="W83" i="4"/>
  <c r="X82" i="4"/>
  <c r="Y82" i="4" s="1"/>
  <c r="W82" i="4"/>
  <c r="Y81" i="4"/>
  <c r="X81" i="4"/>
  <c r="W81" i="4"/>
  <c r="X80" i="4"/>
  <c r="Y80" i="4" s="1"/>
  <c r="W80" i="4"/>
  <c r="Y79" i="4"/>
  <c r="X79" i="4"/>
  <c r="W79" i="4"/>
  <c r="X78" i="4"/>
  <c r="Y78" i="4" s="1"/>
  <c r="W78" i="4"/>
  <c r="Y77" i="4"/>
  <c r="X77" i="4"/>
  <c r="W77" i="4"/>
  <c r="X76" i="4"/>
  <c r="Y76" i="4" s="1"/>
  <c r="W76" i="4"/>
  <c r="Y75" i="4"/>
  <c r="X75" i="4"/>
  <c r="W75" i="4"/>
  <c r="X74" i="4"/>
  <c r="Y74" i="4" s="1"/>
  <c r="W74" i="4"/>
  <c r="Y73" i="4"/>
  <c r="X73" i="4"/>
  <c r="W73" i="4"/>
  <c r="X72" i="4"/>
  <c r="Y72" i="4" s="1"/>
  <c r="W72" i="4"/>
  <c r="Y71" i="4"/>
  <c r="X71" i="4"/>
  <c r="W71" i="4"/>
  <c r="X70" i="4"/>
  <c r="Y70" i="4" s="1"/>
  <c r="W70" i="4"/>
  <c r="Y69" i="4"/>
  <c r="X69" i="4"/>
  <c r="W69" i="4"/>
  <c r="X68" i="4"/>
  <c r="Y68" i="4" s="1"/>
  <c r="W68" i="4"/>
  <c r="Y67" i="4"/>
  <c r="X67" i="4"/>
  <c r="W67" i="4"/>
  <c r="X66" i="4"/>
  <c r="Y66" i="4" s="1"/>
  <c r="W66" i="4"/>
  <c r="Y65" i="4"/>
  <c r="X65" i="4"/>
  <c r="W65" i="4"/>
  <c r="X64" i="4"/>
  <c r="Y64" i="4" s="1"/>
  <c r="W64" i="4"/>
  <c r="Y63" i="4"/>
  <c r="X63" i="4"/>
  <c r="W63" i="4"/>
  <c r="X62" i="4"/>
  <c r="Y62" i="4" s="1"/>
  <c r="W62" i="4"/>
  <c r="Y61" i="4"/>
  <c r="X61" i="4"/>
  <c r="W61" i="4"/>
  <c r="X60" i="4"/>
  <c r="Y60" i="4" s="1"/>
  <c r="W60" i="4"/>
  <c r="Y59" i="4"/>
  <c r="X59" i="4"/>
  <c r="W59" i="4"/>
  <c r="X58" i="4"/>
  <c r="Y58" i="4" s="1"/>
  <c r="W58" i="4"/>
  <c r="Y57" i="4"/>
  <c r="X57" i="4"/>
  <c r="W57" i="4"/>
  <c r="X56" i="4"/>
  <c r="Y56" i="4" s="1"/>
  <c r="W56" i="4"/>
  <c r="Y55" i="4"/>
  <c r="X55" i="4"/>
  <c r="W55" i="4"/>
  <c r="X54" i="4"/>
  <c r="Y54" i="4" s="1"/>
  <c r="W54" i="4"/>
  <c r="Y53" i="4"/>
  <c r="X53" i="4"/>
  <c r="W53" i="4"/>
  <c r="X52" i="4"/>
  <c r="Y52" i="4" s="1"/>
  <c r="W52" i="4"/>
  <c r="Y51" i="4"/>
  <c r="X51" i="4"/>
  <c r="W51" i="4"/>
  <c r="X50" i="4"/>
  <c r="Y50" i="4" s="1"/>
  <c r="W50" i="4"/>
  <c r="Y49" i="4"/>
  <c r="X49" i="4"/>
  <c r="W49" i="4"/>
  <c r="X48" i="4"/>
  <c r="Y48" i="4" s="1"/>
  <c r="W48" i="4"/>
  <c r="Y47" i="4"/>
  <c r="X47" i="4"/>
  <c r="W47" i="4"/>
  <c r="X46" i="4"/>
  <c r="Y46" i="4" s="1"/>
  <c r="W46" i="4"/>
  <c r="Y45" i="4"/>
  <c r="X45" i="4"/>
  <c r="W45" i="4"/>
  <c r="X44" i="4"/>
  <c r="Y44" i="4" s="1"/>
  <c r="W44" i="4"/>
  <c r="Y43" i="4"/>
  <c r="X43" i="4"/>
  <c r="W43" i="4"/>
  <c r="X42" i="4"/>
  <c r="Y42" i="4" s="1"/>
  <c r="W42" i="4"/>
  <c r="Y41" i="4"/>
  <c r="X41" i="4"/>
  <c r="W41" i="4"/>
  <c r="X40" i="4"/>
  <c r="Y40" i="4" s="1"/>
  <c r="W40" i="4"/>
  <c r="Y39" i="4"/>
  <c r="X39" i="4"/>
  <c r="W39" i="4"/>
  <c r="X38" i="4"/>
  <c r="Y38" i="4" s="1"/>
  <c r="W38" i="4"/>
  <c r="Y37" i="4"/>
  <c r="X37" i="4"/>
  <c r="W37" i="4"/>
  <c r="X36" i="4"/>
  <c r="Y36" i="4" s="1"/>
  <c r="W36" i="4"/>
  <c r="Y35" i="4"/>
  <c r="X35" i="4"/>
  <c r="W35" i="4"/>
  <c r="X34" i="4"/>
  <c r="Y34" i="4" s="1"/>
  <c r="W34" i="4"/>
  <c r="Y33" i="4"/>
  <c r="X33" i="4"/>
  <c r="W33" i="4"/>
  <c r="X32" i="4"/>
  <c r="Y32" i="4" s="1"/>
  <c r="W32" i="4"/>
  <c r="Y31" i="4"/>
  <c r="X31" i="4"/>
  <c r="W31" i="4"/>
  <c r="X30" i="4"/>
  <c r="Y30" i="4" s="1"/>
  <c r="W30" i="4"/>
  <c r="Y29" i="4"/>
  <c r="X29" i="4"/>
  <c r="W29" i="4"/>
  <c r="X28" i="4"/>
  <c r="Y28" i="4" s="1"/>
  <c r="W28" i="4"/>
  <c r="Y27" i="4"/>
  <c r="X27" i="4"/>
  <c r="W27" i="4"/>
  <c r="X26" i="4"/>
  <c r="Y26" i="4" s="1"/>
  <c r="W26" i="4"/>
  <c r="Y25" i="4"/>
  <c r="X25" i="4"/>
  <c r="W25" i="4"/>
  <c r="X24" i="4"/>
  <c r="Y24" i="4" s="1"/>
  <c r="W24" i="4"/>
  <c r="Y23" i="4"/>
  <c r="X23" i="4"/>
  <c r="W23" i="4"/>
  <c r="X22" i="4"/>
  <c r="Y22" i="4" s="1"/>
  <c r="W22" i="4"/>
  <c r="Y21" i="4"/>
  <c r="X21" i="4"/>
  <c r="W21" i="4"/>
  <c r="X20" i="4"/>
  <c r="Y20" i="4" s="1"/>
  <c r="W20" i="4"/>
  <c r="Y19" i="4"/>
  <c r="X19" i="4"/>
  <c r="W19" i="4"/>
  <c r="X18" i="4"/>
  <c r="Y18" i="4" s="1"/>
  <c r="W18" i="4"/>
  <c r="Y17" i="4"/>
  <c r="X17" i="4"/>
  <c r="W17" i="4"/>
  <c r="X16" i="4"/>
  <c r="Y16" i="4" s="1"/>
  <c r="W16" i="4"/>
  <c r="Y15" i="4"/>
  <c r="X15" i="4"/>
  <c r="W15" i="4"/>
  <c r="X14" i="4"/>
  <c r="Y14" i="4" s="1"/>
  <c r="W14" i="4"/>
  <c r="Y13" i="4"/>
  <c r="X13" i="4"/>
  <c r="W13" i="4"/>
  <c r="X12" i="4"/>
  <c r="Y12" i="4" s="1"/>
  <c r="W12" i="4"/>
  <c r="Y11" i="4"/>
  <c r="X11" i="4"/>
  <c r="W11" i="4"/>
  <c r="X10" i="4"/>
  <c r="Y10" i="4" s="1"/>
  <c r="W10" i="4"/>
  <c r="Y9" i="4"/>
  <c r="X9" i="4"/>
  <c r="W9" i="4"/>
  <c r="X8" i="4"/>
  <c r="Y8" i="4" s="1"/>
  <c r="W8" i="4"/>
  <c r="Y7" i="4"/>
  <c r="X7" i="4"/>
  <c r="W7" i="4"/>
  <c r="X6" i="4"/>
  <c r="Y6" i="4" s="1"/>
  <c r="W6" i="4"/>
  <c r="Y5" i="4"/>
  <c r="X5" i="4"/>
  <c r="W5" i="4"/>
  <c r="X4" i="4"/>
  <c r="Y4" i="4" s="1"/>
  <c r="W4" i="4"/>
  <c r="Y3" i="4"/>
  <c r="X3" i="4"/>
  <c r="W3" i="4"/>
  <c r="X2" i="4"/>
  <c r="Y2" i="4" s="1"/>
  <c r="W2" i="4"/>
  <c r="G229" i="6"/>
  <c r="H229" i="6" s="1"/>
  <c r="I229" i="6" s="1"/>
  <c r="E229" i="6"/>
  <c r="D229" i="6"/>
  <c r="C229" i="6"/>
  <c r="H228" i="6"/>
  <c r="E228" i="6"/>
  <c r="I228" i="6" s="1"/>
  <c r="H227" i="6"/>
  <c r="I227" i="6" s="1"/>
  <c r="E227" i="6"/>
  <c r="I226" i="6"/>
  <c r="H226" i="6"/>
  <c r="E226" i="6"/>
  <c r="H225" i="6"/>
  <c r="I225" i="6" s="1"/>
  <c r="E225" i="6"/>
  <c r="H224" i="6"/>
  <c r="E224" i="6"/>
  <c r="I224" i="6" s="1"/>
  <c r="H223" i="6"/>
  <c r="I223" i="6" s="1"/>
  <c r="E223" i="6"/>
  <c r="I222" i="6"/>
  <c r="H222" i="6"/>
  <c r="E222" i="6"/>
  <c r="H221" i="6"/>
  <c r="I221" i="6" s="1"/>
  <c r="E221" i="6"/>
  <c r="H220" i="6"/>
  <c r="E220" i="6"/>
  <c r="I220" i="6" s="1"/>
  <c r="H219" i="6"/>
  <c r="I219" i="6" s="1"/>
  <c r="E219" i="6"/>
  <c r="I218" i="6"/>
  <c r="H218" i="6"/>
  <c r="E218" i="6"/>
  <c r="H217" i="6"/>
  <c r="I217" i="6" s="1"/>
  <c r="E217" i="6"/>
  <c r="H216" i="6"/>
  <c r="E216" i="6"/>
  <c r="I216" i="6" s="1"/>
  <c r="H215" i="6"/>
  <c r="I215" i="6" s="1"/>
  <c r="E215" i="6"/>
  <c r="I214" i="6"/>
  <c r="H214" i="6"/>
  <c r="E214" i="6"/>
  <c r="H213" i="6"/>
  <c r="I213" i="6" s="1"/>
  <c r="E213" i="6"/>
  <c r="H212" i="6"/>
  <c r="E212" i="6"/>
  <c r="I212" i="6" s="1"/>
  <c r="H211" i="6"/>
  <c r="H210" i="6"/>
  <c r="E210" i="6"/>
  <c r="I210" i="6" s="1"/>
  <c r="H209" i="6"/>
  <c r="I209" i="6" s="1"/>
  <c r="E209" i="6"/>
  <c r="I208" i="6"/>
  <c r="H208" i="6"/>
  <c r="E208" i="6"/>
  <c r="H207" i="6"/>
  <c r="I207" i="6" s="1"/>
  <c r="E207" i="6"/>
  <c r="H206" i="6"/>
  <c r="E206" i="6"/>
  <c r="I206" i="6" s="1"/>
  <c r="X771" i="1"/>
  <c r="Y771" i="1" s="1"/>
  <c r="W771" i="1"/>
  <c r="Y770" i="1"/>
  <c r="X770" i="1"/>
  <c r="W770" i="1"/>
  <c r="X769" i="1"/>
  <c r="Y769" i="1" s="1"/>
  <c r="W769" i="1"/>
  <c r="Y768" i="1"/>
  <c r="X768" i="1"/>
  <c r="W768" i="1"/>
  <c r="X767" i="1"/>
  <c r="Y767" i="1" s="1"/>
  <c r="W767" i="1"/>
  <c r="Y766" i="1"/>
  <c r="X766" i="1"/>
  <c r="W766" i="1"/>
  <c r="X765" i="1"/>
  <c r="Y765" i="1" s="1"/>
  <c r="W765" i="1"/>
  <c r="Y764" i="1"/>
  <c r="X764" i="1"/>
  <c r="W764" i="1"/>
  <c r="X763" i="1"/>
  <c r="Y763" i="1" s="1"/>
  <c r="W763" i="1"/>
  <c r="Y762" i="1"/>
  <c r="X762" i="1"/>
  <c r="W762" i="1"/>
  <c r="X761" i="1"/>
  <c r="Y761" i="1" s="1"/>
  <c r="W761" i="1"/>
  <c r="Y760" i="1"/>
  <c r="X760" i="1"/>
  <c r="W760" i="1"/>
  <c r="X759" i="1"/>
  <c r="Y759" i="1" s="1"/>
  <c r="W759" i="1"/>
  <c r="Y758" i="1"/>
  <c r="X758" i="1"/>
  <c r="W758" i="1"/>
  <c r="X757" i="1"/>
  <c r="Y757" i="1" s="1"/>
  <c r="W757" i="1"/>
  <c r="Y756" i="1"/>
  <c r="X756" i="1"/>
  <c r="W756" i="1"/>
  <c r="X755" i="1"/>
  <c r="Y755" i="1" s="1"/>
  <c r="W755" i="1"/>
  <c r="Y754" i="1"/>
  <c r="X754" i="1"/>
  <c r="W754" i="1"/>
  <c r="X753" i="1"/>
  <c r="Y753" i="1" s="1"/>
  <c r="W753" i="1"/>
  <c r="Y752" i="1"/>
  <c r="X752" i="1"/>
  <c r="W752" i="1"/>
  <c r="X751" i="1"/>
  <c r="Y751" i="1" s="1"/>
  <c r="W751" i="1"/>
  <c r="Y750" i="1"/>
  <c r="X750" i="1"/>
  <c r="W750" i="1"/>
  <c r="X749" i="1"/>
  <c r="Y749" i="1" s="1"/>
  <c r="W749" i="1"/>
  <c r="Y748" i="1"/>
  <c r="X748" i="1"/>
  <c r="W748" i="1"/>
  <c r="X747" i="1"/>
  <c r="Y747" i="1" s="1"/>
  <c r="W747" i="1"/>
  <c r="Y746" i="1"/>
  <c r="X746" i="1"/>
  <c r="W746" i="1"/>
  <c r="X745" i="1"/>
  <c r="Y745" i="1" s="1"/>
  <c r="W745" i="1"/>
  <c r="Y744" i="1"/>
  <c r="X744" i="1"/>
  <c r="W744" i="1"/>
  <c r="X743" i="1"/>
  <c r="Y743" i="1" s="1"/>
  <c r="W743" i="1"/>
  <c r="Y742" i="1"/>
  <c r="X742" i="1"/>
  <c r="W742" i="1"/>
  <c r="X741" i="1"/>
  <c r="Y741" i="1" s="1"/>
  <c r="W741" i="1"/>
  <c r="Y740" i="1"/>
  <c r="X740" i="1"/>
  <c r="W740" i="1"/>
  <c r="X739" i="1"/>
  <c r="Y739" i="1" s="1"/>
  <c r="W739" i="1"/>
  <c r="Y738" i="1"/>
  <c r="X738" i="1"/>
  <c r="W738" i="1"/>
  <c r="X737" i="1"/>
  <c r="Y737" i="1" s="1"/>
  <c r="W737" i="1"/>
  <c r="Y736" i="1"/>
  <c r="X736" i="1"/>
  <c r="W736" i="1"/>
  <c r="X735" i="1"/>
  <c r="Y735" i="1" s="1"/>
  <c r="W735" i="1"/>
  <c r="Y734" i="1"/>
  <c r="X734" i="1"/>
  <c r="W734" i="1"/>
  <c r="X733" i="1"/>
  <c r="Y733" i="1" s="1"/>
  <c r="W733" i="1"/>
  <c r="Y732" i="1"/>
  <c r="X732" i="1"/>
  <c r="W732" i="1"/>
  <c r="X731" i="1"/>
  <c r="Y731" i="1" s="1"/>
  <c r="W731" i="1"/>
  <c r="Y730" i="1"/>
  <c r="X730" i="1"/>
  <c r="W730" i="1"/>
  <c r="X729" i="1"/>
  <c r="Y729" i="1" s="1"/>
  <c r="W729" i="1"/>
  <c r="Y728" i="1"/>
  <c r="X728" i="1"/>
  <c r="W728" i="1"/>
  <c r="X727" i="1"/>
  <c r="Y727" i="1" s="1"/>
  <c r="W727" i="1"/>
  <c r="Y726" i="1"/>
  <c r="X726" i="1"/>
  <c r="W726" i="1"/>
  <c r="X725" i="1"/>
  <c r="Y725" i="1" s="1"/>
  <c r="W725" i="1"/>
  <c r="Y724" i="1"/>
  <c r="X724" i="1"/>
  <c r="W724" i="1"/>
  <c r="X723" i="1"/>
  <c r="Y723" i="1" s="1"/>
  <c r="W723" i="1"/>
  <c r="Y722" i="1"/>
  <c r="X722" i="1"/>
  <c r="W722" i="1"/>
  <c r="X721" i="1"/>
  <c r="Y721" i="1" s="1"/>
  <c r="W721" i="1"/>
  <c r="Y720" i="1"/>
  <c r="X720" i="1"/>
  <c r="W720" i="1"/>
  <c r="X719" i="1"/>
  <c r="Y719" i="1" s="1"/>
  <c r="W719" i="1"/>
  <c r="Y718" i="1"/>
  <c r="X718" i="1"/>
  <c r="W718" i="1"/>
  <c r="X717" i="1"/>
  <c r="Y717" i="1" s="1"/>
  <c r="W717" i="1"/>
  <c r="Y716" i="1"/>
  <c r="X716" i="1"/>
  <c r="W716" i="1"/>
  <c r="X715" i="1"/>
  <c r="Y715" i="1" s="1"/>
  <c r="W715" i="1"/>
  <c r="Y714" i="1"/>
  <c r="X714" i="1"/>
  <c r="W714" i="1"/>
  <c r="X713" i="1"/>
  <c r="Y713" i="1" s="1"/>
  <c r="W713" i="1"/>
  <c r="Y712" i="1"/>
  <c r="X712" i="1"/>
  <c r="W712" i="1"/>
  <c r="X711" i="1"/>
  <c r="Y711" i="1" s="1"/>
  <c r="W711" i="1"/>
  <c r="Y710" i="1"/>
  <c r="X710" i="1"/>
  <c r="W710" i="1"/>
  <c r="X709" i="1"/>
  <c r="Y709" i="1" s="1"/>
  <c r="W709" i="1"/>
  <c r="Y708" i="1"/>
  <c r="X708" i="1"/>
  <c r="W708" i="1"/>
  <c r="X707" i="1"/>
  <c r="Y707" i="1" s="1"/>
  <c r="W707" i="1"/>
  <c r="Y706" i="1"/>
  <c r="X706" i="1"/>
  <c r="W706" i="1"/>
  <c r="X705" i="1"/>
  <c r="Y705" i="1" s="1"/>
  <c r="W705" i="1"/>
  <c r="Y704" i="1"/>
  <c r="X704" i="1"/>
  <c r="W704" i="1"/>
  <c r="X703" i="1"/>
  <c r="Y703" i="1" s="1"/>
  <c r="W703" i="1"/>
  <c r="Y702" i="1"/>
  <c r="X702" i="1"/>
  <c r="W702" i="1"/>
  <c r="X701" i="1"/>
  <c r="Y701" i="1" s="1"/>
  <c r="W701" i="1"/>
  <c r="Y700" i="1"/>
  <c r="X700" i="1"/>
  <c r="W700" i="1"/>
  <c r="X699" i="1"/>
  <c r="Y699" i="1" s="1"/>
  <c r="W699" i="1"/>
  <c r="Y698" i="1"/>
  <c r="X698" i="1"/>
  <c r="W698" i="1"/>
  <c r="X697" i="1"/>
  <c r="Y697" i="1" s="1"/>
  <c r="W697" i="1"/>
  <c r="Y696" i="1"/>
  <c r="X696" i="1"/>
  <c r="W696" i="1"/>
  <c r="X695" i="1"/>
  <c r="Y695" i="1" s="1"/>
  <c r="W695" i="1"/>
  <c r="Y694" i="1"/>
  <c r="X694" i="1"/>
  <c r="W694" i="1"/>
  <c r="X693" i="1"/>
  <c r="Y693" i="1" s="1"/>
  <c r="W693" i="1"/>
  <c r="Y692" i="1"/>
  <c r="X692" i="1"/>
  <c r="W692" i="1"/>
  <c r="X691" i="1"/>
  <c r="Y691" i="1" s="1"/>
  <c r="W691" i="1"/>
  <c r="Y690" i="1"/>
  <c r="X690" i="1"/>
  <c r="W690" i="1"/>
  <c r="X689" i="1"/>
  <c r="Y689" i="1" s="1"/>
  <c r="W689" i="1"/>
  <c r="Y688" i="1"/>
  <c r="X688" i="1"/>
  <c r="W688" i="1"/>
  <c r="X687" i="1"/>
  <c r="Y687" i="1" s="1"/>
  <c r="W687" i="1"/>
  <c r="Y686" i="1"/>
  <c r="X686" i="1"/>
  <c r="W686" i="1"/>
  <c r="X685" i="1"/>
  <c r="Y685" i="1" s="1"/>
  <c r="W685" i="1"/>
  <c r="Y684" i="1"/>
  <c r="X684" i="1"/>
  <c r="W684" i="1"/>
  <c r="X683" i="1"/>
  <c r="Y683" i="1" s="1"/>
  <c r="W683" i="1"/>
  <c r="Y682" i="1"/>
  <c r="X682" i="1"/>
  <c r="W682" i="1"/>
  <c r="X681" i="1"/>
  <c r="Y681" i="1" s="1"/>
  <c r="W681" i="1"/>
  <c r="Y680" i="1"/>
  <c r="X680" i="1"/>
  <c r="W680" i="1"/>
  <c r="X679" i="1"/>
  <c r="Y679" i="1" s="1"/>
  <c r="W679" i="1"/>
  <c r="Y678" i="1"/>
  <c r="X678" i="1"/>
  <c r="W678" i="1"/>
  <c r="X677" i="1"/>
  <c r="Y677" i="1" s="1"/>
  <c r="W677" i="1"/>
  <c r="Y676" i="1"/>
  <c r="X676" i="1"/>
  <c r="W676" i="1"/>
  <c r="X675" i="1"/>
  <c r="Y675" i="1" s="1"/>
  <c r="W675" i="1"/>
  <c r="Y674" i="1"/>
  <c r="X674" i="1"/>
  <c r="W674" i="1"/>
  <c r="X673" i="1"/>
  <c r="Y673" i="1" s="1"/>
  <c r="W673" i="1"/>
  <c r="Y672" i="1"/>
  <c r="X672" i="1"/>
  <c r="W672" i="1"/>
  <c r="X671" i="1"/>
  <c r="Y671" i="1" s="1"/>
  <c r="W671" i="1"/>
  <c r="Y670" i="1"/>
  <c r="X670" i="1"/>
  <c r="W670" i="1"/>
  <c r="X669" i="1"/>
  <c r="Y669" i="1" s="1"/>
  <c r="W669" i="1"/>
  <c r="Y668" i="1"/>
  <c r="X668" i="1"/>
  <c r="W668" i="1"/>
  <c r="X667" i="1"/>
  <c r="Y667" i="1" s="1"/>
  <c r="W667" i="1"/>
  <c r="Y666" i="1"/>
  <c r="X666" i="1"/>
  <c r="W666" i="1"/>
  <c r="X665" i="1"/>
  <c r="Y665" i="1" s="1"/>
  <c r="W665" i="1"/>
  <c r="Y664" i="1"/>
  <c r="X664" i="1"/>
  <c r="W664" i="1"/>
  <c r="X663" i="1"/>
  <c r="Y663" i="1" s="1"/>
  <c r="W663" i="1"/>
  <c r="Y662" i="1"/>
  <c r="X662" i="1"/>
  <c r="W662" i="1"/>
  <c r="X661" i="1"/>
  <c r="Y661" i="1" s="1"/>
  <c r="W661" i="1"/>
  <c r="Y660" i="1"/>
  <c r="X660" i="1"/>
  <c r="W660" i="1"/>
  <c r="X659" i="1"/>
  <c r="Y659" i="1" s="1"/>
  <c r="W659" i="1"/>
  <c r="Y658" i="1"/>
  <c r="X658" i="1"/>
  <c r="W658" i="1"/>
  <c r="X657" i="1"/>
  <c r="Y657" i="1" s="1"/>
  <c r="W657" i="1"/>
  <c r="Y656" i="1"/>
  <c r="X656" i="1"/>
  <c r="W656" i="1"/>
  <c r="X655" i="1"/>
  <c r="Y655" i="1" s="1"/>
  <c r="W655" i="1"/>
  <c r="Y654" i="1"/>
  <c r="X654" i="1"/>
  <c r="W654" i="1"/>
  <c r="X653" i="1"/>
  <c r="Y653" i="1" s="1"/>
  <c r="W653" i="1"/>
  <c r="Y652" i="1"/>
  <c r="X652" i="1"/>
  <c r="W652" i="1"/>
  <c r="X651" i="1"/>
  <c r="Y651" i="1" s="1"/>
  <c r="W651" i="1"/>
  <c r="Y650" i="1"/>
  <c r="X650" i="1"/>
  <c r="W650" i="1"/>
  <c r="X649" i="1"/>
  <c r="Y649" i="1" s="1"/>
  <c r="W649" i="1"/>
  <c r="Y648" i="1"/>
  <c r="X648" i="1"/>
  <c r="W648" i="1"/>
  <c r="X647" i="1"/>
  <c r="Y647" i="1" s="1"/>
  <c r="W647" i="1"/>
  <c r="Y646" i="1"/>
  <c r="X646" i="1"/>
  <c r="W646" i="1"/>
  <c r="X645" i="1"/>
  <c r="Y645" i="1" s="1"/>
  <c r="W645" i="1"/>
  <c r="Y644" i="1"/>
  <c r="X644" i="1"/>
  <c r="W644" i="1"/>
  <c r="X643" i="1"/>
  <c r="Y643" i="1" s="1"/>
  <c r="W643" i="1"/>
  <c r="Y642" i="1"/>
  <c r="X642" i="1"/>
  <c r="W642" i="1"/>
  <c r="X641" i="1"/>
  <c r="Y641" i="1" s="1"/>
  <c r="W641" i="1"/>
  <c r="Y640" i="1"/>
  <c r="X640" i="1"/>
  <c r="W640" i="1"/>
  <c r="X639" i="1"/>
  <c r="Y639" i="1" s="1"/>
  <c r="W639" i="1"/>
  <c r="Y638" i="1"/>
  <c r="X638" i="1"/>
  <c r="W638" i="1"/>
  <c r="X637" i="1"/>
  <c r="Y637" i="1" s="1"/>
  <c r="W637" i="1"/>
  <c r="Y636" i="1"/>
  <c r="X636" i="1"/>
  <c r="W636" i="1"/>
  <c r="X635" i="1"/>
  <c r="Y635" i="1" s="1"/>
  <c r="W635" i="1"/>
  <c r="Y634" i="1"/>
  <c r="X634" i="1"/>
  <c r="W634" i="1"/>
  <c r="X633" i="1"/>
  <c r="Y633" i="1" s="1"/>
  <c r="W633" i="1"/>
  <c r="Y632" i="1"/>
  <c r="X632" i="1"/>
  <c r="W632" i="1"/>
  <c r="X631" i="1"/>
  <c r="Y631" i="1" s="1"/>
  <c r="W631" i="1"/>
  <c r="Y630" i="1"/>
  <c r="X630" i="1"/>
  <c r="W630" i="1"/>
  <c r="X629" i="1"/>
  <c r="Y629" i="1" s="1"/>
  <c r="W629" i="1"/>
  <c r="Y628" i="1"/>
  <c r="X628" i="1"/>
  <c r="W628" i="1"/>
  <c r="X627" i="1"/>
  <c r="Y627" i="1" s="1"/>
  <c r="W627" i="1"/>
  <c r="Y626" i="1"/>
  <c r="X626" i="1"/>
  <c r="W626" i="1"/>
  <c r="X625" i="1"/>
  <c r="Y625" i="1" s="1"/>
  <c r="W625" i="1"/>
  <c r="Y624" i="1"/>
  <c r="X624" i="1"/>
  <c r="W624" i="1"/>
  <c r="X623" i="1"/>
  <c r="Y623" i="1" s="1"/>
  <c r="W623" i="1"/>
  <c r="Y622" i="1"/>
  <c r="X622" i="1"/>
  <c r="W622" i="1"/>
  <c r="X621" i="1"/>
  <c r="Y621" i="1" s="1"/>
  <c r="W621" i="1"/>
  <c r="Y620" i="1"/>
  <c r="X620" i="1"/>
  <c r="W620" i="1"/>
  <c r="X619" i="1"/>
  <c r="Y619" i="1" s="1"/>
  <c r="W619" i="1"/>
  <c r="Y618" i="1"/>
  <c r="X618" i="1"/>
  <c r="W618" i="1"/>
  <c r="X617" i="1"/>
  <c r="Y617" i="1" s="1"/>
  <c r="W617" i="1"/>
  <c r="Y616" i="1"/>
  <c r="X616" i="1"/>
  <c r="W616" i="1"/>
  <c r="X615" i="1"/>
  <c r="Y615" i="1" s="1"/>
  <c r="W615" i="1"/>
  <c r="Y614" i="1"/>
  <c r="X614" i="1"/>
  <c r="W614" i="1"/>
  <c r="X613" i="1"/>
  <c r="Y613" i="1" s="1"/>
  <c r="W613" i="1"/>
  <c r="Y612" i="1"/>
  <c r="X612" i="1"/>
  <c r="W612" i="1"/>
  <c r="X611" i="1"/>
  <c r="Y611" i="1" s="1"/>
  <c r="W611" i="1"/>
  <c r="Y610" i="1"/>
  <c r="X610" i="1"/>
  <c r="W610" i="1"/>
  <c r="X609" i="1"/>
  <c r="Y609" i="1" s="1"/>
  <c r="W609" i="1"/>
  <c r="Y608" i="1"/>
  <c r="X608" i="1"/>
  <c r="W608" i="1"/>
  <c r="X607" i="1"/>
  <c r="Y607" i="1" s="1"/>
  <c r="W607" i="1"/>
  <c r="Y606" i="1"/>
  <c r="X606" i="1"/>
  <c r="W606" i="1"/>
  <c r="X605" i="1"/>
  <c r="Y605" i="1" s="1"/>
  <c r="W605" i="1"/>
  <c r="Y604" i="1"/>
  <c r="X604" i="1"/>
  <c r="W604" i="1"/>
  <c r="X603" i="1"/>
  <c r="Y603" i="1" s="1"/>
  <c r="W603" i="1"/>
  <c r="Y602" i="1"/>
  <c r="X602" i="1"/>
  <c r="W602" i="1"/>
  <c r="X601" i="1"/>
  <c r="Y601" i="1" s="1"/>
  <c r="W601" i="1"/>
  <c r="Y600" i="1"/>
  <c r="X600" i="1"/>
  <c r="W600" i="1"/>
  <c r="X599" i="1"/>
  <c r="Y599" i="1" s="1"/>
  <c r="W599" i="1"/>
  <c r="Y598" i="1"/>
  <c r="X598" i="1"/>
  <c r="W598" i="1"/>
  <c r="X597" i="1"/>
  <c r="Y597" i="1" s="1"/>
  <c r="W597" i="1"/>
  <c r="Y596" i="1"/>
  <c r="X596" i="1"/>
  <c r="W596" i="1"/>
  <c r="X595" i="1"/>
  <c r="Y595" i="1" s="1"/>
  <c r="W595" i="1"/>
  <c r="Y594" i="1"/>
  <c r="X594" i="1"/>
  <c r="W594" i="1"/>
  <c r="X593" i="1"/>
  <c r="Y593" i="1" s="1"/>
  <c r="W593" i="1"/>
  <c r="Y592" i="1"/>
  <c r="X592" i="1"/>
  <c r="W592" i="1"/>
  <c r="X591" i="1"/>
  <c r="Y591" i="1" s="1"/>
  <c r="W591" i="1"/>
  <c r="Y590" i="1"/>
  <c r="X590" i="1"/>
  <c r="W590" i="1"/>
  <c r="X589" i="1"/>
  <c r="Y589" i="1" s="1"/>
  <c r="W589" i="1"/>
  <c r="Y588" i="1"/>
  <c r="X588" i="1"/>
  <c r="W588" i="1"/>
  <c r="X587" i="1"/>
  <c r="Y587" i="1" s="1"/>
  <c r="W587" i="1"/>
  <c r="Y586" i="1"/>
  <c r="X586" i="1"/>
  <c r="W586" i="1"/>
  <c r="X585" i="1"/>
  <c r="Y585" i="1" s="1"/>
  <c r="W585" i="1"/>
  <c r="Y584" i="1"/>
  <c r="X584" i="1"/>
  <c r="W584" i="1"/>
  <c r="X583" i="1"/>
  <c r="Y583" i="1" s="1"/>
  <c r="W583" i="1"/>
  <c r="Y582" i="1"/>
  <c r="X582" i="1"/>
  <c r="W582" i="1"/>
  <c r="X581" i="1"/>
  <c r="Y581" i="1" s="1"/>
  <c r="W581" i="1"/>
  <c r="Y580" i="1"/>
  <c r="X580" i="1"/>
  <c r="W580" i="1"/>
  <c r="X579" i="1"/>
  <c r="Y579" i="1" s="1"/>
  <c r="W579" i="1"/>
  <c r="Y578" i="1"/>
  <c r="X578" i="1"/>
  <c r="W578" i="1"/>
  <c r="X577" i="1"/>
  <c r="Y577" i="1" s="1"/>
  <c r="W577" i="1"/>
  <c r="Y576" i="1"/>
  <c r="X576" i="1"/>
  <c r="W576" i="1"/>
  <c r="X575" i="1"/>
  <c r="Y575" i="1" s="1"/>
  <c r="W575" i="1"/>
  <c r="Y574" i="1"/>
  <c r="X574" i="1"/>
  <c r="W574" i="1"/>
  <c r="X573" i="1"/>
  <c r="Y573" i="1" s="1"/>
  <c r="W573" i="1"/>
  <c r="Y572" i="1"/>
  <c r="X572" i="1"/>
  <c r="W572" i="1"/>
  <c r="X571" i="1"/>
  <c r="Y571" i="1" s="1"/>
  <c r="W571" i="1"/>
  <c r="Y570" i="1"/>
  <c r="X570" i="1"/>
  <c r="W570" i="1"/>
  <c r="X569" i="1"/>
  <c r="Y569" i="1" s="1"/>
  <c r="W569" i="1"/>
  <c r="Y568" i="1"/>
  <c r="X568" i="1"/>
  <c r="W568" i="1"/>
  <c r="X567" i="1"/>
  <c r="Y567" i="1" s="1"/>
  <c r="W567" i="1"/>
  <c r="Y566" i="1"/>
  <c r="X566" i="1"/>
  <c r="W566" i="1"/>
  <c r="X565" i="1"/>
  <c r="Y565" i="1" s="1"/>
  <c r="W565" i="1"/>
  <c r="Y564" i="1"/>
  <c r="X564" i="1"/>
  <c r="W564" i="1"/>
  <c r="X563" i="1"/>
  <c r="Y563" i="1" s="1"/>
  <c r="W563" i="1"/>
  <c r="Y562" i="1"/>
  <c r="X562" i="1"/>
  <c r="W562" i="1"/>
  <c r="X561" i="1"/>
  <c r="Y561" i="1" s="1"/>
  <c r="W561" i="1"/>
  <c r="Y560" i="1"/>
  <c r="X560" i="1"/>
  <c r="W560" i="1"/>
  <c r="X559" i="1"/>
  <c r="Y559" i="1" s="1"/>
  <c r="W559" i="1"/>
  <c r="Y558" i="1"/>
  <c r="X558" i="1"/>
  <c r="W558" i="1"/>
  <c r="X557" i="1"/>
  <c r="Y557" i="1" s="1"/>
  <c r="W557" i="1"/>
  <c r="Y556" i="1"/>
  <c r="X556" i="1"/>
  <c r="W556" i="1"/>
  <c r="X555" i="1"/>
  <c r="Y555" i="1" s="1"/>
  <c r="W555" i="1"/>
  <c r="Y554" i="1"/>
  <c r="X554" i="1"/>
  <c r="W554" i="1"/>
  <c r="X553" i="1"/>
  <c r="Y553" i="1" s="1"/>
  <c r="W553" i="1"/>
  <c r="Y552" i="1"/>
  <c r="X552" i="1"/>
  <c r="W552" i="1"/>
  <c r="X551" i="1"/>
  <c r="Y551" i="1" s="1"/>
  <c r="W551" i="1"/>
  <c r="Y550" i="1"/>
  <c r="X550" i="1"/>
  <c r="W550" i="1"/>
  <c r="X549" i="1"/>
  <c r="Y549" i="1" s="1"/>
  <c r="W549" i="1"/>
  <c r="Y548" i="1"/>
  <c r="X548" i="1"/>
  <c r="W548" i="1"/>
  <c r="X547" i="1"/>
  <c r="Y547" i="1" s="1"/>
  <c r="W547" i="1"/>
  <c r="Y546" i="1"/>
  <c r="X546" i="1"/>
  <c r="W546" i="1"/>
  <c r="X545" i="1"/>
  <c r="Y545" i="1" s="1"/>
  <c r="W545" i="1"/>
  <c r="Y544" i="1"/>
  <c r="X544" i="1"/>
  <c r="W544" i="1"/>
  <c r="X543" i="1"/>
  <c r="Y543" i="1" s="1"/>
  <c r="W543" i="1"/>
  <c r="Y542" i="1"/>
  <c r="X542" i="1"/>
  <c r="W542" i="1"/>
  <c r="X541" i="1"/>
  <c r="Y541" i="1" s="1"/>
  <c r="W541" i="1"/>
  <c r="Y540" i="1"/>
  <c r="X540" i="1"/>
  <c r="W540" i="1"/>
  <c r="X539" i="1"/>
  <c r="Y539" i="1" s="1"/>
  <c r="W539" i="1"/>
  <c r="Y538" i="1"/>
  <c r="X538" i="1"/>
  <c r="W538" i="1"/>
  <c r="X537" i="1"/>
  <c r="Y537" i="1" s="1"/>
  <c r="W537" i="1"/>
  <c r="Y536" i="1"/>
  <c r="X536" i="1"/>
  <c r="W536" i="1"/>
  <c r="X535" i="1"/>
  <c r="Y535" i="1" s="1"/>
  <c r="W535" i="1"/>
  <c r="Y534" i="1"/>
  <c r="X534" i="1"/>
  <c r="W534" i="1"/>
  <c r="X533" i="1"/>
  <c r="Y533" i="1" s="1"/>
  <c r="W533" i="1"/>
  <c r="Y532" i="1"/>
  <c r="X532" i="1"/>
  <c r="W532" i="1"/>
  <c r="X531" i="1"/>
  <c r="Y531" i="1" s="1"/>
  <c r="W531" i="1"/>
  <c r="Y530" i="1"/>
  <c r="X530" i="1"/>
  <c r="W530" i="1"/>
  <c r="X529" i="1"/>
  <c r="Y529" i="1" s="1"/>
  <c r="W529" i="1"/>
  <c r="Y528" i="1"/>
  <c r="X528" i="1"/>
  <c r="W528" i="1"/>
  <c r="X527" i="1"/>
  <c r="Y527" i="1" s="1"/>
  <c r="W527" i="1"/>
  <c r="Y526" i="1"/>
  <c r="X526" i="1"/>
  <c r="W526" i="1"/>
  <c r="X525" i="1"/>
  <c r="Y525" i="1" s="1"/>
  <c r="W525" i="1"/>
  <c r="Y524" i="1"/>
  <c r="X524" i="1"/>
  <c r="W524" i="1"/>
  <c r="X523" i="1"/>
  <c r="Y523" i="1" s="1"/>
  <c r="W523" i="1"/>
  <c r="Y522" i="1"/>
  <c r="X522" i="1"/>
  <c r="W522" i="1"/>
  <c r="X521" i="1"/>
  <c r="Y521" i="1" s="1"/>
  <c r="W521" i="1"/>
  <c r="Y520" i="1"/>
  <c r="X520" i="1"/>
  <c r="W520" i="1"/>
  <c r="X519" i="1"/>
  <c r="Y519" i="1" s="1"/>
  <c r="W519" i="1"/>
  <c r="Y518" i="1"/>
  <c r="X518" i="1"/>
  <c r="W518" i="1"/>
  <c r="X517" i="1"/>
  <c r="Y517" i="1" s="1"/>
  <c r="W517" i="1"/>
  <c r="Y516" i="1"/>
  <c r="X516" i="1"/>
  <c r="W516" i="1"/>
  <c r="X515" i="1"/>
  <c r="Y515" i="1" s="1"/>
  <c r="W515" i="1"/>
  <c r="Y514" i="1"/>
  <c r="X514" i="1"/>
  <c r="W514" i="1"/>
  <c r="X513" i="1"/>
  <c r="Y513" i="1" s="1"/>
  <c r="W513" i="1"/>
  <c r="Y512" i="1"/>
  <c r="X512" i="1"/>
  <c r="W512" i="1"/>
  <c r="X511" i="1"/>
  <c r="Y511" i="1" s="1"/>
  <c r="W511" i="1"/>
  <c r="Y510" i="1"/>
  <c r="X510" i="1"/>
  <c r="W510" i="1"/>
  <c r="X509" i="1"/>
  <c r="Y509" i="1" s="1"/>
  <c r="W509" i="1"/>
  <c r="Y508" i="1"/>
  <c r="X508" i="1"/>
  <c r="W508" i="1"/>
  <c r="X507" i="1"/>
  <c r="Y507" i="1" s="1"/>
  <c r="W507" i="1"/>
  <c r="Y506" i="1"/>
  <c r="X506" i="1"/>
  <c r="W506" i="1"/>
  <c r="X505" i="1"/>
  <c r="Y505" i="1" s="1"/>
  <c r="W505" i="1"/>
  <c r="Y504" i="1"/>
  <c r="X504" i="1"/>
  <c r="W504" i="1"/>
  <c r="X503" i="1"/>
  <c r="Y503" i="1" s="1"/>
  <c r="W503" i="1"/>
  <c r="Y502" i="1"/>
  <c r="X502" i="1"/>
  <c r="W502" i="1"/>
  <c r="X501" i="1"/>
  <c r="Y501" i="1" s="1"/>
  <c r="W501" i="1"/>
  <c r="Y500" i="1"/>
  <c r="X500" i="1"/>
  <c r="W500" i="1"/>
  <c r="X499" i="1"/>
  <c r="Y499" i="1" s="1"/>
  <c r="W499" i="1"/>
  <c r="Y498" i="1"/>
  <c r="X498" i="1"/>
  <c r="W498" i="1"/>
  <c r="X497" i="1"/>
  <c r="Y497" i="1" s="1"/>
  <c r="W497" i="1"/>
  <c r="Y496" i="1"/>
  <c r="X496" i="1"/>
  <c r="W496" i="1"/>
  <c r="X495" i="1"/>
  <c r="Y495" i="1" s="1"/>
  <c r="W495" i="1"/>
  <c r="Y494" i="1"/>
  <c r="X494" i="1"/>
  <c r="W494" i="1"/>
  <c r="X493" i="1"/>
  <c r="Y493" i="1" s="1"/>
  <c r="W493" i="1"/>
  <c r="Y492" i="1"/>
  <c r="X492" i="1"/>
  <c r="W492" i="1"/>
  <c r="X491" i="1"/>
  <c r="Y491" i="1" s="1"/>
  <c r="W491" i="1"/>
  <c r="Y490" i="1"/>
  <c r="X490" i="1"/>
  <c r="W490" i="1"/>
  <c r="X489" i="1"/>
  <c r="Y489" i="1" s="1"/>
  <c r="W489" i="1"/>
  <c r="Y488" i="1"/>
  <c r="X488" i="1"/>
  <c r="W488" i="1"/>
  <c r="X487" i="1"/>
  <c r="Y487" i="1" s="1"/>
  <c r="W487" i="1"/>
  <c r="Y486" i="1"/>
  <c r="X486" i="1"/>
  <c r="W486" i="1"/>
  <c r="X485" i="1"/>
  <c r="Y485" i="1" s="1"/>
  <c r="W485" i="1"/>
  <c r="Y484" i="1"/>
  <c r="X484" i="1"/>
  <c r="W484" i="1"/>
  <c r="X483" i="1"/>
  <c r="Y483" i="1" s="1"/>
  <c r="W483" i="1"/>
  <c r="Y482" i="1"/>
  <c r="X482" i="1"/>
  <c r="W482" i="1"/>
  <c r="X481" i="1"/>
  <c r="Y481" i="1" s="1"/>
  <c r="W481" i="1"/>
  <c r="Y480" i="1"/>
  <c r="X480" i="1"/>
  <c r="W480" i="1"/>
  <c r="X479" i="1"/>
  <c r="Y479" i="1" s="1"/>
  <c r="W479" i="1"/>
  <c r="Y478" i="1"/>
  <c r="X478" i="1"/>
  <c r="W478" i="1"/>
  <c r="X477" i="1"/>
  <c r="Y477" i="1" s="1"/>
  <c r="W477" i="1"/>
  <c r="Y476" i="1"/>
  <c r="X476" i="1"/>
  <c r="W476" i="1"/>
  <c r="X475" i="1"/>
  <c r="Y475" i="1" s="1"/>
  <c r="W475" i="1"/>
  <c r="Y474" i="1"/>
  <c r="X474" i="1"/>
  <c r="W474" i="1"/>
  <c r="X473" i="1"/>
  <c r="Y473" i="1" s="1"/>
  <c r="W473" i="1"/>
  <c r="Y472" i="1"/>
  <c r="X472" i="1"/>
  <c r="W472" i="1"/>
  <c r="X471" i="1"/>
  <c r="Y471" i="1" s="1"/>
  <c r="W471" i="1"/>
  <c r="Y470" i="1"/>
  <c r="X470" i="1"/>
  <c r="W470" i="1"/>
  <c r="X469" i="1"/>
  <c r="Y469" i="1" s="1"/>
  <c r="W469" i="1"/>
  <c r="Y468" i="1"/>
  <c r="X468" i="1"/>
  <c r="W468" i="1"/>
  <c r="X467" i="1"/>
  <c r="Y467" i="1" s="1"/>
  <c r="W467" i="1"/>
  <c r="Y466" i="1"/>
  <c r="X466" i="1"/>
  <c r="W466" i="1"/>
  <c r="X465" i="1"/>
  <c r="Y465" i="1" s="1"/>
  <c r="W465" i="1"/>
  <c r="Y464" i="1"/>
  <c r="X464" i="1"/>
  <c r="W464" i="1"/>
  <c r="X463" i="1"/>
  <c r="Y463" i="1" s="1"/>
  <c r="W463" i="1"/>
  <c r="Y462" i="1"/>
  <c r="X462" i="1"/>
  <c r="W462" i="1"/>
  <c r="X461" i="1"/>
  <c r="Y461" i="1" s="1"/>
  <c r="W461" i="1"/>
  <c r="Y460" i="1"/>
  <c r="X460" i="1"/>
  <c r="W460" i="1"/>
  <c r="X459" i="1"/>
  <c r="Y459" i="1" s="1"/>
  <c r="W459" i="1"/>
  <c r="Y458" i="1"/>
  <c r="X458" i="1"/>
  <c r="W458" i="1"/>
  <c r="X457" i="1"/>
  <c r="Y457" i="1" s="1"/>
  <c r="W457" i="1"/>
  <c r="Y456" i="1"/>
  <c r="X456" i="1"/>
  <c r="W456" i="1"/>
  <c r="X455" i="1"/>
  <c r="Y455" i="1" s="1"/>
  <c r="W455" i="1"/>
  <c r="Y454" i="1"/>
  <c r="X454" i="1"/>
  <c r="W454" i="1"/>
  <c r="X453" i="1"/>
  <c r="Y453" i="1" s="1"/>
  <c r="W453" i="1"/>
  <c r="Y452" i="1"/>
  <c r="X452" i="1"/>
  <c r="W452" i="1"/>
  <c r="X451" i="1"/>
  <c r="Y451" i="1" s="1"/>
  <c r="W451" i="1"/>
  <c r="Y450" i="1"/>
  <c r="X450" i="1"/>
  <c r="W450" i="1"/>
  <c r="X449" i="1"/>
  <c r="Y449" i="1" s="1"/>
  <c r="W449" i="1"/>
  <c r="Y448" i="1"/>
  <c r="X448" i="1"/>
  <c r="W448" i="1"/>
  <c r="X447" i="1"/>
  <c r="Y447" i="1" s="1"/>
  <c r="W447" i="1"/>
  <c r="Y446" i="1"/>
  <c r="X446" i="1"/>
  <c r="W446" i="1"/>
  <c r="X445" i="1"/>
  <c r="Y445" i="1" s="1"/>
  <c r="W445" i="1"/>
  <c r="Y444" i="1"/>
  <c r="X444" i="1"/>
  <c r="W444" i="1"/>
  <c r="X443" i="1"/>
  <c r="Y443" i="1" s="1"/>
  <c r="W443" i="1"/>
  <c r="Y442" i="1"/>
  <c r="X442" i="1"/>
  <c r="W442" i="1"/>
  <c r="X441" i="1"/>
  <c r="Y441" i="1" s="1"/>
  <c r="W441" i="1"/>
  <c r="Y440" i="1"/>
  <c r="X440" i="1"/>
  <c r="W440" i="1"/>
  <c r="X439" i="1"/>
  <c r="Y439" i="1" s="1"/>
  <c r="W439" i="1"/>
  <c r="Y438" i="1"/>
  <c r="X438" i="1"/>
  <c r="W438" i="1"/>
  <c r="X437" i="1"/>
  <c r="Y437" i="1" s="1"/>
  <c r="W437" i="1"/>
  <c r="Y436" i="1"/>
  <c r="X436" i="1"/>
  <c r="W436" i="1"/>
  <c r="X435" i="1"/>
  <c r="Y435" i="1" s="1"/>
  <c r="W435" i="1"/>
  <c r="Y434" i="1"/>
  <c r="X434" i="1"/>
  <c r="W434" i="1"/>
  <c r="X433" i="1"/>
  <c r="Y433" i="1" s="1"/>
  <c r="W433" i="1"/>
  <c r="Y432" i="1"/>
  <c r="X432" i="1"/>
  <c r="W432" i="1"/>
  <c r="X431" i="1"/>
  <c r="Y431" i="1" s="1"/>
  <c r="W431" i="1"/>
  <c r="Y430" i="1"/>
  <c r="X430" i="1"/>
  <c r="W430" i="1"/>
  <c r="X429" i="1"/>
  <c r="Y429" i="1" s="1"/>
  <c r="W429" i="1"/>
  <c r="Y428" i="1"/>
  <c r="X428" i="1"/>
  <c r="W428" i="1"/>
  <c r="X427" i="1"/>
  <c r="Y427" i="1" s="1"/>
  <c r="W427" i="1"/>
  <c r="Y426" i="1"/>
  <c r="X426" i="1"/>
  <c r="W426" i="1"/>
  <c r="X425" i="1"/>
  <c r="Y425" i="1" s="1"/>
  <c r="W425" i="1"/>
  <c r="Y424" i="1"/>
  <c r="X424" i="1"/>
  <c r="W424" i="1"/>
  <c r="X423" i="1"/>
  <c r="Y423" i="1" s="1"/>
  <c r="W423" i="1"/>
  <c r="Y422" i="1"/>
  <c r="X422" i="1"/>
  <c r="W422" i="1"/>
  <c r="X421" i="1"/>
  <c r="Y421" i="1" s="1"/>
  <c r="W421" i="1"/>
  <c r="Y420" i="1"/>
  <c r="X420" i="1"/>
  <c r="W420" i="1"/>
  <c r="X419" i="1"/>
  <c r="Y419" i="1" s="1"/>
  <c r="W419" i="1"/>
  <c r="Y418" i="1"/>
  <c r="X418" i="1"/>
  <c r="W418" i="1"/>
  <c r="X417" i="1"/>
  <c r="Y417" i="1" s="1"/>
  <c r="W417" i="1"/>
  <c r="Y416" i="1"/>
  <c r="X416" i="1"/>
  <c r="W416" i="1"/>
  <c r="X415" i="1"/>
  <c r="Y415" i="1" s="1"/>
  <c r="W415" i="1"/>
  <c r="Y414" i="1"/>
  <c r="X414" i="1"/>
  <c r="W414" i="1"/>
  <c r="X413" i="1"/>
  <c r="Y413" i="1" s="1"/>
  <c r="W413" i="1"/>
  <c r="Y412" i="1"/>
  <c r="X412" i="1"/>
  <c r="W412" i="1"/>
  <c r="X411" i="1"/>
  <c r="Y411" i="1" s="1"/>
  <c r="W411" i="1"/>
  <c r="Y410" i="1"/>
  <c r="X410" i="1"/>
  <c r="W410" i="1"/>
  <c r="X409" i="1"/>
  <c r="Y409" i="1" s="1"/>
  <c r="W409" i="1"/>
  <c r="Y408" i="1"/>
  <c r="X408" i="1"/>
  <c r="W408" i="1"/>
  <c r="X407" i="1"/>
  <c r="Y407" i="1" s="1"/>
  <c r="W407" i="1"/>
  <c r="Y406" i="1"/>
  <c r="X406" i="1"/>
  <c r="W406" i="1"/>
  <c r="X405" i="1"/>
  <c r="Y405" i="1" s="1"/>
  <c r="W405" i="1"/>
  <c r="Y404" i="1"/>
  <c r="X404" i="1"/>
  <c r="W404" i="1"/>
  <c r="X403" i="1"/>
  <c r="Y403" i="1" s="1"/>
  <c r="W403" i="1"/>
  <c r="Y402" i="1"/>
  <c r="X402" i="1"/>
  <c r="W402" i="1"/>
  <c r="X401" i="1"/>
  <c r="Y401" i="1" s="1"/>
  <c r="W401" i="1"/>
  <c r="Y400" i="1"/>
  <c r="X400" i="1"/>
  <c r="W400" i="1"/>
  <c r="X399" i="1"/>
  <c r="Y399" i="1" s="1"/>
  <c r="W399" i="1"/>
  <c r="Y398" i="1"/>
  <c r="X398" i="1"/>
  <c r="W398" i="1"/>
  <c r="X397" i="1"/>
  <c r="Y397" i="1" s="1"/>
  <c r="W397" i="1"/>
  <c r="Y396" i="1"/>
  <c r="X396" i="1"/>
  <c r="W396" i="1"/>
  <c r="X395" i="1"/>
  <c r="Y395" i="1" s="1"/>
  <c r="W395" i="1"/>
  <c r="Y394" i="1"/>
  <c r="X394" i="1"/>
  <c r="W394" i="1"/>
  <c r="X393" i="1"/>
  <c r="Y393" i="1" s="1"/>
  <c r="W393" i="1"/>
  <c r="Y392" i="1"/>
  <c r="X392" i="1"/>
  <c r="W392" i="1"/>
  <c r="X391" i="1"/>
  <c r="Y391" i="1" s="1"/>
  <c r="W391" i="1"/>
  <c r="Y390" i="1"/>
  <c r="X390" i="1"/>
  <c r="W390" i="1"/>
  <c r="X389" i="1"/>
  <c r="Y389" i="1" s="1"/>
  <c r="W389" i="1"/>
  <c r="Y388" i="1"/>
  <c r="X388" i="1"/>
  <c r="W388" i="1"/>
  <c r="X387" i="1"/>
  <c r="Y387" i="1" s="1"/>
  <c r="W387" i="1"/>
  <c r="Y386" i="1"/>
  <c r="X386" i="1"/>
  <c r="W386" i="1"/>
  <c r="X385" i="1"/>
  <c r="Y385" i="1" s="1"/>
  <c r="W385" i="1"/>
  <c r="Y384" i="1"/>
  <c r="X384" i="1"/>
  <c r="W384" i="1"/>
  <c r="X383" i="1"/>
  <c r="Y383" i="1" s="1"/>
  <c r="W383" i="1"/>
  <c r="Y382" i="1"/>
  <c r="X382" i="1"/>
  <c r="W382" i="1"/>
  <c r="X381" i="1"/>
  <c r="Y381" i="1" s="1"/>
  <c r="W381" i="1"/>
  <c r="Y380" i="1"/>
  <c r="X380" i="1"/>
  <c r="W380" i="1"/>
  <c r="X379" i="1"/>
  <c r="Y379" i="1" s="1"/>
  <c r="W379" i="1"/>
  <c r="Y378" i="1"/>
  <c r="X378" i="1"/>
  <c r="W378" i="1"/>
  <c r="X377" i="1"/>
  <c r="Y377" i="1" s="1"/>
  <c r="W377" i="1"/>
  <c r="Y376" i="1"/>
  <c r="X376" i="1"/>
  <c r="W376" i="1"/>
  <c r="X375" i="1"/>
  <c r="Y375" i="1" s="1"/>
  <c r="W375" i="1"/>
  <c r="Y374" i="1"/>
  <c r="X374" i="1"/>
  <c r="W374" i="1"/>
  <c r="X373" i="1"/>
  <c r="Y373" i="1" s="1"/>
  <c r="W373" i="1"/>
  <c r="Y372" i="1"/>
  <c r="X372" i="1"/>
  <c r="W372" i="1"/>
  <c r="X371" i="1"/>
  <c r="Y371" i="1" s="1"/>
  <c r="W371" i="1"/>
  <c r="Y370" i="1"/>
  <c r="X370" i="1"/>
  <c r="W370" i="1"/>
  <c r="X369" i="1"/>
  <c r="Y369" i="1" s="1"/>
  <c r="W369" i="1"/>
  <c r="Y368" i="1"/>
  <c r="X368" i="1"/>
  <c r="W368" i="1"/>
  <c r="X367" i="1"/>
  <c r="Y367" i="1" s="1"/>
  <c r="W367" i="1"/>
  <c r="Y366" i="1"/>
  <c r="X366" i="1"/>
  <c r="W366" i="1"/>
  <c r="X365" i="1"/>
  <c r="Y365" i="1" s="1"/>
  <c r="W365" i="1"/>
  <c r="Y364" i="1"/>
  <c r="X364" i="1"/>
  <c r="W364" i="1"/>
  <c r="X363" i="1"/>
  <c r="Y363" i="1" s="1"/>
  <c r="W363" i="1"/>
  <c r="Y362" i="1"/>
  <c r="X362" i="1"/>
  <c r="W362" i="1"/>
  <c r="X361" i="1"/>
  <c r="Y361" i="1" s="1"/>
  <c r="W361" i="1"/>
  <c r="Y360" i="1"/>
  <c r="X360" i="1"/>
  <c r="W360" i="1"/>
  <c r="X359" i="1"/>
  <c r="Y359" i="1" s="1"/>
  <c r="W359" i="1"/>
  <c r="Y358" i="1"/>
  <c r="X358" i="1"/>
  <c r="W358" i="1"/>
  <c r="X357" i="1"/>
  <c r="Y357" i="1" s="1"/>
  <c r="W357" i="1"/>
  <c r="Y356" i="1"/>
  <c r="X356" i="1"/>
  <c r="W356" i="1"/>
  <c r="X355" i="1"/>
  <c r="Y355" i="1" s="1"/>
  <c r="W355" i="1"/>
  <c r="Y354" i="1"/>
  <c r="X354" i="1"/>
  <c r="W354" i="1"/>
  <c r="X353" i="1"/>
  <c r="Y353" i="1" s="1"/>
  <c r="W353" i="1"/>
  <c r="Y352" i="1"/>
  <c r="X352" i="1"/>
  <c r="W352" i="1"/>
  <c r="X351" i="1"/>
  <c r="Y351" i="1" s="1"/>
  <c r="W351" i="1"/>
  <c r="Y350" i="1"/>
  <c r="X350" i="1"/>
  <c r="W350" i="1"/>
  <c r="X349" i="1"/>
  <c r="Y349" i="1" s="1"/>
  <c r="W349" i="1"/>
  <c r="Y348" i="1"/>
  <c r="X348" i="1"/>
  <c r="W348" i="1"/>
  <c r="X347" i="1"/>
  <c r="Y347" i="1" s="1"/>
  <c r="W347" i="1"/>
  <c r="Y346" i="1"/>
  <c r="X346" i="1"/>
  <c r="W346" i="1"/>
  <c r="X345" i="1"/>
  <c r="Y345" i="1" s="1"/>
  <c r="W345" i="1"/>
  <c r="Y344" i="1"/>
  <c r="X344" i="1"/>
  <c r="W344" i="1"/>
  <c r="X343" i="1"/>
  <c r="Y343" i="1" s="1"/>
  <c r="W343" i="1"/>
  <c r="Y342" i="1"/>
  <c r="X342" i="1"/>
  <c r="W342" i="1"/>
  <c r="X341" i="1"/>
  <c r="Y341" i="1" s="1"/>
  <c r="W341" i="1"/>
  <c r="Y340" i="1"/>
  <c r="X340" i="1"/>
  <c r="W340" i="1"/>
  <c r="X339" i="1"/>
  <c r="Y339" i="1" s="1"/>
  <c r="W339" i="1"/>
  <c r="Y338" i="1"/>
  <c r="X338" i="1"/>
  <c r="W338" i="1"/>
  <c r="X337" i="1"/>
  <c r="Y337" i="1" s="1"/>
  <c r="W337" i="1"/>
  <c r="Y336" i="1"/>
  <c r="X336" i="1"/>
  <c r="W336" i="1"/>
  <c r="X335" i="1"/>
  <c r="Y335" i="1" s="1"/>
  <c r="W335" i="1"/>
  <c r="Y334" i="1"/>
  <c r="X334" i="1"/>
  <c r="W334" i="1"/>
  <c r="X333" i="1"/>
  <c r="Y333" i="1" s="1"/>
  <c r="W333" i="1"/>
  <c r="Y332" i="1"/>
  <c r="X332" i="1"/>
  <c r="W332" i="1"/>
  <c r="X331" i="1"/>
  <c r="Y331" i="1" s="1"/>
  <c r="W331" i="1"/>
  <c r="Y330" i="1"/>
  <c r="X330" i="1"/>
  <c r="W330" i="1"/>
  <c r="X329" i="1"/>
  <c r="Y329" i="1" s="1"/>
  <c r="W329" i="1"/>
  <c r="Y328" i="1"/>
  <c r="X328" i="1"/>
  <c r="W328" i="1"/>
  <c r="X327" i="1"/>
  <c r="Y327" i="1" s="1"/>
  <c r="W327" i="1"/>
  <c r="Y326" i="1"/>
  <c r="X326" i="1"/>
  <c r="W326" i="1"/>
  <c r="X325" i="1"/>
  <c r="Y325" i="1" s="1"/>
  <c r="W325" i="1"/>
  <c r="Y324" i="1"/>
  <c r="X324" i="1"/>
  <c r="W324" i="1"/>
  <c r="X323" i="1"/>
  <c r="Y323" i="1" s="1"/>
  <c r="W323" i="1"/>
  <c r="Y322" i="1"/>
  <c r="X322" i="1"/>
  <c r="W322" i="1"/>
  <c r="X321" i="1"/>
  <c r="Y321" i="1" s="1"/>
  <c r="W321" i="1"/>
  <c r="Y320" i="1"/>
  <c r="X320" i="1"/>
  <c r="W320" i="1"/>
  <c r="X319" i="1"/>
  <c r="Y319" i="1" s="1"/>
  <c r="W319" i="1"/>
  <c r="Y318" i="1"/>
  <c r="X318" i="1"/>
  <c r="W318" i="1"/>
  <c r="X317" i="1"/>
  <c r="Y317" i="1" s="1"/>
  <c r="W317" i="1"/>
  <c r="Y316" i="1"/>
  <c r="X316" i="1"/>
  <c r="W316" i="1"/>
  <c r="X315" i="1"/>
  <c r="Y315" i="1" s="1"/>
  <c r="W315" i="1"/>
  <c r="Y314" i="1"/>
  <c r="X314" i="1"/>
  <c r="W314" i="1"/>
  <c r="X313" i="1"/>
  <c r="Y313" i="1" s="1"/>
  <c r="W313" i="1"/>
  <c r="Y312" i="1"/>
  <c r="X312" i="1"/>
  <c r="W312" i="1"/>
  <c r="X311" i="1"/>
  <c r="Y311" i="1" s="1"/>
  <c r="W311" i="1"/>
  <c r="Y310" i="1"/>
  <c r="X310" i="1"/>
  <c r="W310" i="1"/>
  <c r="X309" i="1"/>
  <c r="Y309" i="1" s="1"/>
  <c r="W309" i="1"/>
  <c r="Y308" i="1"/>
  <c r="X308" i="1"/>
  <c r="W308" i="1"/>
  <c r="X307" i="1"/>
  <c r="Y307" i="1" s="1"/>
  <c r="W307" i="1"/>
  <c r="Y306" i="1"/>
  <c r="X306" i="1"/>
  <c r="W306" i="1"/>
  <c r="X305" i="1"/>
  <c r="Y305" i="1" s="1"/>
  <c r="W305" i="1"/>
  <c r="Y304" i="1"/>
  <c r="X304" i="1"/>
  <c r="W304" i="1"/>
  <c r="X303" i="1"/>
  <c r="Y303" i="1" s="1"/>
  <c r="W303" i="1"/>
  <c r="Y302" i="1"/>
  <c r="X302" i="1"/>
  <c r="W302" i="1"/>
  <c r="X301" i="1"/>
  <c r="Y301" i="1" s="1"/>
  <c r="W301" i="1"/>
  <c r="Y300" i="1"/>
  <c r="X300" i="1"/>
  <c r="W300" i="1"/>
  <c r="X299" i="1"/>
  <c r="Y299" i="1" s="1"/>
  <c r="W299" i="1"/>
  <c r="Y298" i="1"/>
  <c r="X298" i="1"/>
  <c r="W298" i="1"/>
  <c r="X297" i="1"/>
  <c r="Y297" i="1" s="1"/>
  <c r="W297" i="1"/>
  <c r="Y296" i="1"/>
  <c r="X296" i="1"/>
  <c r="W296" i="1"/>
  <c r="X295" i="1"/>
  <c r="Y295" i="1" s="1"/>
  <c r="W295" i="1"/>
  <c r="Y294" i="1"/>
  <c r="X294" i="1"/>
  <c r="W294" i="1"/>
  <c r="X293" i="1"/>
  <c r="Y293" i="1" s="1"/>
  <c r="W293" i="1"/>
  <c r="Y292" i="1"/>
  <c r="X292" i="1"/>
  <c r="W292" i="1"/>
  <c r="X291" i="1"/>
  <c r="Y291" i="1" s="1"/>
  <c r="W291" i="1"/>
  <c r="Y290" i="1"/>
  <c r="X290" i="1"/>
  <c r="W290" i="1"/>
  <c r="X289" i="1"/>
  <c r="Y289" i="1" s="1"/>
  <c r="W289" i="1"/>
  <c r="Y288" i="1"/>
  <c r="X288" i="1"/>
  <c r="W288" i="1"/>
  <c r="X287" i="1"/>
  <c r="Y287" i="1" s="1"/>
  <c r="W287" i="1"/>
  <c r="Y286" i="1"/>
  <c r="X286" i="1"/>
  <c r="W286" i="1"/>
  <c r="X285" i="1"/>
  <c r="Y285" i="1" s="1"/>
  <c r="W285" i="1"/>
  <c r="Y284" i="1"/>
  <c r="X284" i="1"/>
  <c r="W284" i="1"/>
  <c r="X283" i="1"/>
  <c r="Y283" i="1" s="1"/>
  <c r="W283" i="1"/>
  <c r="Y282" i="1"/>
  <c r="X282" i="1"/>
  <c r="W282" i="1"/>
  <c r="X281" i="1"/>
  <c r="Y281" i="1" s="1"/>
  <c r="W281" i="1"/>
  <c r="Y280" i="1"/>
  <c r="X280" i="1"/>
  <c r="W280" i="1"/>
  <c r="X279" i="1"/>
  <c r="Y279" i="1" s="1"/>
  <c r="W279" i="1"/>
  <c r="Y278" i="1"/>
  <c r="X278" i="1"/>
  <c r="W278" i="1"/>
  <c r="X277" i="1"/>
  <c r="Y277" i="1" s="1"/>
  <c r="W277" i="1"/>
  <c r="Y276" i="1"/>
  <c r="X276" i="1"/>
  <c r="W276" i="1"/>
  <c r="X275" i="1"/>
  <c r="Y275" i="1" s="1"/>
  <c r="W275" i="1"/>
  <c r="Y274" i="1"/>
  <c r="X274" i="1"/>
  <c r="W274" i="1"/>
  <c r="X273" i="1"/>
  <c r="Y273" i="1" s="1"/>
  <c r="W273" i="1"/>
  <c r="Y272" i="1"/>
  <c r="X272" i="1"/>
  <c r="W272" i="1"/>
  <c r="X271" i="1"/>
  <c r="Y271" i="1" s="1"/>
  <c r="W271" i="1"/>
  <c r="Y270" i="1"/>
  <c r="X270" i="1"/>
  <c r="W270" i="1"/>
  <c r="X269" i="1"/>
  <c r="Y269" i="1" s="1"/>
  <c r="W269" i="1"/>
  <c r="Y268" i="1"/>
  <c r="X268" i="1"/>
  <c r="W268" i="1"/>
  <c r="X267" i="1"/>
  <c r="Y267" i="1" s="1"/>
  <c r="W267" i="1"/>
  <c r="Y266" i="1"/>
  <c r="X266" i="1"/>
  <c r="W266" i="1"/>
  <c r="X265" i="1"/>
  <c r="Y265" i="1" s="1"/>
  <c r="W265" i="1"/>
  <c r="Y264" i="1"/>
  <c r="X264" i="1"/>
  <c r="W264" i="1"/>
  <c r="X263" i="1"/>
  <c r="Y263" i="1" s="1"/>
  <c r="W263" i="1"/>
  <c r="Y262" i="1"/>
  <c r="X262" i="1"/>
  <c r="W262" i="1"/>
  <c r="X261" i="1"/>
  <c r="Y261" i="1" s="1"/>
  <c r="W261" i="1"/>
  <c r="Y260" i="1"/>
  <c r="X260" i="1"/>
  <c r="W260" i="1"/>
  <c r="X259" i="1"/>
  <c r="Y259" i="1" s="1"/>
  <c r="W259" i="1"/>
  <c r="Y258" i="1"/>
  <c r="X258" i="1"/>
  <c r="W258" i="1"/>
  <c r="X257" i="1"/>
  <c r="Y257" i="1" s="1"/>
  <c r="W257" i="1"/>
  <c r="Y256" i="1"/>
  <c r="X256" i="1"/>
  <c r="W256" i="1"/>
  <c r="X255" i="1"/>
  <c r="Y255" i="1" s="1"/>
  <c r="W255" i="1"/>
  <c r="Y254" i="1"/>
  <c r="X254" i="1"/>
  <c r="W254" i="1"/>
  <c r="X253" i="1"/>
  <c r="Y253" i="1" s="1"/>
  <c r="W253" i="1"/>
  <c r="Y252" i="1"/>
  <c r="X252" i="1"/>
  <c r="W252" i="1"/>
  <c r="X251" i="1"/>
  <c r="Y251" i="1" s="1"/>
  <c r="W251" i="1"/>
  <c r="Y250" i="1"/>
  <c r="X250" i="1"/>
  <c r="W250" i="1"/>
  <c r="X249" i="1"/>
  <c r="Y249" i="1" s="1"/>
  <c r="W249" i="1"/>
  <c r="Y248" i="1"/>
  <c r="X248" i="1"/>
  <c r="W248" i="1"/>
  <c r="X247" i="1"/>
  <c r="Y247" i="1" s="1"/>
  <c r="W247" i="1"/>
  <c r="X246" i="1"/>
  <c r="Y246" i="1" s="1"/>
  <c r="W246" i="1"/>
  <c r="Y245" i="1"/>
  <c r="X245" i="1"/>
  <c r="W245" i="1"/>
  <c r="Y244" i="1"/>
  <c r="X244" i="1"/>
  <c r="W244" i="1"/>
  <c r="X243" i="1"/>
  <c r="Y243" i="1" s="1"/>
  <c r="W243" i="1"/>
  <c r="X242" i="1"/>
  <c r="Y242" i="1" s="1"/>
  <c r="W242" i="1"/>
  <c r="Y241" i="1"/>
  <c r="X241" i="1"/>
  <c r="W241" i="1"/>
  <c r="Y240" i="1"/>
  <c r="X240" i="1"/>
  <c r="W240" i="1"/>
  <c r="X239" i="1"/>
  <c r="Y239" i="1" s="1"/>
  <c r="W239" i="1"/>
  <c r="X238" i="1"/>
  <c r="Y238" i="1" s="1"/>
  <c r="W238" i="1"/>
  <c r="Y237" i="1"/>
  <c r="X237" i="1"/>
  <c r="W237" i="1"/>
  <c r="Y236" i="1"/>
  <c r="X236" i="1"/>
  <c r="W236" i="1"/>
  <c r="X235" i="1"/>
  <c r="Y235" i="1" s="1"/>
  <c r="W235" i="1"/>
  <c r="X234" i="1"/>
  <c r="Y234" i="1" s="1"/>
  <c r="W234" i="1"/>
  <c r="Y233" i="1"/>
  <c r="X233" i="1"/>
  <c r="W233" i="1"/>
  <c r="Y232" i="1"/>
  <c r="X232" i="1"/>
  <c r="W232" i="1"/>
  <c r="X231" i="1"/>
  <c r="Y231" i="1" s="1"/>
  <c r="W231" i="1"/>
  <c r="X230" i="1"/>
  <c r="Y230" i="1" s="1"/>
  <c r="W230" i="1"/>
  <c r="Y229" i="1"/>
  <c r="X229" i="1"/>
  <c r="W229" i="1"/>
  <c r="Y228" i="1"/>
  <c r="X228" i="1"/>
  <c r="W228" i="1"/>
  <c r="X227" i="1"/>
  <c r="Y227" i="1" s="1"/>
  <c r="W227" i="1"/>
  <c r="X226" i="1"/>
  <c r="Y226" i="1" s="1"/>
  <c r="W226" i="1"/>
  <c r="Y225" i="1"/>
  <c r="X225" i="1"/>
  <c r="W225" i="1"/>
  <c r="Y224" i="1"/>
  <c r="X224" i="1"/>
  <c r="W224" i="1"/>
  <c r="X223" i="1"/>
  <c r="Y223" i="1" s="1"/>
  <c r="W223" i="1"/>
  <c r="X222" i="1"/>
  <c r="Y222" i="1" s="1"/>
  <c r="W222" i="1"/>
  <c r="Y221" i="1"/>
  <c r="X221" i="1"/>
  <c r="W221" i="1"/>
  <c r="Y220" i="1"/>
  <c r="X220" i="1"/>
  <c r="W220" i="1"/>
  <c r="X219" i="1"/>
  <c r="Y219" i="1" s="1"/>
  <c r="W219" i="1"/>
  <c r="X218" i="1"/>
  <c r="Y218" i="1" s="1"/>
  <c r="W218" i="1"/>
  <c r="Y217" i="1"/>
  <c r="X217" i="1"/>
  <c r="W217" i="1"/>
  <c r="Y216" i="1"/>
  <c r="X216" i="1"/>
  <c r="W216" i="1"/>
  <c r="X215" i="1"/>
  <c r="Y215" i="1" s="1"/>
  <c r="W215" i="1"/>
  <c r="X214" i="1"/>
  <c r="Y214" i="1" s="1"/>
  <c r="W214" i="1"/>
  <c r="Y213" i="1"/>
  <c r="X213" i="1"/>
  <c r="W213" i="1"/>
  <c r="Y212" i="1"/>
  <c r="X212" i="1"/>
  <c r="W212" i="1"/>
  <c r="X211" i="1"/>
  <c r="Y211" i="1" s="1"/>
  <c r="W211" i="1"/>
  <c r="X210" i="1"/>
  <c r="Y210" i="1" s="1"/>
  <c r="W210" i="1"/>
  <c r="Y209" i="1"/>
  <c r="X209" i="1"/>
  <c r="W209" i="1"/>
  <c r="Y208" i="1"/>
  <c r="X208" i="1"/>
  <c r="W208" i="1"/>
  <c r="X207" i="1"/>
  <c r="Y207" i="1" s="1"/>
  <c r="W207" i="1"/>
  <c r="X206" i="1"/>
  <c r="Y206" i="1" s="1"/>
  <c r="W206" i="1"/>
  <c r="Y205" i="1"/>
  <c r="X205" i="1"/>
  <c r="W205" i="1"/>
  <c r="Y204" i="1"/>
  <c r="X204" i="1"/>
  <c r="W204" i="1"/>
  <c r="X203" i="1"/>
  <c r="Y203" i="1" s="1"/>
  <c r="W203" i="1"/>
  <c r="X202" i="1"/>
  <c r="Y202" i="1" s="1"/>
  <c r="W202" i="1"/>
  <c r="Y201" i="1"/>
  <c r="X201" i="1"/>
  <c r="W201" i="1"/>
  <c r="Y200" i="1"/>
  <c r="X200" i="1"/>
  <c r="W200" i="1"/>
  <c r="X199" i="1"/>
  <c r="Y199" i="1" s="1"/>
  <c r="W199" i="1"/>
  <c r="X198" i="1"/>
  <c r="Y198" i="1" s="1"/>
  <c r="W198" i="1"/>
  <c r="Y197" i="1"/>
  <c r="X197" i="1"/>
  <c r="W197" i="1"/>
  <c r="Y196" i="1"/>
  <c r="X196" i="1"/>
  <c r="W196" i="1"/>
  <c r="X195" i="1"/>
  <c r="Y195" i="1" s="1"/>
  <c r="W195" i="1"/>
  <c r="X194" i="1"/>
  <c r="Y194" i="1" s="1"/>
  <c r="W194" i="1"/>
  <c r="Y193" i="1"/>
  <c r="X193" i="1"/>
  <c r="W193" i="1"/>
  <c r="Y192" i="1"/>
  <c r="X192" i="1"/>
  <c r="W192" i="1"/>
  <c r="X191" i="1"/>
  <c r="Y191" i="1" s="1"/>
  <c r="W191" i="1"/>
  <c r="X190" i="1"/>
  <c r="Y190" i="1" s="1"/>
  <c r="W190" i="1"/>
  <c r="Y189" i="1"/>
  <c r="X189" i="1"/>
  <c r="W189" i="1"/>
  <c r="Y188" i="1"/>
  <c r="X188" i="1"/>
  <c r="W188" i="1"/>
  <c r="X187" i="1"/>
  <c r="Y187" i="1" s="1"/>
  <c r="W187" i="1"/>
  <c r="X186" i="1"/>
  <c r="Y186" i="1" s="1"/>
  <c r="W186" i="1"/>
  <c r="Y185" i="1"/>
  <c r="X185" i="1"/>
  <c r="W185" i="1"/>
  <c r="Y184" i="1"/>
  <c r="X184" i="1"/>
  <c r="W184" i="1"/>
  <c r="X183" i="1"/>
  <c r="Y183" i="1" s="1"/>
  <c r="W183" i="1"/>
  <c r="X182" i="1"/>
  <c r="Y182" i="1" s="1"/>
  <c r="W182" i="1"/>
  <c r="Y181" i="1"/>
  <c r="X181" i="1"/>
  <c r="W181" i="1"/>
  <c r="Y180" i="1"/>
  <c r="X180" i="1"/>
  <c r="W180" i="1"/>
  <c r="X179" i="1"/>
  <c r="Y179" i="1" s="1"/>
  <c r="W179" i="1"/>
  <c r="X178" i="1"/>
  <c r="Y178" i="1" s="1"/>
  <c r="W178" i="1"/>
  <c r="Y177" i="1"/>
  <c r="X177" i="1"/>
  <c r="W177" i="1"/>
  <c r="Y176" i="1"/>
  <c r="X176" i="1"/>
  <c r="W176" i="1"/>
  <c r="X175" i="1"/>
  <c r="Y175" i="1" s="1"/>
  <c r="W175" i="1"/>
  <c r="X174" i="1"/>
  <c r="Y174" i="1" s="1"/>
  <c r="W174" i="1"/>
  <c r="Y173" i="1"/>
  <c r="X173" i="1"/>
  <c r="W173" i="1"/>
  <c r="Y172" i="1"/>
  <c r="X172" i="1"/>
  <c r="W172" i="1"/>
  <c r="X171" i="1"/>
  <c r="Y171" i="1" s="1"/>
  <c r="W171" i="1"/>
  <c r="X170" i="1"/>
  <c r="Y170" i="1" s="1"/>
  <c r="W170" i="1"/>
  <c r="Y169" i="1"/>
  <c r="X169" i="1"/>
  <c r="W169" i="1"/>
  <c r="Y168" i="1"/>
  <c r="X168" i="1"/>
  <c r="W168" i="1"/>
  <c r="X167" i="1"/>
  <c r="Y167" i="1" s="1"/>
  <c r="W167" i="1"/>
  <c r="X166" i="1"/>
  <c r="Y166" i="1" s="1"/>
  <c r="W166" i="1"/>
  <c r="Y165" i="1"/>
  <c r="X165" i="1"/>
  <c r="W165" i="1"/>
  <c r="Y164" i="1"/>
  <c r="X164" i="1"/>
  <c r="W164" i="1"/>
  <c r="X163" i="1"/>
  <c r="Y163" i="1" s="1"/>
  <c r="W163" i="1"/>
  <c r="X162" i="1"/>
  <c r="Y162" i="1" s="1"/>
  <c r="W162" i="1"/>
  <c r="Y161" i="1"/>
  <c r="X161" i="1"/>
  <c r="W161" i="1"/>
  <c r="Y160" i="1"/>
  <c r="X160" i="1"/>
  <c r="W160" i="1"/>
  <c r="X159" i="1"/>
  <c r="Y159" i="1" s="1"/>
  <c r="W159" i="1"/>
  <c r="X158" i="1"/>
  <c r="Y158" i="1" s="1"/>
  <c r="W158" i="1"/>
  <c r="Y157" i="1"/>
  <c r="X157" i="1"/>
  <c r="W157" i="1"/>
  <c r="Y156" i="1"/>
  <c r="X156" i="1"/>
  <c r="W156" i="1"/>
  <c r="X155" i="1"/>
  <c r="Y155" i="1" s="1"/>
  <c r="W155" i="1"/>
  <c r="X154" i="1"/>
  <c r="Y154" i="1" s="1"/>
  <c r="W154" i="1"/>
  <c r="Y153" i="1"/>
  <c r="X153" i="1"/>
  <c r="W153" i="1"/>
  <c r="Y152" i="1"/>
  <c r="X152" i="1"/>
  <c r="W152" i="1"/>
  <c r="X151" i="1"/>
  <c r="Y151" i="1" s="1"/>
  <c r="W151" i="1"/>
  <c r="X150" i="1"/>
  <c r="Y150" i="1" s="1"/>
  <c r="W150" i="1"/>
  <c r="Y149" i="1"/>
  <c r="X149" i="1"/>
  <c r="W149" i="1"/>
  <c r="Y148" i="1"/>
  <c r="X148" i="1"/>
  <c r="W148" i="1"/>
  <c r="X147" i="1"/>
  <c r="Y147" i="1" s="1"/>
  <c r="W147" i="1"/>
  <c r="X146" i="1"/>
  <c r="Y146" i="1" s="1"/>
  <c r="W146" i="1"/>
  <c r="Y145" i="1"/>
  <c r="X145" i="1"/>
  <c r="W145" i="1"/>
  <c r="Y144" i="1"/>
  <c r="X144" i="1"/>
  <c r="W144" i="1"/>
  <c r="X143" i="1"/>
  <c r="Y143" i="1" s="1"/>
  <c r="W143" i="1"/>
  <c r="X142" i="1"/>
  <c r="Y142" i="1" s="1"/>
  <c r="W142" i="1"/>
  <c r="Y141" i="1"/>
  <c r="X141" i="1"/>
  <c r="W141" i="1"/>
  <c r="Y140" i="1"/>
  <c r="X140" i="1"/>
  <c r="W140" i="1"/>
  <c r="X139" i="1"/>
  <c r="Y139" i="1" s="1"/>
  <c r="W139" i="1"/>
  <c r="X138" i="1"/>
  <c r="Y138" i="1" s="1"/>
  <c r="W138" i="1"/>
  <c r="Y137" i="1"/>
  <c r="X137" i="1"/>
  <c r="W137" i="1"/>
  <c r="Y136" i="1"/>
  <c r="X136" i="1"/>
  <c r="W136" i="1"/>
  <c r="X135" i="1"/>
  <c r="Y135" i="1" s="1"/>
  <c r="W135" i="1"/>
  <c r="X134" i="1"/>
  <c r="Y134" i="1" s="1"/>
  <c r="W134" i="1"/>
  <c r="Y133" i="1"/>
  <c r="X133" i="1"/>
  <c r="W133" i="1"/>
  <c r="Y132" i="1"/>
  <c r="X132" i="1"/>
  <c r="W132" i="1"/>
  <c r="X131" i="1"/>
  <c r="Y131" i="1" s="1"/>
  <c r="W131" i="1"/>
  <c r="X130" i="1"/>
  <c r="Y130" i="1" s="1"/>
  <c r="W130" i="1"/>
  <c r="Y129" i="1"/>
  <c r="X129" i="1"/>
  <c r="W129" i="1"/>
  <c r="Y128" i="1"/>
  <c r="X128" i="1"/>
  <c r="W128" i="1"/>
  <c r="X127" i="1"/>
  <c r="Y127" i="1" s="1"/>
  <c r="W127" i="1"/>
  <c r="X126" i="1"/>
  <c r="Y126" i="1" s="1"/>
  <c r="W126" i="1"/>
  <c r="Y125" i="1"/>
  <c r="X125" i="1"/>
  <c r="W125" i="1"/>
  <c r="Y124" i="1"/>
  <c r="X124" i="1"/>
  <c r="W124" i="1"/>
  <c r="X123" i="1"/>
  <c r="Y123" i="1" s="1"/>
  <c r="W123" i="1"/>
  <c r="X122" i="1"/>
  <c r="Y122" i="1" s="1"/>
  <c r="W122" i="1"/>
  <c r="Y121" i="1"/>
  <c r="X121" i="1"/>
  <c r="W121" i="1"/>
  <c r="Y120" i="1"/>
  <c r="X120" i="1"/>
  <c r="W120" i="1"/>
  <c r="X119" i="1"/>
  <c r="Y119" i="1" s="1"/>
  <c r="W119" i="1"/>
  <c r="X118" i="1"/>
  <c r="Y118" i="1" s="1"/>
  <c r="W118" i="1"/>
  <c r="Y117" i="1"/>
  <c r="X117" i="1"/>
  <c r="W117" i="1"/>
  <c r="Y116" i="1"/>
  <c r="X116" i="1"/>
  <c r="W116" i="1"/>
  <c r="X115" i="1"/>
  <c r="Y115" i="1" s="1"/>
  <c r="W115" i="1"/>
  <c r="X114" i="1"/>
  <c r="Y114" i="1" s="1"/>
  <c r="W114" i="1"/>
  <c r="Y113" i="1"/>
  <c r="X113" i="1"/>
  <c r="W113" i="1"/>
  <c r="Y112" i="1"/>
  <c r="X112" i="1"/>
  <c r="W112" i="1"/>
  <c r="X111" i="1"/>
  <c r="Y111" i="1" s="1"/>
  <c r="W111" i="1"/>
  <c r="X110" i="1"/>
  <c r="Y110" i="1" s="1"/>
  <c r="W110" i="1"/>
  <c r="X109" i="1"/>
  <c r="Y109" i="1" s="1"/>
  <c r="W109" i="1"/>
  <c r="Y108" i="1"/>
  <c r="X108" i="1"/>
  <c r="W108" i="1"/>
  <c r="X107" i="1"/>
  <c r="Y107" i="1" s="1"/>
  <c r="W107" i="1"/>
  <c r="X106" i="1"/>
  <c r="Y106" i="1" s="1"/>
  <c r="W106" i="1"/>
  <c r="X105" i="1"/>
  <c r="Y105" i="1" s="1"/>
  <c r="W105" i="1"/>
  <c r="Y104" i="1"/>
  <c r="X104" i="1"/>
  <c r="W104" i="1"/>
  <c r="X103" i="1"/>
  <c r="Y103" i="1" s="1"/>
  <c r="W103" i="1"/>
  <c r="X102" i="1"/>
  <c r="Y102" i="1" s="1"/>
  <c r="W102" i="1"/>
  <c r="X101" i="1"/>
  <c r="Y101" i="1" s="1"/>
  <c r="W101" i="1"/>
  <c r="Y100" i="1"/>
  <c r="X100" i="1"/>
  <c r="W100" i="1"/>
  <c r="X99" i="1"/>
  <c r="Y99" i="1" s="1"/>
  <c r="W99" i="1"/>
  <c r="X98" i="1"/>
  <c r="Y98" i="1" s="1"/>
  <c r="W98" i="1"/>
  <c r="X97" i="1"/>
  <c r="Y97" i="1" s="1"/>
  <c r="W97" i="1"/>
  <c r="Y96" i="1"/>
  <c r="X96" i="1"/>
  <c r="W96" i="1"/>
  <c r="X95" i="1"/>
  <c r="Y95" i="1" s="1"/>
  <c r="W95" i="1"/>
  <c r="X94" i="1"/>
  <c r="Y94" i="1" s="1"/>
  <c r="W94" i="1"/>
  <c r="X93" i="1"/>
  <c r="Y93" i="1" s="1"/>
  <c r="W93" i="1"/>
  <c r="Y92" i="1"/>
  <c r="X92" i="1"/>
  <c r="W92" i="1"/>
  <c r="X91" i="1"/>
  <c r="Y91" i="1" s="1"/>
  <c r="W91" i="1"/>
  <c r="X90" i="1"/>
  <c r="Y90" i="1" s="1"/>
  <c r="W90" i="1"/>
  <c r="X89" i="1"/>
  <c r="Y89" i="1" s="1"/>
  <c r="W89" i="1"/>
  <c r="Y88" i="1"/>
  <c r="X88" i="1"/>
  <c r="W88" i="1"/>
  <c r="X87" i="1"/>
  <c r="Y87" i="1" s="1"/>
  <c r="W87" i="1"/>
  <c r="X86" i="1"/>
  <c r="Y86" i="1" s="1"/>
  <c r="W86" i="1"/>
  <c r="X85" i="1"/>
  <c r="Y85" i="1" s="1"/>
  <c r="W85" i="1"/>
  <c r="Y84" i="1"/>
  <c r="X84" i="1"/>
  <c r="W84" i="1"/>
  <c r="X83" i="1"/>
  <c r="Y83" i="1" s="1"/>
  <c r="W83" i="1"/>
  <c r="X82" i="1"/>
  <c r="Y82" i="1" s="1"/>
  <c r="W82" i="1"/>
  <c r="X81" i="1"/>
  <c r="Y81" i="1" s="1"/>
  <c r="W81" i="1"/>
  <c r="Y80" i="1"/>
  <c r="X80" i="1"/>
  <c r="W80" i="1"/>
  <c r="X79" i="1"/>
  <c r="Y79" i="1" s="1"/>
  <c r="W79" i="1"/>
  <c r="X78" i="1"/>
  <c r="Y78" i="1" s="1"/>
  <c r="W78" i="1"/>
  <c r="X77" i="1"/>
  <c r="Y77" i="1" s="1"/>
  <c r="W77" i="1"/>
  <c r="Y76" i="1"/>
  <c r="X76" i="1"/>
  <c r="W76" i="1"/>
  <c r="X75" i="1"/>
  <c r="Y75" i="1" s="1"/>
  <c r="W75" i="1"/>
  <c r="X74" i="1"/>
  <c r="Y74" i="1" s="1"/>
  <c r="W74" i="1"/>
  <c r="X73" i="1"/>
  <c r="Y73" i="1" s="1"/>
  <c r="W73" i="1"/>
  <c r="Y72" i="1"/>
  <c r="X72" i="1"/>
  <c r="W72" i="1"/>
  <c r="X71" i="1"/>
  <c r="Y71" i="1" s="1"/>
  <c r="W71" i="1"/>
  <c r="X70" i="1"/>
  <c r="Y70" i="1" s="1"/>
  <c r="W70" i="1"/>
  <c r="X69" i="1"/>
  <c r="Y69" i="1" s="1"/>
  <c r="W69" i="1"/>
  <c r="Y68" i="1"/>
  <c r="X68" i="1"/>
  <c r="W68" i="1"/>
  <c r="X67" i="1"/>
  <c r="Y67" i="1" s="1"/>
  <c r="W67" i="1"/>
  <c r="X66" i="1"/>
  <c r="Y66" i="1" s="1"/>
  <c r="W66" i="1"/>
  <c r="X65" i="1"/>
  <c r="Y65" i="1" s="1"/>
  <c r="W65" i="1"/>
  <c r="Y64" i="1"/>
  <c r="X64" i="1"/>
  <c r="W64" i="1"/>
  <c r="Y63" i="1"/>
  <c r="X63" i="1"/>
  <c r="W63" i="1"/>
  <c r="X62" i="1"/>
  <c r="Y62" i="1" s="1"/>
  <c r="W62" i="1"/>
  <c r="X61" i="1"/>
  <c r="Y61" i="1" s="1"/>
  <c r="W61" i="1"/>
  <c r="Y60" i="1"/>
  <c r="X60" i="1"/>
  <c r="W60" i="1"/>
  <c r="Y59" i="1"/>
  <c r="X59" i="1"/>
  <c r="W59" i="1"/>
  <c r="X58" i="1"/>
  <c r="Y58" i="1" s="1"/>
  <c r="W58" i="1"/>
  <c r="X57" i="1"/>
  <c r="Y57" i="1" s="1"/>
  <c r="W57" i="1"/>
  <c r="Y56" i="1"/>
  <c r="X56" i="1"/>
  <c r="W56" i="1"/>
  <c r="Y55" i="1"/>
  <c r="X55" i="1"/>
  <c r="W55" i="1"/>
  <c r="X54" i="1"/>
  <c r="Y54" i="1" s="1"/>
  <c r="W54" i="1"/>
  <c r="X53" i="1"/>
  <c r="Y53" i="1" s="1"/>
  <c r="W53" i="1"/>
  <c r="Y52" i="1"/>
  <c r="X52" i="1"/>
  <c r="W52" i="1"/>
  <c r="Y51" i="1"/>
  <c r="X51" i="1"/>
  <c r="W51" i="1"/>
  <c r="X50" i="1"/>
  <c r="Y50" i="1" s="1"/>
  <c r="W50" i="1"/>
  <c r="X49" i="1"/>
  <c r="Y49" i="1" s="1"/>
  <c r="W49" i="1"/>
  <c r="Y48" i="1"/>
  <c r="X48" i="1"/>
  <c r="W48" i="1"/>
  <c r="Y47" i="1"/>
  <c r="X47" i="1"/>
  <c r="W47" i="1"/>
  <c r="X46" i="1"/>
  <c r="Y46" i="1" s="1"/>
  <c r="W46" i="1"/>
  <c r="X45" i="1"/>
  <c r="Y45" i="1" s="1"/>
  <c r="W45" i="1"/>
  <c r="Y44" i="1"/>
  <c r="X44" i="1"/>
  <c r="W44" i="1"/>
  <c r="Y43" i="1"/>
  <c r="X43" i="1"/>
  <c r="W43" i="1"/>
  <c r="X42" i="1"/>
  <c r="Y42" i="1" s="1"/>
  <c r="W42" i="1"/>
  <c r="X41" i="1"/>
  <c r="Y41" i="1" s="1"/>
  <c r="W41" i="1"/>
  <c r="Y40" i="1"/>
  <c r="X40" i="1"/>
  <c r="W40" i="1"/>
  <c r="Y39" i="1"/>
  <c r="X39" i="1"/>
  <c r="W39" i="1"/>
  <c r="X38" i="1"/>
  <c r="Y38" i="1" s="1"/>
  <c r="W38" i="1"/>
  <c r="X37" i="1"/>
  <c r="Y37" i="1" s="1"/>
  <c r="W37" i="1"/>
  <c r="Y36" i="1"/>
  <c r="X36" i="1"/>
  <c r="W36" i="1"/>
  <c r="Y35" i="1"/>
  <c r="X35" i="1"/>
  <c r="W35" i="1"/>
  <c r="X34" i="1"/>
  <c r="Y34" i="1" s="1"/>
  <c r="W34" i="1"/>
  <c r="X33" i="1"/>
  <c r="Y33" i="1" s="1"/>
  <c r="W33" i="1"/>
  <c r="Y32" i="1"/>
  <c r="X32" i="1"/>
  <c r="W32" i="1"/>
  <c r="Y31" i="1"/>
  <c r="X31" i="1"/>
  <c r="W31" i="1"/>
  <c r="X30" i="1"/>
  <c r="Y30" i="1" s="1"/>
  <c r="W30" i="1"/>
  <c r="X29" i="1"/>
  <c r="Y29" i="1" s="1"/>
  <c r="W29" i="1"/>
  <c r="Y28" i="1"/>
  <c r="X28" i="1"/>
  <c r="W28" i="1"/>
  <c r="Y27" i="1"/>
  <c r="X27" i="1"/>
  <c r="W27" i="1"/>
  <c r="X26" i="1"/>
  <c r="Y26" i="1" s="1"/>
  <c r="W26" i="1"/>
  <c r="X25" i="1"/>
  <c r="Y25" i="1" s="1"/>
  <c r="W25" i="1"/>
  <c r="Y24" i="1"/>
  <c r="X24" i="1"/>
  <c r="W24" i="1"/>
  <c r="Y23" i="1"/>
  <c r="X23" i="1"/>
  <c r="W23" i="1"/>
  <c r="X22" i="1"/>
  <c r="Y22" i="1" s="1"/>
  <c r="W22" i="1"/>
  <c r="X21" i="1"/>
  <c r="Y21" i="1" s="1"/>
  <c r="W21" i="1"/>
  <c r="Y20" i="1"/>
  <c r="X20" i="1"/>
  <c r="W20" i="1"/>
  <c r="Y19" i="1"/>
  <c r="X19" i="1"/>
  <c r="W19" i="1"/>
  <c r="X18" i="1"/>
  <c r="Y18" i="1" s="1"/>
  <c r="W18" i="1"/>
  <c r="X17" i="1"/>
  <c r="Y17" i="1" s="1"/>
  <c r="W17" i="1"/>
  <c r="Y16" i="1"/>
  <c r="X16" i="1"/>
  <c r="W16" i="1"/>
  <c r="Y15" i="1"/>
  <c r="X15" i="1"/>
  <c r="W15" i="1"/>
  <c r="X14" i="1"/>
  <c r="Y14" i="1" s="1"/>
  <c r="W14" i="1"/>
  <c r="X13" i="1"/>
  <c r="Y13" i="1" s="1"/>
  <c r="W13" i="1"/>
  <c r="Y12" i="1"/>
  <c r="X12" i="1"/>
  <c r="W12" i="1"/>
  <c r="Y11" i="1"/>
  <c r="X11" i="1"/>
  <c r="W11" i="1"/>
  <c r="X10" i="1"/>
  <c r="Y10" i="1" s="1"/>
  <c r="W10" i="1"/>
  <c r="X9" i="1"/>
  <c r="Y9" i="1" s="1"/>
  <c r="W9" i="1"/>
  <c r="Y8" i="1"/>
  <c r="X8" i="1"/>
  <c r="W8" i="1"/>
  <c r="Y7" i="1"/>
  <c r="X7" i="1"/>
  <c r="W7" i="1"/>
  <c r="X6" i="1"/>
  <c r="Y6" i="1" s="1"/>
  <c r="W6" i="1"/>
  <c r="X5" i="1"/>
  <c r="Y5" i="1" s="1"/>
  <c r="W5" i="1"/>
  <c r="Y4" i="1"/>
  <c r="X4" i="1"/>
  <c r="W4" i="1"/>
  <c r="Y3" i="1"/>
  <c r="X3" i="1"/>
  <c r="W3" i="1"/>
  <c r="X2" i="1"/>
  <c r="Y2" i="1" s="1"/>
  <c r="W2" i="1"/>
</calcChain>
</file>

<file path=xl/sharedStrings.xml><?xml version="1.0" encoding="utf-8"?>
<sst xmlns="http://schemas.openxmlformats.org/spreadsheetml/2006/main" count="5003" uniqueCount="150">
  <si>
    <t>Vote</t>
  </si>
  <si>
    <t>Cost Centre/Sector</t>
  </si>
  <si>
    <t>Program</t>
  </si>
  <si>
    <t>Approved Estimates</t>
  </si>
  <si>
    <t>July 19 Cashflow</t>
  </si>
  <si>
    <t>July 19 funding</t>
  </si>
  <si>
    <t>Aug 19 Cashflow</t>
  </si>
  <si>
    <t>Aug 19 funding</t>
  </si>
  <si>
    <t>Sept 19 Cashflow</t>
  </si>
  <si>
    <t>Sept 19 funding</t>
  </si>
  <si>
    <t>Oct 19 Cashflow</t>
  </si>
  <si>
    <t>Oct 19 funding</t>
  </si>
  <si>
    <t>November adjusted cashflow</t>
  </si>
  <si>
    <t>November funding</t>
  </si>
  <si>
    <t>December adjusted cashflow</t>
  </si>
  <si>
    <t>December funding</t>
  </si>
  <si>
    <t>January adjusted cashflow</t>
  </si>
  <si>
    <t>January funding</t>
  </si>
  <si>
    <t>February adjusted cashflow</t>
  </si>
  <si>
    <t>February funding</t>
  </si>
  <si>
    <t>March adjusted cashflow</t>
  </si>
  <si>
    <t>March funding</t>
  </si>
  <si>
    <t>20. Management and Administration</t>
  </si>
  <si>
    <t>96. Sustainable Rural Development</t>
  </si>
  <si>
    <t>65. Primary Health Care</t>
  </si>
  <si>
    <t>83. Youth Development</t>
  </si>
  <si>
    <t>49. Agricultural Productivity and Risk Management</t>
  </si>
  <si>
    <t>23. Basic Education</t>
  </si>
  <si>
    <t>76. Immigration Services</t>
  </si>
  <si>
    <t>18. Labour Employment and Manpower Development</t>
  </si>
  <si>
    <t>88. Small Scale Business Development</t>
  </si>
  <si>
    <t>92. Environment and Climate Change Management</t>
  </si>
  <si>
    <t>601 - Blantyre City</t>
  </si>
  <si>
    <t>Borehole/Water Structures Fund</t>
  </si>
  <si>
    <t>60. Local Development</t>
  </si>
  <si>
    <t>CDF</t>
  </si>
  <si>
    <t>City Roads</t>
  </si>
  <si>
    <t>62. Road Infrastructure Management</t>
  </si>
  <si>
    <t>Community Development</t>
  </si>
  <si>
    <t>70. Community Development</t>
  </si>
  <si>
    <t>Education</t>
  </si>
  <si>
    <t>Education (SIGs)</t>
  </si>
  <si>
    <t>Education (TLM)</t>
  </si>
  <si>
    <t>Environment</t>
  </si>
  <si>
    <t xml:space="preserve">Gender </t>
  </si>
  <si>
    <t>69. Gender Equality and Wome Empowerment</t>
  </si>
  <si>
    <t>GRF</t>
  </si>
  <si>
    <t>IDF</t>
  </si>
  <si>
    <t>Sports</t>
  </si>
  <si>
    <t>95. Sports and Culture</t>
  </si>
  <si>
    <t>Youth</t>
  </si>
  <si>
    <t>602 - Lilongwe City</t>
  </si>
  <si>
    <t>603 - Mzuzu City</t>
  </si>
  <si>
    <t>Trade</t>
  </si>
  <si>
    <t>604 - Zomba City</t>
  </si>
  <si>
    <t>804 - Kasungu Municipal</t>
  </si>
  <si>
    <t>806 - Luchenza Municipal</t>
  </si>
  <si>
    <t>807 - Mangochi Town</t>
  </si>
  <si>
    <t>901 - Balaka District</t>
  </si>
  <si>
    <t>Agriculture</t>
  </si>
  <si>
    <t>Agriculture FISP</t>
  </si>
  <si>
    <t>DDF</t>
  </si>
  <si>
    <t xml:space="preserve">Disaster Risk Management </t>
  </si>
  <si>
    <t>Disaster Risk Management</t>
  </si>
  <si>
    <t>Fisheries</t>
  </si>
  <si>
    <t>Forestry</t>
  </si>
  <si>
    <t>Health</t>
  </si>
  <si>
    <t>Housing</t>
  </si>
  <si>
    <t>48. Housing Management and Urban Development</t>
  </si>
  <si>
    <t>Immigration</t>
  </si>
  <si>
    <t>Irrigation</t>
  </si>
  <si>
    <t>Labour</t>
  </si>
  <si>
    <t>OPC - NRB</t>
  </si>
  <si>
    <t>15. Security Services</t>
  </si>
  <si>
    <t>Water</t>
  </si>
  <si>
    <t>04. Water Resources Development Management and Supply</t>
  </si>
  <si>
    <t xml:space="preserve">902 - Blantyre  District </t>
  </si>
  <si>
    <t xml:space="preserve">903 - Chikwawa  District </t>
  </si>
  <si>
    <t>904 - Chiradzulu District</t>
  </si>
  <si>
    <t>905 - Chitipa District</t>
  </si>
  <si>
    <t xml:space="preserve">906 - Dedza  District </t>
  </si>
  <si>
    <t>907 - Dowa District</t>
  </si>
  <si>
    <t xml:space="preserve">908 - Karonga District </t>
  </si>
  <si>
    <t>909 - Kasungu District</t>
  </si>
  <si>
    <t>910 - Likoma District</t>
  </si>
  <si>
    <t>911 - Lilongwe District</t>
  </si>
  <si>
    <t>Education East</t>
  </si>
  <si>
    <t>Education East (SIGs)</t>
  </si>
  <si>
    <t>Education East (TLM)</t>
  </si>
  <si>
    <t>Education West</t>
  </si>
  <si>
    <t>Education West (SIGs)</t>
  </si>
  <si>
    <t>Education West (TLM)</t>
  </si>
  <si>
    <t>912 - Machinga District</t>
  </si>
  <si>
    <t>913 - Mangochi  District</t>
  </si>
  <si>
    <t xml:space="preserve">914 - Mchinji  District </t>
  </si>
  <si>
    <t>915 - M'mbelwa District</t>
  </si>
  <si>
    <t>Education- North</t>
  </si>
  <si>
    <t>Education- South</t>
  </si>
  <si>
    <t>Health- North</t>
  </si>
  <si>
    <t>Health- South</t>
  </si>
  <si>
    <t>916 - Mulanje District</t>
  </si>
  <si>
    <t>917 - Mwanza District</t>
  </si>
  <si>
    <t>918 - Neno District</t>
  </si>
  <si>
    <t>919 - Nkhata Bay District</t>
  </si>
  <si>
    <t>920 - Nkhotakota District</t>
  </si>
  <si>
    <t xml:space="preserve">921 - Nsanje  District </t>
  </si>
  <si>
    <t>922 - Ntcheu District</t>
  </si>
  <si>
    <t>923 - Ntchisi District</t>
  </si>
  <si>
    <t>49. Agricultural Productivity and Risk Management-FISP</t>
  </si>
  <si>
    <t>924 - Phalombe District</t>
  </si>
  <si>
    <t xml:space="preserve">925 - Rumphi District </t>
  </si>
  <si>
    <t xml:space="preserve">926 - Salima District </t>
  </si>
  <si>
    <t xml:space="preserve">927 - Thyolo  District </t>
  </si>
  <si>
    <t>928 - Zomba  District</t>
  </si>
  <si>
    <t>23.Basic Education</t>
  </si>
  <si>
    <t>cumulative cash flow March</t>
  </si>
  <si>
    <t xml:space="preserve">Cumulative funding March </t>
  </si>
  <si>
    <t>% funded</t>
  </si>
  <si>
    <t>Row Labels</t>
  </si>
  <si>
    <t>Grand Total</t>
  </si>
  <si>
    <t>Sum of Approved Estimates</t>
  </si>
  <si>
    <t xml:space="preserve">Sum of Cumulative funding March </t>
  </si>
  <si>
    <t>SECTORS</t>
  </si>
  <si>
    <t>Council</t>
  </si>
  <si>
    <t xml:space="preserve"> Approved Estimates (MK'000)</t>
  </si>
  <si>
    <t xml:space="preserve"> Cumulative funding March  (MK' 000)</t>
  </si>
  <si>
    <t>Sector/Category</t>
  </si>
  <si>
    <t>2018-19</t>
  </si>
  <si>
    <t>2019-20</t>
  </si>
  <si>
    <t>Comparatives</t>
  </si>
  <si>
    <t>Approved Estimates  (MK'000)</t>
  </si>
  <si>
    <t>% change in funding</t>
  </si>
  <si>
    <t>NA</t>
  </si>
  <si>
    <t>Cumulative funding July March 2019 (MK'000)</t>
  </si>
  <si>
    <t>Cumulative funding July March 2020 (MK'000)</t>
  </si>
  <si>
    <t>Total budgets and Funding</t>
  </si>
  <si>
    <t xml:space="preserve">Council </t>
  </si>
  <si>
    <t>SECTOR</t>
  </si>
  <si>
    <t>OPC - National Registratoin Bureau</t>
  </si>
  <si>
    <t>General Resource Fund</t>
  </si>
  <si>
    <t xml:space="preserve">Infrastructure Development Fund </t>
  </si>
  <si>
    <t>District Development Fund</t>
  </si>
  <si>
    <t>Constituency Development Fund</t>
  </si>
  <si>
    <t>OPC - National Registration Bureau</t>
  </si>
  <si>
    <t xml:space="preserve">Infrastructure Develompent Fund </t>
  </si>
  <si>
    <t xml:space="preserve">General Resource Fund </t>
  </si>
  <si>
    <t xml:space="preserve">District Development Fund </t>
  </si>
  <si>
    <t xml:space="preserve">Constituency Development Fund </t>
  </si>
  <si>
    <t>CUMULATIVE COUNCIL FUNDING FIGURES JULY 2019 TO MARCH 2020</t>
  </si>
  <si>
    <t>COMPARATIVE ANALYSIS 2018/19 AND 2019/20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</si>
</sst>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1" xfId="1" applyNumberFormat="1" applyFont="1" applyBorder="1"/>
    <xf numFmtId="0" fontId="0" fillId="0" borderId="1" xfId="0" applyBorder="1"/>
    <xf numFmtId="164" fontId="0" fillId="0" borderId="0" xfId="0" applyNumberFormat="1"/>
    <xf numFmtId="164" fontId="0" fillId="0" borderId="1" xfId="0" applyNumberFormat="1" applyFont="1" applyBorder="1"/>
    <xf numFmtId="9" fontId="1" fillId="0" borderId="1" xfId="2" applyFont="1" applyBorder="1"/>
    <xf numFmtId="164" fontId="2" fillId="0" borderId="1" xfId="1" applyNumberFormat="1" applyFont="1" applyBorder="1" applyAlignment="1">
      <alignment wrapText="1"/>
    </xf>
    <xf numFmtId="164" fontId="2" fillId="0" borderId="2" xfId="1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7" xfId="0" applyFont="1" applyBorder="1"/>
    <xf numFmtId="0" fontId="0" fillId="0" borderId="0" xfId="0" applyBorder="1"/>
    <xf numFmtId="0" fontId="2" fillId="0" borderId="0" xfId="0" applyFont="1" applyBorder="1"/>
    <xf numFmtId="164" fontId="2" fillId="0" borderId="0" xfId="1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4" fillId="0" borderId="1" xfId="1" applyNumberFormat="1" applyFont="1" applyBorder="1"/>
    <xf numFmtId="10" fontId="4" fillId="0" borderId="1" xfId="2" applyNumberFormat="1" applyFont="1" applyBorder="1"/>
    <xf numFmtId="10" fontId="4" fillId="0" borderId="1" xfId="0" applyNumberFormat="1" applyFont="1" applyBorder="1"/>
    <xf numFmtId="0" fontId="4" fillId="0" borderId="1" xfId="0" applyFont="1" applyBorder="1"/>
    <xf numFmtId="164" fontId="3" fillId="0" borderId="1" xfId="0" applyNumberFormat="1" applyFont="1" applyBorder="1"/>
    <xf numFmtId="10" fontId="3" fillId="0" borderId="1" xfId="2" applyNumberFormat="1" applyFont="1" applyBorder="1"/>
    <xf numFmtId="164" fontId="3" fillId="0" borderId="1" xfId="1" applyNumberFormat="1" applyFont="1" applyBorder="1"/>
    <xf numFmtId="10" fontId="3" fillId="0" borderId="1" xfId="0" applyNumberFormat="1" applyFont="1" applyBorder="1"/>
    <xf numFmtId="0" fontId="2" fillId="0" borderId="1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2" fillId="2" borderId="8" xfId="0" applyFont="1" applyFill="1" applyBorder="1"/>
    <xf numFmtId="0" fontId="5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3">
    <cellStyle name="Comma" xfId="1" builtinId="3"/>
    <cellStyle name="Normal" xfId="0" builtinId="0"/>
    <cellStyle name="Percent" xfId="2" builtinId="5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Comparative Analysis of funding as at 31st March </a:t>
            </a:r>
            <a:r>
              <a:rPr lang="en-US" b="1" baseline="0"/>
              <a:t>2020: 2018/19 and 2019/20</a:t>
            </a:r>
            <a:endParaRPr lang="en-US" b="1"/>
          </a:p>
        </c:rich>
      </c:tx>
      <c:layout>
        <c:manualLayout>
          <c:xMode val="edge"/>
          <c:yMode val="edge"/>
          <c:x val="0.10044899269746167"/>
          <c:y val="1.3332172251624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'April Funding Publication'!$E$204:$E$205</c:f>
              <c:strCache>
                <c:ptCount val="2"/>
                <c:pt idx="0">
                  <c:v>2018-19</c:v>
                </c:pt>
                <c:pt idx="1">
                  <c:v>% funded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'April Funding Publication'!$B$206:$B$228</c:f>
              <c:strCache>
                <c:ptCount val="23"/>
                <c:pt idx="0">
                  <c:v>Agriculture</c:v>
                </c:pt>
                <c:pt idx="1">
                  <c:v>Borehole/Water Structures Fund</c:v>
                </c:pt>
                <c:pt idx="2">
                  <c:v>Constituency Development Fund</c:v>
                </c:pt>
                <c:pt idx="3">
                  <c:v>Community Development</c:v>
                </c:pt>
                <c:pt idx="4">
                  <c:v>District Development Fund</c:v>
                </c:pt>
                <c:pt idx="5">
                  <c:v>Disaster Risk Management </c:v>
                </c:pt>
                <c:pt idx="6">
                  <c:v>Education</c:v>
                </c:pt>
                <c:pt idx="7">
                  <c:v>Environment</c:v>
                </c:pt>
                <c:pt idx="8">
                  <c:v>Fisheries</c:v>
                </c:pt>
                <c:pt idx="9">
                  <c:v>Forestry</c:v>
                </c:pt>
                <c:pt idx="10">
                  <c:v>Gender </c:v>
                </c:pt>
                <c:pt idx="11">
                  <c:v>General Resource Fund</c:v>
                </c:pt>
                <c:pt idx="12">
                  <c:v>Health</c:v>
                </c:pt>
                <c:pt idx="13">
                  <c:v>Housing</c:v>
                </c:pt>
                <c:pt idx="14">
                  <c:v>Infrastructure Development Fund </c:v>
                </c:pt>
                <c:pt idx="15">
                  <c:v>Immigration</c:v>
                </c:pt>
                <c:pt idx="16">
                  <c:v>Irrigation</c:v>
                </c:pt>
                <c:pt idx="17">
                  <c:v>Labour</c:v>
                </c:pt>
                <c:pt idx="18">
                  <c:v>OPC - National Registration Bureau</c:v>
                </c:pt>
                <c:pt idx="19">
                  <c:v>Sports</c:v>
                </c:pt>
                <c:pt idx="20">
                  <c:v>Trade</c:v>
                </c:pt>
                <c:pt idx="21">
                  <c:v>Water</c:v>
                </c:pt>
                <c:pt idx="22">
                  <c:v>Youth</c:v>
                </c:pt>
              </c:strCache>
            </c:strRef>
          </c:cat>
          <c:val>
            <c:numRef>
              <c:f>'April Funding Publication'!$E$206:$E$228</c:f>
              <c:numCache>
                <c:formatCode>0.00%</c:formatCode>
                <c:ptCount val="23"/>
                <c:pt idx="0">
                  <c:v>0.57106085389885108</c:v>
                </c:pt>
                <c:pt idx="1">
                  <c:v>0.76165803108808294</c:v>
                </c:pt>
                <c:pt idx="2">
                  <c:v>0.85</c:v>
                </c:pt>
                <c:pt idx="3">
                  <c:v>0.47152887431858459</c:v>
                </c:pt>
                <c:pt idx="4">
                  <c:v>0.40000000032758498</c:v>
                </c:pt>
                <c:pt idx="5">
                  <c:v>0</c:v>
                </c:pt>
                <c:pt idx="6">
                  <c:v>0.93064260271521027</c:v>
                </c:pt>
                <c:pt idx="7">
                  <c:v>0.47273872604469946</c:v>
                </c:pt>
                <c:pt idx="8">
                  <c:v>0.47200526111190172</c:v>
                </c:pt>
                <c:pt idx="9">
                  <c:v>0.47320604389152521</c:v>
                </c:pt>
                <c:pt idx="10">
                  <c:v>0.47152887431858459</c:v>
                </c:pt>
                <c:pt idx="11">
                  <c:v>0.47610618894149065</c:v>
                </c:pt>
                <c:pt idx="12">
                  <c:v>0.75786497223419236</c:v>
                </c:pt>
                <c:pt idx="13">
                  <c:v>0.470289799545482</c:v>
                </c:pt>
                <c:pt idx="14">
                  <c:v>0.32535211254601343</c:v>
                </c:pt>
                <c:pt idx="15">
                  <c:v>0.47113200136124778</c:v>
                </c:pt>
                <c:pt idx="16">
                  <c:v>0.47306846836401273</c:v>
                </c:pt>
                <c:pt idx="17">
                  <c:v>0.47924403515673791</c:v>
                </c:pt>
                <c:pt idx="18">
                  <c:v>0.47465393443818821</c:v>
                </c:pt>
                <c:pt idx="19">
                  <c:v>0.48105490736425011</c:v>
                </c:pt>
                <c:pt idx="20">
                  <c:v>0.47411987106019415</c:v>
                </c:pt>
                <c:pt idx="21">
                  <c:v>0.47509300850238217</c:v>
                </c:pt>
                <c:pt idx="22">
                  <c:v>0.47155798870950311</c:v>
                </c:pt>
              </c:numCache>
            </c:numRef>
          </c:val>
        </c:ser>
        <c:ser>
          <c:idx val="4"/>
          <c:order val="1"/>
          <c:tx>
            <c:strRef>
              <c:f>'April Funding Publication'!$H$204:$H$205</c:f>
              <c:strCache>
                <c:ptCount val="2"/>
                <c:pt idx="0">
                  <c:v>2019-20</c:v>
                </c:pt>
                <c:pt idx="1">
                  <c:v>% funded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'April Funding Publication'!$B$206:$B$228</c:f>
              <c:strCache>
                <c:ptCount val="23"/>
                <c:pt idx="0">
                  <c:v>Agriculture</c:v>
                </c:pt>
                <c:pt idx="1">
                  <c:v>Borehole/Water Structures Fund</c:v>
                </c:pt>
                <c:pt idx="2">
                  <c:v>Constituency Development Fund</c:v>
                </c:pt>
                <c:pt idx="3">
                  <c:v>Community Development</c:v>
                </c:pt>
                <c:pt idx="4">
                  <c:v>District Development Fund</c:v>
                </c:pt>
                <c:pt idx="5">
                  <c:v>Disaster Risk Management </c:v>
                </c:pt>
                <c:pt idx="6">
                  <c:v>Education</c:v>
                </c:pt>
                <c:pt idx="7">
                  <c:v>Environment</c:v>
                </c:pt>
                <c:pt idx="8">
                  <c:v>Fisheries</c:v>
                </c:pt>
                <c:pt idx="9">
                  <c:v>Forestry</c:v>
                </c:pt>
                <c:pt idx="10">
                  <c:v>Gender </c:v>
                </c:pt>
                <c:pt idx="11">
                  <c:v>General Resource Fund</c:v>
                </c:pt>
                <c:pt idx="12">
                  <c:v>Health</c:v>
                </c:pt>
                <c:pt idx="13">
                  <c:v>Housing</c:v>
                </c:pt>
                <c:pt idx="14">
                  <c:v>Infrastructure Development Fund </c:v>
                </c:pt>
                <c:pt idx="15">
                  <c:v>Immigration</c:v>
                </c:pt>
                <c:pt idx="16">
                  <c:v>Irrigation</c:v>
                </c:pt>
                <c:pt idx="17">
                  <c:v>Labour</c:v>
                </c:pt>
                <c:pt idx="18">
                  <c:v>OPC - National Registration Bureau</c:v>
                </c:pt>
                <c:pt idx="19">
                  <c:v>Sports</c:v>
                </c:pt>
                <c:pt idx="20">
                  <c:v>Trade</c:v>
                </c:pt>
                <c:pt idx="21">
                  <c:v>Water</c:v>
                </c:pt>
                <c:pt idx="22">
                  <c:v>Youth</c:v>
                </c:pt>
              </c:strCache>
            </c:strRef>
          </c:cat>
          <c:val>
            <c:numRef>
              <c:f>'April Funding Publication'!$H$206:$H$228</c:f>
              <c:numCache>
                <c:formatCode>0.00%</c:formatCode>
                <c:ptCount val="23"/>
                <c:pt idx="0">
                  <c:v>0.83753639491184395</c:v>
                </c:pt>
                <c:pt idx="1">
                  <c:v>1</c:v>
                </c:pt>
                <c:pt idx="2">
                  <c:v>1</c:v>
                </c:pt>
                <c:pt idx="3">
                  <c:v>0.58189899039947579</c:v>
                </c:pt>
                <c:pt idx="4">
                  <c:v>0.65499999999658276</c:v>
                </c:pt>
                <c:pt idx="5">
                  <c:v>0.53199999999340009</c:v>
                </c:pt>
                <c:pt idx="6">
                  <c:v>0.94730352537282991</c:v>
                </c:pt>
                <c:pt idx="7">
                  <c:v>0.58917738146244536</c:v>
                </c:pt>
                <c:pt idx="8">
                  <c:v>0.58150000000000024</c:v>
                </c:pt>
                <c:pt idx="9">
                  <c:v>0.58150000000000013</c:v>
                </c:pt>
                <c:pt idx="10">
                  <c:v>0.5820984855992134</c:v>
                </c:pt>
                <c:pt idx="11">
                  <c:v>0.59838579704555095</c:v>
                </c:pt>
                <c:pt idx="12">
                  <c:v>0.7619879127293826</c:v>
                </c:pt>
                <c:pt idx="13">
                  <c:v>0.58216666666666694</c:v>
                </c:pt>
                <c:pt idx="14">
                  <c:v>0.97544105349142585</c:v>
                </c:pt>
                <c:pt idx="15">
                  <c:v>0.58150000000000013</c:v>
                </c:pt>
                <c:pt idx="16">
                  <c:v>0.58150000000000002</c:v>
                </c:pt>
                <c:pt idx="17">
                  <c:v>0.58150000000000024</c:v>
                </c:pt>
                <c:pt idx="18">
                  <c:v>0.58150000000000002</c:v>
                </c:pt>
                <c:pt idx="19">
                  <c:v>0.58150000000000013</c:v>
                </c:pt>
                <c:pt idx="20">
                  <c:v>0.58150000000000013</c:v>
                </c:pt>
                <c:pt idx="21">
                  <c:v>0.58150000000000013</c:v>
                </c:pt>
                <c:pt idx="22">
                  <c:v>0.58149999999999979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3"/>
        <c:axId val="-971047616"/>
        <c:axId val="-971038368"/>
      </c:barChart>
      <c:catAx>
        <c:axId val="-97104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Sector/ Category</a:t>
                </a:r>
              </a:p>
            </c:rich>
          </c:tx>
          <c:layout>
            <c:manualLayout>
              <c:xMode val="edge"/>
              <c:yMode val="edge"/>
              <c:x val="0.37827843910083631"/>
              <c:y val="0.83917823110052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1038368"/>
        <c:crosses val="autoZero"/>
        <c:auto val="1"/>
        <c:lblAlgn val="ctr"/>
        <c:lblOffset val="100"/>
        <c:noMultiLvlLbl val="0"/>
      </c:catAx>
      <c:valAx>
        <c:axId val="-9710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Percentange Funding </a:t>
                </a:r>
              </a:p>
            </c:rich>
          </c:tx>
          <c:layout>
            <c:manualLayout>
              <c:xMode val="edge"/>
              <c:yMode val="edge"/>
              <c:x val="1.4964459408903853E-2"/>
              <c:y val="0.168717367120124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1047616"/>
        <c:crosses val="autoZero"/>
        <c:crossBetween val="between"/>
      </c:valAx>
      <c:spPr>
        <a:solidFill>
          <a:schemeClr val="bg1"/>
        </a:solidFill>
        <a:ln>
          <a:noFill/>
        </a:ln>
        <a:effectLst>
          <a:outerShdw blurRad="50800" dir="5400000" algn="ctr" rotWithShape="0">
            <a:srgbClr val="000000">
              <a:alpha val="43137"/>
            </a:srgbClr>
          </a:outerShdw>
          <a:softEdge rad="25400"/>
        </a:effectLst>
      </c:spPr>
    </c:plotArea>
    <c:legend>
      <c:legendPos val="b"/>
      <c:layout>
        <c:manualLayout>
          <c:xMode val="edge"/>
          <c:yMode val="edge"/>
          <c:x val="0.1797873750629656"/>
          <c:y val="0.92515299742002832"/>
          <c:w val="0.62845356451655654"/>
          <c:h val="5.5215103268427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230</xdr:row>
      <xdr:rowOff>128586</xdr:rowOff>
    </xdr:from>
    <xdr:to>
      <xdr:col>11</xdr:col>
      <xdr:colOff>104775</xdr:colOff>
      <xdr:row>258</xdr:row>
      <xdr:rowOff>95249</xdr:rowOff>
    </xdr:to>
    <xdr:graphicFrame macro="">
      <xdr:nvGraphicFramePr>
        <xdr:cNvPr id="3" name="Chart 2" title="Comparative analysis of % funding for 2018/19 and 2019/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3916.641065046293" createdVersion="5" refreshedVersion="5" minRefreshableVersion="3" recordCount="770">
  <cacheSource type="worksheet">
    <worksheetSource ref="A1:Y771" sheet="Sheet1 (2)"/>
  </cacheSource>
  <cacheFields count="25">
    <cacheField name="Vote" numFmtId="164">
      <sharedItems count="35">
        <s v="601 - Blantyre City"/>
        <s v="602 - Lilongwe City"/>
        <s v="603 - Mzuzu City"/>
        <s v="604 - Zomba City"/>
        <s v="804 - Kasungu Municipal"/>
        <s v="806 - Luchenza Municipal"/>
        <s v="807 - Mangochi Town"/>
        <s v="901 - Balaka District"/>
        <s v="902 - Blantyre  District "/>
        <s v="903 - Chikwawa  District "/>
        <s v="904 - Chiradzulu District"/>
        <s v="905 - Chitipa District"/>
        <s v="906 - Dedza  District "/>
        <s v="907 - Dowa District"/>
        <s v="908 - Karonga District "/>
        <s v="909 - Kasungu District"/>
        <s v="910 - Likoma District"/>
        <s v="911 - Lilongwe District"/>
        <s v="912 - Machinga District"/>
        <s v="913 - Mangochi  District"/>
        <s v="914 - Mchinji  District "/>
        <s v="915 - M'mbelwa District"/>
        <s v="916 - Mulanje District"/>
        <s v="917 - Mwanza District"/>
        <s v="918 - Neno District"/>
        <s v="919 - Nkhata Bay District"/>
        <s v="920 - Nkhotakota District"/>
        <s v="921 - Nsanje  District "/>
        <s v="922 - Ntcheu District"/>
        <s v="923 - Ntchisi District"/>
        <s v="924 - Phalombe District"/>
        <s v="925 - Rumphi District "/>
        <s v="926 - Salima District "/>
        <s v="927 - Thyolo  District "/>
        <s v="928 - Zomba  District"/>
      </sharedItems>
    </cacheField>
    <cacheField name="Cost Centre/Sector" numFmtId="164">
      <sharedItems count="24">
        <s v="Borehole/Water Structures Fund"/>
        <s v="CDF"/>
        <s v="City Roads"/>
        <s v="Community Development"/>
        <s v="Education"/>
        <s v="Environment"/>
        <s v="Gender "/>
        <s v="GRF"/>
        <s v="IDF"/>
        <s v="Sports"/>
        <s v="Youth"/>
        <s v="Trade"/>
        <s v="Agriculture"/>
        <s v="DDF"/>
        <s v="Disaster Risk Management "/>
        <s v="Fisheries"/>
        <s v="Forestry"/>
        <s v="Health"/>
        <s v="Housing"/>
        <s v="Immigration"/>
        <s v="Irrigation"/>
        <s v="Labour"/>
        <s v="OPC - NRB"/>
        <s v="Water"/>
      </sharedItems>
    </cacheField>
    <cacheField name="Program" numFmtId="164">
      <sharedItems/>
    </cacheField>
    <cacheField name="Approved Estimates" numFmtId="164">
      <sharedItems containsSemiMixedTypes="0" containsString="0" containsNumber="1" minValue="170173.80860326465" maxValue="835750591.21268296"/>
    </cacheField>
    <cacheField name="July 19 Cashflow" numFmtId="164">
      <sharedItems containsSemiMixedTypes="0" containsString="0" containsNumber="1" minValue="0" maxValue="68949423.775046349"/>
    </cacheField>
    <cacheField name="July 19 funding" numFmtId="164">
      <sharedItems containsSemiMixedTypes="0" containsString="0" containsNumber="1" minValue="0" maxValue="68949423.775046349"/>
    </cacheField>
    <cacheField name="Aug 19 Cashflow" numFmtId="164">
      <sharedItems containsSemiMixedTypes="0" containsString="0" containsNumber="1" minValue="0" maxValue="148500000"/>
    </cacheField>
    <cacheField name="Aug 19 funding" numFmtId="164">
      <sharedItems containsSemiMixedTypes="0" containsString="0" containsNumber="1" minValue="0" maxValue="148500000"/>
    </cacheField>
    <cacheField name="Sept 19 Cashflow" numFmtId="0">
      <sharedItems containsString="0" containsBlank="1" containsNumber="1" minValue="0" maxValue="68949423.775046349"/>
    </cacheField>
    <cacheField name="Sept 19 funding" numFmtId="0">
      <sharedItems containsString="0" containsBlank="1" containsNumber="1" minValue="0" maxValue="68949423.775046349"/>
    </cacheField>
    <cacheField name="Oct 19 Cashflow" numFmtId="164">
      <sharedItems containsSemiMixedTypes="0" containsString="0" containsNumber="1" minValue="0" maxValue="68949423.775046349"/>
    </cacheField>
    <cacheField name="Oct 19 funding" numFmtId="164">
      <sharedItems containsSemiMixedTypes="0" containsString="0" containsNumber="1" minValue="0" maxValue="68949423.775046349"/>
    </cacheField>
    <cacheField name="November adjusted cashflow" numFmtId="164">
      <sharedItems containsSemiMixedTypes="0" containsString="0" containsNumber="1" minValue="0" maxValue="84971081.242618635"/>
    </cacheField>
    <cacheField name="November funding" numFmtId="164">
      <sharedItems containsSemiMixedTypes="0" containsString="0" containsNumber="1" minValue="0" maxValue="84971081.242618635"/>
    </cacheField>
    <cacheField name="December adjusted cashflow" numFmtId="164">
      <sharedItems containsSemiMixedTypes="0" containsString="0" containsNumber="1" minValue="0" maxValue="142754699"/>
    </cacheField>
    <cacheField name="December funding" numFmtId="164">
      <sharedItems containsSemiMixedTypes="0" containsString="0" containsNumber="1" minValue="0" maxValue="142754699"/>
    </cacheField>
    <cacheField name="January adjusted cashflow" numFmtId="164">
      <sharedItems containsSemiMixedTypes="0" containsString="0" containsNumber="1" minValue="0" maxValue="78825442"/>
    </cacheField>
    <cacheField name="January funding" numFmtId="164">
      <sharedItems containsSemiMixedTypes="0" containsString="0" containsNumber="1" minValue="0" maxValue="78825442"/>
    </cacheField>
    <cacheField name="February adjusted cashflow" numFmtId="164">
      <sharedItems containsSemiMixedTypes="0" containsString="0" containsNumber="1" minValue="0" maxValue="130500000"/>
    </cacheField>
    <cacheField name="February funding" numFmtId="164">
      <sharedItems containsSemiMixedTypes="0" containsString="0" containsNumber="1" minValue="0" maxValue="130500000"/>
    </cacheField>
    <cacheField name="March adjusted cashflow" numFmtId="164">
      <sharedItems containsSemiMixedTypes="0" containsString="0" containsNumber="1" minValue="0" maxValue="130500000"/>
    </cacheField>
    <cacheField name="March funding" numFmtId="164">
      <sharedItems containsSemiMixedTypes="0" containsString="0" containsNumber="1" minValue="0" maxValue="130500000"/>
    </cacheField>
    <cacheField name="cumulative cash flow March" numFmtId="164">
      <sharedItems containsSemiMixedTypes="0" containsString="0" containsNumber="1" minValue="0" maxValue="635986073"/>
    </cacheField>
    <cacheField name="Cumulative funding March " numFmtId="164">
      <sharedItems containsSemiMixedTypes="0" containsString="0" containsNumber="1" minValue="0" maxValue="635986073"/>
    </cacheField>
    <cacheField name="% funded" numFmtId="9">
      <sharedItems containsSemiMixedTypes="0" containsString="0" containsNumber="1" minValue="0" maxValue="1.0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0">
  <r>
    <x v="0"/>
    <x v="0"/>
    <s v="60. Local Development"/>
    <n v="96000000"/>
    <n v="0"/>
    <n v="0"/>
    <n v="19200000"/>
    <n v="19200000"/>
    <m/>
    <m/>
    <n v="0"/>
    <n v="0"/>
    <n v="0"/>
    <n v="0"/>
    <n v="57600000"/>
    <n v="57600000"/>
    <n v="0"/>
    <n v="0"/>
    <n v="0"/>
    <n v="0"/>
    <n v="19200000"/>
    <n v="19200000"/>
    <n v="96000000"/>
    <n v="96000000"/>
    <n v="1"/>
  </r>
  <r>
    <x v="0"/>
    <x v="1"/>
    <s v="60. Local Development"/>
    <n v="240000000"/>
    <n v="0"/>
    <n v="0"/>
    <n v="66000000"/>
    <n v="66000000"/>
    <n v="0"/>
    <n v="0"/>
    <n v="0"/>
    <n v="0"/>
    <n v="0"/>
    <n v="0"/>
    <n v="58000000"/>
    <n v="58000000"/>
    <n v="0"/>
    <n v="0"/>
    <n v="58000000"/>
    <n v="58000000"/>
    <n v="58000000"/>
    <n v="58000000"/>
    <n v="240000000"/>
    <n v="240000000"/>
    <n v="1"/>
  </r>
  <r>
    <x v="0"/>
    <x v="2"/>
    <s v="62. Road Infrastructure Management"/>
    <n v="60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s v="70. Community Development"/>
    <n v="170173.80860326465"/>
    <n v="11231.471367815468"/>
    <n v="11231.471367815468"/>
    <n v="14039.339209769334"/>
    <n v="14039.339209769334"/>
    <n v="14039.339209769334"/>
    <n v="14039.339209769334"/>
    <n v="14039.339209769334"/>
    <n v="14039.339209769334"/>
    <n v="68409.871058512406"/>
    <n v="68409.871058512406"/>
    <n v="0"/>
    <n v="0"/>
    <n v="0"/>
    <n v="0"/>
    <n v="0"/>
    <n v="0"/>
    <n v="0"/>
    <n v="0"/>
    <n v="121759.36005563586"/>
    <n v="121759.36005563586"/>
    <n v="0.71550000000000002"/>
  </r>
  <r>
    <x v="0"/>
    <x v="4"/>
    <s v="23. Basic Education"/>
    <n v="94969431.170428202"/>
    <n v="0"/>
    <n v="0"/>
    <n v="4748013.5352140935"/>
    <n v="4748013.5352140935"/>
    <n v="4748013.5352140935"/>
    <n v="4748013.5352140935"/>
    <n v="9497044.9000000004"/>
    <n v="9497044.9000000004"/>
    <n v="18994169.799999986"/>
    <n v="18994169.799999986"/>
    <n v="0"/>
    <n v="0"/>
    <n v="9497044.9000000004"/>
    <n v="9497044.9000000004"/>
    <n v="9497044.9000000004"/>
    <n v="9497044.9000000004"/>
    <n v="9497004.9000000004"/>
    <n v="9497004.9000000004"/>
    <n v="66478336.470428176"/>
    <n v="66478336.470428176"/>
    <n v="0.69999720595492365"/>
  </r>
  <r>
    <x v="0"/>
    <x v="4"/>
    <s v="23. Basic Education"/>
    <n v="91542341"/>
    <n v="0"/>
    <n v="0"/>
    <n v="18144933.157906562"/>
    <n v="18144933.157906562"/>
    <n v="18144933.157906562"/>
    <n v="18144933.157906562"/>
    <n v="0"/>
    <n v="0"/>
    <n v="24070748.273023359"/>
    <n v="24070748.273023359"/>
    <n v="7110978.1381401569"/>
    <n v="7110978.1381401569"/>
    <n v="24070748.273023359"/>
    <n v="24070748.273023359"/>
    <n v="0"/>
    <n v="0"/>
    <n v="0"/>
    <n v="0"/>
    <n v="91542341"/>
    <n v="91542341"/>
    <n v="1"/>
  </r>
  <r>
    <x v="0"/>
    <x v="4"/>
    <s v="23. Basic Education"/>
    <n v="36858509"/>
    <n v="0"/>
    <n v="0"/>
    <n v="9214627.25"/>
    <n v="9214627.25"/>
    <n v="9214627.25"/>
    <n v="9214627.25"/>
    <n v="0"/>
    <n v="0"/>
    <n v="4607313.625"/>
    <n v="4607313.625"/>
    <n v="0"/>
    <n v="0"/>
    <n v="13821940.875"/>
    <n v="13821940.875"/>
    <n v="0"/>
    <n v="0"/>
    <n v="0"/>
    <n v="0"/>
    <n v="36858509"/>
    <n v="36858509"/>
    <n v="1"/>
  </r>
  <r>
    <x v="0"/>
    <x v="5"/>
    <s v="92. Environment and Climate Change Management"/>
    <n v="2694410"/>
    <n v="394730.89762161142"/>
    <n v="394730.89762161142"/>
    <n v="493413.62202701427"/>
    <n v="493413.62202701427"/>
    <n v="493413.62202701427"/>
    <n v="493413.62202701427"/>
    <n v="493413.62202701427"/>
    <n v="493413.62202701427"/>
    <n v="0"/>
    <n v="0"/>
    <n v="0"/>
    <n v="0"/>
    <n v="504528.85832435964"/>
    <n v="504528.85832435964"/>
    <n v="0"/>
    <n v="0"/>
    <n v="0"/>
    <n v="0"/>
    <n v="2379500.6220270139"/>
    <n v="2379500.6220270139"/>
    <n v="0.88312492234923934"/>
  </r>
  <r>
    <x v="0"/>
    <x v="6"/>
    <s v="69. Gender Equality and Wome Empowerment"/>
    <n v="170173.80860326465"/>
    <n v="11231.471367815468"/>
    <n v="11231.471367815468"/>
    <n v="14039.339209769334"/>
    <n v="14039.339209769334"/>
    <n v="14039.339209769334"/>
    <n v="14039.339209769334"/>
    <n v="14039.339209769334"/>
    <n v="14039.339209769334"/>
    <n v="0"/>
    <n v="0"/>
    <n v="0"/>
    <n v="0"/>
    <n v="79811.516234931129"/>
    <n v="79811.516234931129"/>
    <n v="0"/>
    <n v="0"/>
    <n v="0"/>
    <n v="0"/>
    <n v="133161.00523205459"/>
    <n v="133161.00523205459"/>
    <n v="0.78249999999999997"/>
  </r>
  <r>
    <x v="0"/>
    <x v="7"/>
    <s v="20. Management and Administration"/>
    <n v="108410017"/>
    <n v="7161763.4118792377"/>
    <n v="7161763.4118792377"/>
    <n v="8952204.2648490462"/>
    <n v="8952204.2648490462"/>
    <n v="8952204.2648490462"/>
    <n v="8952204.2648490462"/>
    <n v="8952204.2648490462"/>
    <n v="8952204.2648490462"/>
    <n v="5556283.9287701743"/>
    <n v="5556283.9287701743"/>
    <n v="4567859.2857796159"/>
    <n v="4567859.2857796159"/>
    <n v="6323917.6180165559"/>
    <n v="6323917.6180165559"/>
    <n v="6323917.6180165559"/>
    <n v="6323917.6180165559"/>
    <n v="6323917.6180165559"/>
    <n v="6323917.6180165559"/>
    <n v="63114272.27502583"/>
    <n v="63114272.27502583"/>
    <n v="0.58218118603399749"/>
  </r>
  <r>
    <x v="0"/>
    <x v="8"/>
    <s v="60. Local Development"/>
    <n v="171234388.30985916"/>
    <n v="0"/>
    <n v="0"/>
    <n v="11275573.93253685"/>
    <n v="11275573.93253685"/>
    <n v="20000000"/>
    <n v="20000000"/>
    <n v="20094742"/>
    <n v="20094742"/>
    <n v="39884665.188661203"/>
    <n v="39884665.188661203"/>
    <n v="0"/>
    <n v="0"/>
    <n v="0"/>
    <n v="0"/>
    <n v="79979407.188661158"/>
    <n v="79979407.188661158"/>
    <n v="0"/>
    <n v="0"/>
    <n v="171234388.30985922"/>
    <n v="171234388.30985922"/>
    <n v="1.0000000000000004"/>
  </r>
  <r>
    <x v="0"/>
    <x v="9"/>
    <s v="95. Sports and Culture"/>
    <n v="5940905.5772700906"/>
    <n v="392099.76809982606"/>
    <n v="392099.76809982606"/>
    <n v="490124.71012478252"/>
    <n v="490124.71012478252"/>
    <n v="490124.71012478252"/>
    <n v="490124.71012478252"/>
    <n v="490124.71012478252"/>
    <n v="490124.71012478252"/>
    <n v="298530.50525782211"/>
    <n v="298530.50525782211"/>
    <n v="248775.42104818509"/>
    <n v="248775.42104818509"/>
    <n v="348285.58946745913"/>
    <n v="348285.58946745913"/>
    <n v="348285.58946745913"/>
    <n v="348285.58946745913"/>
    <n v="348285.58946745913"/>
    <n v="348285.58946745913"/>
    <n v="3454636.5931825582"/>
    <n v="3454636.5931825582"/>
    <n v="0.58150000000000013"/>
  </r>
  <r>
    <x v="0"/>
    <x v="10"/>
    <s v="83. Youth Development"/>
    <n v="6237950.8561335942"/>
    <n v="411704.75650481723"/>
    <n v="411704.75650481723"/>
    <n v="514630.94563102152"/>
    <n v="514630.94563102152"/>
    <n v="514630.94563102152"/>
    <n v="514630.94563102152"/>
    <n v="514630.94563102152"/>
    <n v="514630.94563102152"/>
    <n v="313457.03052071307"/>
    <n v="313457.03052071307"/>
    <n v="261214.19210059426"/>
    <n v="261214.19210059426"/>
    <n v="365699.86894083192"/>
    <n v="365699.86894083192"/>
    <n v="365699.86894083192"/>
    <n v="365699.86894083192"/>
    <n v="365699.86894083192"/>
    <n v="365699.86894083192"/>
    <n v="3627368.4228416854"/>
    <n v="3627368.4228416854"/>
    <n v="0.58150000000000002"/>
  </r>
  <r>
    <x v="1"/>
    <x v="0"/>
    <s v="60. Local Development"/>
    <n v="48000000"/>
    <n v="0"/>
    <n v="0"/>
    <n v="9600000"/>
    <n v="9600000"/>
    <n v="0"/>
    <n v="0"/>
    <n v="0"/>
    <n v="0"/>
    <n v="0"/>
    <n v="0"/>
    <n v="28800000"/>
    <n v="28800000"/>
    <n v="0"/>
    <n v="0"/>
    <n v="0"/>
    <n v="0"/>
    <n v="9600000"/>
    <n v="9600000"/>
    <n v="48000000"/>
    <n v="48000000"/>
    <n v="1"/>
  </r>
  <r>
    <x v="1"/>
    <x v="1"/>
    <s v="60. Local Development"/>
    <n v="120000000"/>
    <n v="0"/>
    <n v="0"/>
    <n v="33000000"/>
    <n v="33000000"/>
    <n v="0"/>
    <n v="0"/>
    <n v="0"/>
    <n v="0"/>
    <n v="0"/>
    <n v="0"/>
    <n v="29000000"/>
    <n v="29000000"/>
    <n v="0"/>
    <n v="0"/>
    <n v="29000000"/>
    <n v="29000000"/>
    <n v="29000000"/>
    <n v="29000000"/>
    <n v="120000000"/>
    <n v="120000000"/>
    <n v="1"/>
  </r>
  <r>
    <x v="1"/>
    <x v="2"/>
    <s v="62. Road Infrastructure Management"/>
    <n v="60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s v="70. Community Development"/>
    <n v="173067.06936748541"/>
    <n v="11422.426578254039"/>
    <n v="11422.426578254039"/>
    <n v="14278.033222817547"/>
    <n v="14278.033222817547"/>
    <n v="14278.033222817547"/>
    <n v="14278.033222817547"/>
    <n v="14278.033222817547"/>
    <n v="14278.033222817547"/>
    <n v="69572.961885729121"/>
    <n v="69572.961885729121"/>
    <n v="0"/>
    <n v="0"/>
    <n v="0"/>
    <n v="0"/>
    <n v="0"/>
    <n v="0"/>
    <n v="0"/>
    <n v="0"/>
    <n v="123829.4881324358"/>
    <n v="123829.4881324358"/>
    <n v="0.71549999999999991"/>
  </r>
  <r>
    <x v="1"/>
    <x v="4"/>
    <s v="23. Basic Education"/>
    <n v="140403250.36000001"/>
    <n v="10738215.699999999"/>
    <n v="10738215.699999999"/>
    <n v="12488001.109999999"/>
    <n v="12488001.109999999"/>
    <n v="7678882.4132971"/>
    <n v="7678882.4132971"/>
    <n v="5419395.6399999997"/>
    <n v="5419395.6399999997"/>
    <n v="25874121.567527182"/>
    <n v="25874121.567527182"/>
    <n v="25765308.039175726"/>
    <n v="25765308.039175726"/>
    <n v="9198442.5"/>
    <n v="9198442.5"/>
    <n v="12765803"/>
    <n v="12765803"/>
    <n v="12113041"/>
    <n v="12113041"/>
    <n v="122041210.97000001"/>
    <n v="122041210.97000001"/>
    <n v="0.86921927132798604"/>
  </r>
  <r>
    <x v="1"/>
    <x v="4"/>
    <s v="23. Basic Education"/>
    <n v="71777398"/>
    <n v="0"/>
    <n v="0"/>
    <n v="0"/>
    <n v="0"/>
    <n v="19744133"/>
    <n v="19744133"/>
    <n v="0"/>
    <n v="0"/>
    <n v="13125000"/>
    <n v="13125000"/>
    <n v="15605816"/>
    <n v="15605816"/>
    <n v="18425000"/>
    <n v="18425000"/>
    <n v="3251633"/>
    <n v="3251633"/>
    <n v="0"/>
    <n v="0"/>
    <n v="70151582"/>
    <n v="70151582"/>
    <n v="0.97734919284758692"/>
  </r>
  <r>
    <x v="1"/>
    <x v="4"/>
    <s v="23. Basic Education"/>
    <n v="20822367"/>
    <n v="0"/>
    <n v="0"/>
    <n v="20822367"/>
    <n v="20822367"/>
    <n v="0"/>
    <n v="0"/>
    <n v="0"/>
    <n v="0"/>
    <n v="0"/>
    <n v="0"/>
    <n v="0"/>
    <n v="0"/>
    <n v="0"/>
    <n v="0"/>
    <n v="0"/>
    <n v="0"/>
    <n v="0"/>
    <n v="0"/>
    <n v="20822367"/>
    <n v="20822367"/>
    <n v="1"/>
  </r>
  <r>
    <x v="1"/>
    <x v="5"/>
    <s v="92. Environment and Climate Change Management"/>
    <n v="2934237.6533620418"/>
    <n v="429865.59223844745"/>
    <n v="429865.59223844745"/>
    <n v="537331.9902980593"/>
    <n v="537331.9902980593"/>
    <n v="537331.9902980593"/>
    <n v="537331.9902980593"/>
    <n v="537331.9902980593"/>
    <n v="537331.9902980593"/>
    <n v="0"/>
    <n v="0"/>
    <n v="0"/>
    <n v="0"/>
    <n v="551262.3147005965"/>
    <n v="551262.3147005965"/>
    <n v="0"/>
    <n v="0"/>
    <n v="0"/>
    <n v="0"/>
    <n v="2593123.877833222"/>
    <n v="2593123.877833222"/>
    <n v="0.88374705261587372"/>
  </r>
  <r>
    <x v="1"/>
    <x v="6"/>
    <s v="69. Gender Equality and Wome Empowerment"/>
    <n v="173067.06936748541"/>
    <n v="11422.426578254039"/>
    <n v="11422.426578254039"/>
    <n v="14278.033222817547"/>
    <n v="14278.033222817547"/>
    <n v="14278.033222817547"/>
    <n v="14278.033222817547"/>
    <n v="14278.033222817547"/>
    <n v="14278.033222817547"/>
    <n v="0"/>
    <n v="0"/>
    <n v="0"/>
    <n v="0"/>
    <n v="81168.455533350629"/>
    <n v="81168.455533350629"/>
    <n v="0"/>
    <n v="0"/>
    <n v="0"/>
    <n v="0"/>
    <n v="135424.98178005731"/>
    <n v="135424.98178005731"/>
    <n v="0.78249999999999986"/>
  </r>
  <r>
    <x v="1"/>
    <x v="7"/>
    <s v="20. Management and Administration"/>
    <n v="113133847.40931363"/>
    <n v="7473828.3104101736"/>
    <n v="7473828.3104101736"/>
    <n v="9342285.3880127165"/>
    <n v="9342285.3880127165"/>
    <n v="9342285.3880127165"/>
    <n v="9342285.3880127165"/>
    <n v="9342285.3880127165"/>
    <n v="9342285.3880127165"/>
    <n v="5861976.9210978905"/>
    <n v="5861976.9210978905"/>
    <n v="4766898.0507513816"/>
    <n v="4766898.0507513816"/>
    <n v="6599474.432209962"/>
    <n v="6599474.432209962"/>
    <n v="6599474.432209962"/>
    <n v="6599474.432209962"/>
    <n v="6599474.432209962"/>
    <n v="6599474.432209962"/>
    <n v="65927982.742927477"/>
    <n v="65927982.742927477"/>
    <n v="0.58274322187950289"/>
  </r>
  <r>
    <x v="1"/>
    <x v="8"/>
    <s v="60. Local Development"/>
    <n v="171234388.30985916"/>
    <n v="0"/>
    <n v="0"/>
    <n v="11275573.93253685"/>
    <n v="11275573.93253685"/>
    <n v="0"/>
    <n v="0"/>
    <n v="0"/>
    <n v="0"/>
    <n v="79979407.188661158"/>
    <n v="79979407.188661158"/>
    <n v="0"/>
    <n v="0"/>
    <n v="0"/>
    <n v="0"/>
    <n v="79979407.188661158"/>
    <n v="79979407.188661158"/>
    <n v="0"/>
    <n v="0"/>
    <n v="171234388.30985916"/>
    <n v="171234388.30985916"/>
    <n v="1"/>
  </r>
  <r>
    <x v="1"/>
    <x v="9"/>
    <s v="95. Sports and Culture"/>
    <n v="6024528.0438208515"/>
    <n v="397618.85089217621"/>
    <n v="397618.85089217621"/>
    <n v="497023.56361522025"/>
    <n v="497023.56361522025"/>
    <n v="497023.56361522025"/>
    <n v="497023.56361522025"/>
    <n v="497023.56361522025"/>
    <n v="497023.56361522025"/>
    <n v="302732.53420199768"/>
    <n v="302732.53420199768"/>
    <n v="252277.1118349981"/>
    <n v="252277.1118349981"/>
    <n v="353187.9565689973"/>
    <n v="353187.9565689973"/>
    <n v="353187.9565689973"/>
    <n v="353187.9565689973"/>
    <n v="353187.9565689973"/>
    <n v="353187.9565689973"/>
    <n v="3503263.0574818244"/>
    <n v="3503263.0574818244"/>
    <n v="0.58149999999999991"/>
  </r>
  <r>
    <x v="1"/>
    <x v="10"/>
    <s v="83. Youth Development"/>
    <n v="6325754.4460118925"/>
    <n v="417499.793436785"/>
    <n v="417499.793436785"/>
    <n v="521874.74179598119"/>
    <n v="521874.74179598119"/>
    <n v="521874.74179598119"/>
    <n v="521874.74179598119"/>
    <n v="521874.74179598119"/>
    <n v="521874.74179598119"/>
    <n v="317869.16091209761"/>
    <n v="317869.16091209761"/>
    <n v="264890.96742674801"/>
    <n v="264890.96742674801"/>
    <n v="370847.3543974472"/>
    <n v="370847.3543974472"/>
    <n v="370847.3543974472"/>
    <n v="370847.3543974472"/>
    <n v="370847.3543974472"/>
    <n v="370847.3543974472"/>
    <n v="3678426.2103559161"/>
    <n v="3678426.2103559161"/>
    <n v="0.58150000000000013"/>
  </r>
  <r>
    <x v="2"/>
    <x v="0"/>
    <s v="60. Local Development"/>
    <n v="12000000"/>
    <n v="0"/>
    <n v="0"/>
    <n v="2400000"/>
    <n v="2400000"/>
    <n v="0"/>
    <n v="0"/>
    <n v="0"/>
    <n v="0"/>
    <n v="0"/>
    <n v="0"/>
    <n v="7200000"/>
    <n v="7200000"/>
    <n v="0"/>
    <n v="0"/>
    <n v="0"/>
    <n v="0"/>
    <n v="2400000"/>
    <n v="2400000"/>
    <n v="12000000"/>
    <n v="12000000"/>
    <n v="1"/>
  </r>
  <r>
    <x v="2"/>
    <x v="1"/>
    <s v="60. Local Development"/>
    <n v="30000000"/>
    <n v="0"/>
    <n v="0"/>
    <n v="8250000"/>
    <n v="8250000"/>
    <n v="0"/>
    <n v="0"/>
    <n v="0"/>
    <n v="0"/>
    <n v="0"/>
    <n v="0"/>
    <n v="7250000"/>
    <n v="7250000"/>
    <n v="0"/>
    <n v="0"/>
    <n v="7250000"/>
    <n v="7250000"/>
    <n v="7250000"/>
    <n v="7250000"/>
    <n v="30000000"/>
    <n v="30000000"/>
    <n v="1"/>
  </r>
  <r>
    <x v="2"/>
    <x v="2"/>
    <s v="62. Road Infrastructure Management"/>
    <n v="50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70. Community Development"/>
    <n v="173067.06936748559"/>
    <n v="11422.42657825405"/>
    <n v="11422.42657825405"/>
    <n v="14278.033222817561"/>
    <n v="14278.033222817561"/>
    <n v="14278.033222817561"/>
    <n v="14278.033222817561"/>
    <n v="14278.033222817561"/>
    <n v="14278.033222817561"/>
    <n v="69572.961885729223"/>
    <n v="69572.961885729223"/>
    <n v="0"/>
    <n v="0"/>
    <n v="0"/>
    <n v="0"/>
    <n v="0"/>
    <n v="0"/>
    <n v="0"/>
    <n v="0"/>
    <n v="123829.48813243593"/>
    <n v="123829.48813243593"/>
    <n v="0.71549999999999991"/>
  </r>
  <r>
    <x v="2"/>
    <x v="4"/>
    <s v="23. Basic Education"/>
    <n v="79142257"/>
    <n v="3512550.6666667"/>
    <n v="3512550.6666667"/>
    <n v="5675009"/>
    <n v="5675009"/>
    <n v="3590525"/>
    <n v="3590525"/>
    <n v="5164511.3333333004"/>
    <n v="5164511.3333333004"/>
    <n v="12750000"/>
    <n v="12750000"/>
    <n v="20397898"/>
    <n v="20397898"/>
    <n v="8442511.3333333321"/>
    <n v="8442511.3333333321"/>
    <n v="3390008.9933333397"/>
    <n v="3390008.9933333397"/>
    <n v="6500229"/>
    <n v="6500229"/>
    <n v="69423243.326666668"/>
    <n v="69423243.326666668"/>
    <n v="0.87719564690537788"/>
  </r>
  <r>
    <x v="2"/>
    <x v="4"/>
    <s v="23. Basic Education"/>
    <n v="43419688"/>
    <n v="0"/>
    <n v="0"/>
    <n v="11307116"/>
    <n v="11307116"/>
    <n v="4040253.8587022275"/>
    <n v="4040253.8587022275"/>
    <n v="0"/>
    <n v="0"/>
    <n v="9350241.8029866647"/>
    <n v="9350241.8029866647"/>
    <n v="9371834.5353244431"/>
    <n v="9371834.5353244431"/>
    <n v="9350241.8029866647"/>
    <n v="9350241.8029866647"/>
    <n v="0"/>
    <n v="0"/>
    <n v="0"/>
    <n v="0"/>
    <n v="43419688"/>
    <n v="43419688"/>
    <n v="1"/>
  </r>
  <r>
    <x v="2"/>
    <x v="4"/>
    <s v="23. Basic Education"/>
    <n v="10679815"/>
    <n v="10679815"/>
    <n v="10679815"/>
    <n v="0"/>
    <n v="0"/>
    <n v="0"/>
    <n v="0"/>
    <n v="0"/>
    <n v="0"/>
    <n v="0"/>
    <n v="0"/>
    <n v="0"/>
    <n v="0"/>
    <n v="0"/>
    <n v="0"/>
    <n v="0"/>
    <n v="0"/>
    <n v="0"/>
    <n v="0"/>
    <n v="10679815"/>
    <n v="10679815"/>
    <n v="1"/>
  </r>
  <r>
    <x v="2"/>
    <x v="5"/>
    <s v="92. Environment and Climate Change Management"/>
    <n v="2136975.3411420039"/>
    <n v="313066.72397167597"/>
    <n v="313066.72397167597"/>
    <n v="391333.40496459493"/>
    <n v="391333.40496459493"/>
    <n v="391333.40496459493"/>
    <n v="391333.40496459493"/>
    <n v="391333.40496459493"/>
    <n v="391333.40496459493"/>
    <n v="0"/>
    <n v="0"/>
    <n v="0"/>
    <n v="0"/>
    <n v="401478.71806550055"/>
    <n v="401478.71806550055"/>
    <n v="0"/>
    <n v="0"/>
    <n v="0"/>
    <n v="0"/>
    <n v="1888545.6569309612"/>
    <n v="1888545.6569309612"/>
    <n v="0.88374705153205868"/>
  </r>
  <r>
    <x v="2"/>
    <x v="6"/>
    <s v="69. Gender Equality and Wome Empowerment"/>
    <n v="173067.06936748559"/>
    <n v="11422.42657825405"/>
    <n v="11422.42657825405"/>
    <n v="14278.033222817561"/>
    <n v="14278.033222817561"/>
    <n v="14278.033222817561"/>
    <n v="14278.033222817561"/>
    <n v="14278.033222817561"/>
    <n v="14278.033222817561"/>
    <n v="0"/>
    <n v="0"/>
    <n v="0"/>
    <n v="0"/>
    <n v="81168.45553335076"/>
    <n v="81168.45553335076"/>
    <n v="0"/>
    <n v="0"/>
    <n v="0"/>
    <n v="0"/>
    <n v="135424.98178005748"/>
    <n v="135424.98178005748"/>
    <n v="0.78250000000000008"/>
  </r>
  <r>
    <x v="2"/>
    <x v="7"/>
    <s v="20. Management and Administration"/>
    <n v="48761289.115422517"/>
    <n v="3221259.6971482346"/>
    <n v="3221259.6971482346"/>
    <n v="4026574.621435293"/>
    <n v="4026574.621435293"/>
    <n v="4026574.621435293"/>
    <n v="4026574.621435293"/>
    <n v="4026574.621435293"/>
    <n v="4026574.621435293"/>
    <n v="2526543.187410926"/>
    <n v="2526543.187410926"/>
    <n v="2054558.3780552708"/>
    <n v="2054558.3780552708"/>
    <n v="2844408.5317329778"/>
    <n v="2844408.5317329778"/>
    <n v="2844408.5317329802"/>
    <n v="2844408.5317329802"/>
    <n v="2844408.5317329802"/>
    <n v="2844408.5317329802"/>
    <n v="28415310.722119246"/>
    <n v="28415310.722119246"/>
    <n v="0.58274322187950278"/>
  </r>
  <r>
    <x v="2"/>
    <x v="8"/>
    <s v="60. Local Development"/>
    <n v="171234388.30985916"/>
    <n v="0"/>
    <n v="0"/>
    <n v="11275573.93253685"/>
    <n v="11275573.93253685"/>
    <n v="20000000"/>
    <n v="20000000"/>
    <n v="0"/>
    <n v="0"/>
    <n v="59979407.188661203"/>
    <n v="59979407.188661203"/>
    <n v="0"/>
    <n v="0"/>
    <n v="0"/>
    <n v="0"/>
    <n v="79979407.188661158"/>
    <n v="79979407.188661158"/>
    <n v="0"/>
    <n v="0"/>
    <n v="171234388.30985922"/>
    <n v="171234388.30985922"/>
    <n v="1.0000000000000004"/>
  </r>
  <r>
    <x v="2"/>
    <x v="9"/>
    <s v="95. Sports and Culture"/>
    <n v="5028661.7284917152"/>
    <n v="331891.67408045323"/>
    <n v="331891.67408045323"/>
    <n v="414864.59260056651"/>
    <n v="414864.59260056651"/>
    <n v="414864.59260056651"/>
    <n v="414864.59260056651"/>
    <n v="414864.59260056651"/>
    <n v="414864.59260056651"/>
    <n v="252690.25185670872"/>
    <n v="252690.25185670872"/>
    <n v="210575.20988059061"/>
    <n v="210575.20988059061"/>
    <n v="294805.29383282684"/>
    <n v="294805.29383282684"/>
    <n v="294805.29383282684"/>
    <n v="294805.29383282684"/>
    <n v="294805.29383282684"/>
    <n v="294805.29383282684"/>
    <n v="2924166.7951179324"/>
    <n v="2924166.7951179324"/>
    <n v="0.58150000000000002"/>
  </r>
  <r>
    <x v="2"/>
    <x v="11"/>
    <s v="88. Small Scale Business Development"/>
    <n v="8803809.7835806534"/>
    <n v="581051.44571632321"/>
    <n v="581051.44571632321"/>
    <n v="726314.30714540393"/>
    <n v="726314.30714540393"/>
    <n v="726314.30714540393"/>
    <n v="726314.30714540393"/>
    <n v="726314.30714540393"/>
    <n v="726314.30714540393"/>
    <n v="442391.4416249278"/>
    <n v="442391.4416249278"/>
    <n v="368659.53468743985"/>
    <n v="368659.53468743985"/>
    <n v="516123.34856241575"/>
    <n v="516123.34856241575"/>
    <n v="516123.34856241575"/>
    <n v="516123.34856241575"/>
    <n v="516123.34856241575"/>
    <n v="516123.34856241575"/>
    <n v="5119415.3891521497"/>
    <n v="5119415.3891521497"/>
    <n v="0.58150000000000002"/>
  </r>
  <r>
    <x v="2"/>
    <x v="10"/>
    <s v="83. Youth Development"/>
    <n v="5280094.8149162997"/>
    <n v="348486.25778447581"/>
    <n v="348486.25778447581"/>
    <n v="435607.82223059476"/>
    <n v="435607.82223059476"/>
    <n v="435607.82223059476"/>
    <n v="435607.82223059476"/>
    <n v="435607.82223059476"/>
    <n v="435607.82223059476"/>
    <n v="265324.76444954408"/>
    <n v="265324.76444954408"/>
    <n v="221103.97037462005"/>
    <n v="221103.97037462005"/>
    <n v="309545.55852446804"/>
    <n v="309545.55852446804"/>
    <n v="309545.55852446804"/>
    <n v="309545.55852446804"/>
    <n v="309545.55852446804"/>
    <n v="309545.55852446804"/>
    <n v="3070375.1348738279"/>
    <n v="3070375.1348738279"/>
    <n v="0.58149999999999991"/>
  </r>
  <r>
    <x v="3"/>
    <x v="0"/>
    <s v="60. Local Development"/>
    <n v="12000000"/>
    <n v="0"/>
    <n v="0"/>
    <n v="2400000"/>
    <n v="2400000"/>
    <n v="0"/>
    <n v="0"/>
    <n v="0"/>
    <n v="0"/>
    <n v="0"/>
    <n v="0"/>
    <n v="7200000"/>
    <n v="7200000"/>
    <n v="0"/>
    <n v="0"/>
    <n v="0"/>
    <n v="0"/>
    <n v="2400000"/>
    <n v="2400000"/>
    <n v="12000000"/>
    <n v="12000000"/>
    <n v="1"/>
  </r>
  <r>
    <x v="3"/>
    <x v="1"/>
    <s v="60. Local Development"/>
    <n v="30000000"/>
    <n v="0"/>
    <n v="0"/>
    <n v="8250000"/>
    <n v="8250000"/>
    <n v="0"/>
    <n v="0"/>
    <n v="0"/>
    <n v="0"/>
    <n v="0"/>
    <n v="0"/>
    <n v="7250000"/>
    <n v="7250000"/>
    <n v="0"/>
    <n v="0"/>
    <n v="7250000"/>
    <n v="7250000"/>
    <n v="7250000"/>
    <n v="7250000"/>
    <n v="30000000"/>
    <n v="30000000"/>
    <n v="1"/>
  </r>
  <r>
    <x v="3"/>
    <x v="2"/>
    <s v="62. Road Infrastructure Management"/>
    <n v="50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s v="70. Community Development"/>
    <n v="173067.06936748559"/>
    <n v="11422.42657825405"/>
    <n v="11422.42657825405"/>
    <n v="14278.033222817561"/>
    <n v="14278.033222817561"/>
    <n v="14278.033222817561"/>
    <n v="14278.033222817561"/>
    <n v="14278.033222817561"/>
    <n v="14278.033222817561"/>
    <n v="69572.961885729223"/>
    <n v="69572.961885729223"/>
    <n v="0"/>
    <n v="0"/>
    <n v="0"/>
    <n v="0"/>
    <n v="0"/>
    <n v="0"/>
    <n v="0"/>
    <n v="0"/>
    <n v="123829.48813243593"/>
    <n v="123829.48813243593"/>
    <n v="0.71549999999999991"/>
  </r>
  <r>
    <x v="3"/>
    <x v="4"/>
    <s v="23. Basic Education"/>
    <n v="45316769"/>
    <n v="2421719"/>
    <n v="2421719"/>
    <n v="2135237"/>
    <n v="2135237"/>
    <n v="2125191"/>
    <n v="2125191"/>
    <n v="2370422.6358684152"/>
    <n v="2370422.6358684152"/>
    <n v="5400597.2730986886"/>
    <n v="5400597.2730986886"/>
    <n v="10941947.091032896"/>
    <n v="10941947.091032896"/>
    <n v="2686719"/>
    <n v="2686719"/>
    <n v="4567177"/>
    <n v="4567177"/>
    <n v="5281692"/>
    <n v="5281692"/>
    <n v="37930702"/>
    <n v="37930702"/>
    <n v="0.83701249751499274"/>
  </r>
  <r>
    <x v="3"/>
    <x v="4"/>
    <s v="23. Basic Education"/>
    <n v="15561264"/>
    <n v="0"/>
    <n v="0"/>
    <n v="7561264"/>
    <n v="7561264"/>
    <n v="0"/>
    <n v="0"/>
    <n v="0"/>
    <n v="0"/>
    <n v="3000000"/>
    <n v="3000000"/>
    <n v="2000000"/>
    <n v="2000000"/>
    <n v="3000000"/>
    <n v="3000000"/>
    <n v="0"/>
    <n v="0"/>
    <n v="0"/>
    <n v="0"/>
    <n v="15561264"/>
    <n v="15561264"/>
    <n v="1"/>
  </r>
  <r>
    <x v="3"/>
    <x v="4"/>
    <s v="23. Basic Education"/>
    <n v="5187936"/>
    <n v="0"/>
    <n v="0"/>
    <n v="0"/>
    <n v="0"/>
    <n v="5187936"/>
    <n v="5187936"/>
    <n v="0"/>
    <n v="0"/>
    <n v="0"/>
    <n v="0"/>
    <n v="0"/>
    <n v="0"/>
    <n v="0"/>
    <n v="0"/>
    <n v="0"/>
    <n v="0"/>
    <n v="0"/>
    <n v="0"/>
    <n v="5187936"/>
    <n v="5187936"/>
    <n v="1"/>
  </r>
  <r>
    <x v="3"/>
    <x v="5"/>
    <s v="92. Environment and Climate Change Management"/>
    <n v="2413587.824770404"/>
    <n v="353590.43165888498"/>
    <n v="353590.43165888498"/>
    <n v="441988.03957360616"/>
    <n v="441988.03957360616"/>
    <n v="441988.03957360616"/>
    <n v="441988.03957360616"/>
    <n v="441988.03957360616"/>
    <n v="441988.03957360616"/>
    <n v="0"/>
    <n v="0"/>
    <n v="0"/>
    <n v="0"/>
    <n v="453446.57337481662"/>
    <n v="453446.57337481662"/>
    <n v="0"/>
    <n v="0"/>
    <n v="0"/>
    <n v="0"/>
    <n v="2133001.12375452"/>
    <n v="2133001.12375452"/>
    <n v="0.88374705153205879"/>
  </r>
  <r>
    <x v="3"/>
    <x v="6"/>
    <s v="69. Gender Equality and Wome Empowerment"/>
    <n v="173067.06936748559"/>
    <n v="11422.42657825405"/>
    <n v="11422.42657825405"/>
    <n v="14278.033222817561"/>
    <n v="14278.033222817561"/>
    <n v="14278.033222817561"/>
    <n v="14278.033222817561"/>
    <n v="14278.033222817561"/>
    <n v="14278.033222817561"/>
    <n v="0"/>
    <n v="0"/>
    <n v="0"/>
    <n v="0"/>
    <n v="81168.45553335076"/>
    <n v="81168.45553335076"/>
    <n v="0"/>
    <n v="0"/>
    <n v="0"/>
    <n v="0"/>
    <n v="135424.98178005748"/>
    <n v="135424.98178005748"/>
    <n v="0.78250000000000008"/>
  </r>
  <r>
    <x v="3"/>
    <x v="7"/>
    <s v="20. Management and Administration"/>
    <n v="37112948.60693156"/>
    <n v="2451749.0771594513"/>
    <n v="2451749.0771594513"/>
    <n v="3064686.3464493142"/>
    <n v="3064686.3464493142"/>
    <n v="3064686.3464493142"/>
    <n v="3064686.3464493142"/>
    <n v="3064686.3464493142"/>
    <n v="3064686.3464493142"/>
    <n v="1922989.9202545364"/>
    <n v="1922989.9202545364"/>
    <n v="1563755.2016767522"/>
    <n v="1563755.2016767522"/>
    <n v="2164922.0020710076"/>
    <n v="2164922.0020710076"/>
    <n v="2164922.0020710076"/>
    <n v="2164922.0020710076"/>
    <n v="2164922.0020710076"/>
    <n v="2164922.0020710076"/>
    <n v="21627319.244651705"/>
    <n v="21627319.244651705"/>
    <n v="0.58274322187950289"/>
  </r>
  <r>
    <x v="3"/>
    <x v="8"/>
    <s v="60. Local Development"/>
    <n v="171234388.30985916"/>
    <n v="0"/>
    <n v="0"/>
    <n v="11275573.93253685"/>
    <n v="11275573.93253685"/>
    <n v="30094742.067463201"/>
    <n v="30094742.067463201"/>
    <n v="0"/>
    <n v="0"/>
    <n v="79979407.188661158"/>
    <n v="79979407.188661158"/>
    <n v="0"/>
    <n v="0"/>
    <n v="0"/>
    <n v="0"/>
    <n v="29979407.188661199"/>
    <n v="29979407.188661199"/>
    <n v="0"/>
    <n v="0"/>
    <n v="151329130.37732241"/>
    <n v="151329130.37732241"/>
    <n v="0.88375431985941422"/>
  </r>
  <r>
    <x v="3"/>
    <x v="9"/>
    <s v="95. Sports and Culture"/>
    <n v="3033988.9838319239"/>
    <n v="200243.27293290698"/>
    <n v="200243.27293290698"/>
    <n v="250304.09116613373"/>
    <n v="250304.09116613373"/>
    <n v="250304.09116613373"/>
    <n v="250304.09116613373"/>
    <n v="250304.09116613373"/>
    <n v="250304.09116613373"/>
    <n v="152457.9464375542"/>
    <n v="152457.9464375542"/>
    <n v="127048.28869796185"/>
    <n v="127048.28869796185"/>
    <n v="177867.60417714657"/>
    <n v="177867.60417714657"/>
    <n v="177867.60417714657"/>
    <n v="177867.60417714657"/>
    <n v="177867.60417714657"/>
    <n v="177867.60417714657"/>
    <n v="1764264.5940982639"/>
    <n v="1764264.5940982639"/>
    <n v="0.58150000000000002"/>
  </r>
  <r>
    <x v="3"/>
    <x v="10"/>
    <s v="83. Youth Development"/>
    <n v="3185688.4330235198"/>
    <n v="210255.43657955236"/>
    <n v="210255.43657955236"/>
    <n v="262819.29572444042"/>
    <n v="262819.29572444042"/>
    <n v="262819.29572444042"/>
    <n v="262819.29572444042"/>
    <n v="262819.29572444042"/>
    <n v="262819.29572444042"/>
    <n v="160080.84375943188"/>
    <n v="160080.84375943188"/>
    <n v="133400.7031328599"/>
    <n v="133400.7031328599"/>
    <n v="186760.98438600384"/>
    <n v="186760.98438600384"/>
    <n v="186760.98438600384"/>
    <n v="186760.98438600384"/>
    <n v="186760.98438600384"/>
    <n v="186760.98438600384"/>
    <n v="1852477.8238031766"/>
    <n v="1852477.8238031766"/>
    <n v="0.58149999999999991"/>
  </r>
  <r>
    <x v="4"/>
    <x v="5"/>
    <s v="92. Environment and Climate Change Management"/>
    <n v="2084645.1913082558"/>
    <n v="330280.6619928382"/>
    <n v="330280.6619928382"/>
    <n v="412850.82749104773"/>
    <n v="412850.82749104773"/>
    <n v="412850.82749104773"/>
    <n v="412850.82749104773"/>
    <n v="412850.82749104773"/>
    <n v="412850.82749104773"/>
    <n v="0"/>
    <n v="0"/>
    <n v="0"/>
    <n v="0"/>
    <n v="303269.31694084505"/>
    <n v="303269.31694084505"/>
    <n v="0"/>
    <n v="0"/>
    <n v="0"/>
    <n v="0"/>
    <n v="1872102.4614068265"/>
    <n v="1872102.4614068265"/>
    <n v="0.89804369070208812"/>
  </r>
  <r>
    <x v="4"/>
    <x v="7"/>
    <s v="20. Management and Administration"/>
    <n v="28970283.78270169"/>
    <n v="1963087.5466505615"/>
    <n v="1963087.5466505615"/>
    <n v="2453859.4333132016"/>
    <n v="2453859.4333132016"/>
    <n v="2453859.4333132016"/>
    <n v="2453859.4333132016"/>
    <n v="2453859.4333132016"/>
    <n v="2453859.4333132016"/>
    <n v="1539716.1153048631"/>
    <n v="1539716.1153048631"/>
    <n v="1252080.9698757061"/>
    <n v="1252080.9698757061"/>
    <n v="1192001.5277999162"/>
    <n v="1192001.5277999162"/>
    <n v="1733428.3762265276"/>
    <n v="1733428.3762265276"/>
    <n v="1733428.3762265276"/>
    <n v="1733428.3762265276"/>
    <n v="16775321.212023709"/>
    <n v="16775321.212023709"/>
    <n v="0.57905270579504442"/>
  </r>
  <r>
    <x v="4"/>
    <x v="8"/>
    <s v="60. Local Development"/>
    <n v="22831251.774647892"/>
    <n v="0"/>
    <n v="0"/>
    <n v="1503409.8576715803"/>
    <n v="1503409.8576715803"/>
    <n v="0"/>
    <n v="0"/>
    <n v="0"/>
    <n v="0"/>
    <n v="10663920.958488155"/>
    <n v="10663920.958488155"/>
    <n v="0"/>
    <n v="0"/>
    <n v="0"/>
    <n v="0"/>
    <n v="10663920.958488155"/>
    <n v="10663920.958488155"/>
    <n v="0"/>
    <n v="0"/>
    <n v="22831251.774647892"/>
    <n v="22831251.774647892"/>
    <n v="1"/>
  </r>
  <r>
    <x v="5"/>
    <x v="5"/>
    <s v="92. Environment and Climate Change Management"/>
    <n v="2084645.1887516764"/>
    <n v="312794"/>
    <n v="312794"/>
    <n v="390993"/>
    <n v="390993"/>
    <n v="390993"/>
    <n v="390993"/>
    <n v="390993"/>
    <n v="390993"/>
    <n v="0"/>
    <n v="0"/>
    <n v="0"/>
    <n v="0"/>
    <n v="386833.50700791646"/>
    <n v="386833.50700791646"/>
    <n v="0"/>
    <n v="0"/>
    <n v="0"/>
    <n v="0"/>
    <n v="1872606.5070079165"/>
    <n v="1872606.5070079165"/>
    <n v="0.89828548143929832"/>
  </r>
  <r>
    <x v="5"/>
    <x v="7"/>
    <s v="20. Management and Administration"/>
    <n v="32401343.805783842"/>
    <n v="1913829.7870522868"/>
    <n v="1913829.7870522868"/>
    <n v="2392287"/>
    <n v="2392287"/>
    <n v="2392287"/>
    <n v="2392287"/>
    <n v="2392287"/>
    <n v="2392287"/>
    <n v="1501081.5845185618"/>
    <n v="1501081.5845185618"/>
    <n v="1220663.7753053762"/>
    <n v="1220663.7753053762"/>
    <n v="2389933.2206575978"/>
    <n v="2389933.2206575978"/>
    <n v="2389933.2206575978"/>
    <n v="2389933.2206575978"/>
    <n v="1689933.2206575985"/>
    <n v="1689933.2206575985"/>
    <n v="18282235.808849022"/>
    <n v="18282235.808849022"/>
    <n v="0.56424313505125456"/>
  </r>
  <r>
    <x v="5"/>
    <x v="8"/>
    <s v="60. Local Development"/>
    <n v="22831251.774647892"/>
    <n v="0"/>
    <n v="0"/>
    <n v="1503409.8576715803"/>
    <n v="1503409.8576715803"/>
    <n v="0"/>
    <n v="0"/>
    <n v="0"/>
    <n v="0"/>
    <n v="10663920.958488155"/>
    <n v="10663920.958488155"/>
    <n v="0"/>
    <n v="0"/>
    <n v="0"/>
    <n v="0"/>
    <n v="10663920.958488155"/>
    <n v="10663920.958488155"/>
    <n v="0"/>
    <n v="0"/>
    <n v="22831251.774647892"/>
    <n v="22831251.774647892"/>
    <n v="1"/>
  </r>
  <r>
    <x v="6"/>
    <x v="5"/>
    <s v="92. Environment and Climate Change Management"/>
    <n v="2042064.4672637989"/>
    <n v="306405"/>
    <n v="306405"/>
    <n v="383006"/>
    <n v="383006"/>
    <n v="383006"/>
    <n v="383006"/>
    <n v="383006.47325652029"/>
    <n v="383006.47325652029"/>
    <n v="0"/>
    <n v="0"/>
    <n v="0"/>
    <n v="0"/>
    <n v="335935.61614185077"/>
    <n v="335935.61614185077"/>
    <n v="0"/>
    <n v="0"/>
    <n v="0"/>
    <n v="0"/>
    <n v="1791359.0893983711"/>
    <n v="1791359.0893983711"/>
    <n v="0.87722944995886798"/>
  </r>
  <r>
    <x v="6"/>
    <x v="7"/>
    <s v="20. Management and Administration"/>
    <n v="32401343.805783842"/>
    <n v="2140491.8702611434"/>
    <n v="2140491.8702611434"/>
    <n v="2675615"/>
    <n v="2675615"/>
    <n v="2675615"/>
    <n v="2675615"/>
    <n v="2675614.8378264294"/>
    <n v="2675614.8378264294"/>
    <n v="1678860.3406625304"/>
    <n v="1678860.3406625304"/>
    <n v="1365231.5921928158"/>
    <n v="1365231.5921928158"/>
    <n v="1890078.3886707241"/>
    <n v="1890078.3886707241"/>
    <n v="1890078.3886707241"/>
    <n v="1890078.3886707241"/>
    <n v="1890078.3886707241"/>
    <n v="1890078.3886707241"/>
    <n v="18881663.806955092"/>
    <n v="18881663.806955092"/>
    <n v="0.58274323188980193"/>
  </r>
  <r>
    <x v="6"/>
    <x v="8"/>
    <s v="60. Local Development"/>
    <n v="22831251.774647892"/>
    <n v="0"/>
    <n v="0"/>
    <n v="1503409.8576715803"/>
    <n v="1503409.8576715803"/>
    <n v="0"/>
    <n v="0"/>
    <n v="0"/>
    <n v="0"/>
    <n v="10663920.958488155"/>
    <n v="10663920.958488155"/>
    <n v="0"/>
    <n v="0"/>
    <n v="0"/>
    <n v="0"/>
    <n v="10663920.958488155"/>
    <n v="10663920.958488155"/>
    <n v="0"/>
    <n v="0"/>
    <n v="22831251.774647892"/>
    <n v="22831251.774647892"/>
    <n v="1"/>
  </r>
  <r>
    <x v="7"/>
    <x v="12"/>
    <s v="49. Agricultural Productivity and Risk Management"/>
    <n v="41305392.009999998"/>
    <n v="3658527.1006209143"/>
    <n v="3658527.1006209143"/>
    <n v="4573158.8757761428"/>
    <n v="4573158.8757761428"/>
    <n v="4573158.8757761428"/>
    <n v="4573158.8757761428"/>
    <n v="4573158.8757761428"/>
    <n v="4573158.8757761428"/>
    <n v="2876594.5633619288"/>
    <n v="2876594.5633619288"/>
    <n v="2876594.5633619288"/>
    <n v="2876594.5633619288"/>
    <n v="2876594.5633619288"/>
    <n v="2876594.5633619288"/>
    <n v="2876594.5633619288"/>
    <n v="2876594.5633619288"/>
    <n v="2876594.5633619288"/>
    <n v="2876594.5633619288"/>
    <n v="31760976.544758983"/>
    <n v="31760976.544758983"/>
    <n v="0.76893051970235937"/>
  </r>
  <r>
    <x v="7"/>
    <x v="12"/>
    <s v="49. Agricultural Productivity and Risk Management"/>
    <n v="14126837.449999999"/>
    <n v="0"/>
    <n v="0"/>
    <n v="0"/>
    <n v="0"/>
    <n v="0"/>
    <n v="0"/>
    <n v="0"/>
    <n v="0"/>
    <n v="7063418.7249999996"/>
    <n v="7063418.7249999996"/>
    <n v="7063418.7249999996"/>
    <n v="7063418.7249999996"/>
    <n v="0"/>
    <n v="0"/>
    <n v="0"/>
    <n v="0"/>
    <n v="0"/>
    <n v="0"/>
    <n v="14126837.449999999"/>
    <n v="14126837.449999999"/>
    <n v="1"/>
  </r>
  <r>
    <x v="7"/>
    <x v="0"/>
    <s v="60. Local Development"/>
    <n v="48000000"/>
    <n v="0"/>
    <n v="0"/>
    <n v="9600000"/>
    <n v="9600000"/>
    <n v="0"/>
    <n v="0"/>
    <n v="0"/>
    <n v="0"/>
    <n v="0"/>
    <n v="0"/>
    <n v="14400000"/>
    <n v="14400000"/>
    <n v="0"/>
    <n v="0"/>
    <n v="14400000"/>
    <n v="14400000"/>
    <n v="9600000"/>
    <n v="9600000"/>
    <n v="48000000"/>
    <n v="48000000"/>
    <n v="1"/>
  </r>
  <r>
    <x v="7"/>
    <x v="1"/>
    <s v="60. Local Development"/>
    <n v="120000000"/>
    <n v="0"/>
    <n v="0"/>
    <n v="33000000"/>
    <n v="33000000"/>
    <n v="0"/>
    <n v="0"/>
    <n v="0"/>
    <n v="0"/>
    <n v="0"/>
    <n v="0"/>
    <n v="29000000"/>
    <n v="29000000"/>
    <n v="0"/>
    <n v="0"/>
    <n v="29000000"/>
    <n v="29000000"/>
    <n v="29000000"/>
    <n v="29000000"/>
    <n v="120000000"/>
    <n v="120000000"/>
    <n v="1"/>
  </r>
  <r>
    <x v="7"/>
    <x v="3"/>
    <s v="70. Community Development"/>
    <n v="8366251.7104947614"/>
    <n v="552172.61289265426"/>
    <n v="552172.61289265426"/>
    <n v="690215.76611581782"/>
    <n v="690215.76611581782"/>
    <n v="690215.76611581782"/>
    <n v="690215.76611581782"/>
    <n v="690215.76611581782"/>
    <n v="690215.76611581782"/>
    <n v="420404.14845236164"/>
    <n v="420404.14845236164"/>
    <n v="350336.79037696804"/>
    <n v="350336.79037696804"/>
    <n v="490471.50652775523"/>
    <n v="490471.50652775523"/>
    <n v="490471.50652775523"/>
    <n v="490471.50652775523"/>
    <n v="490471.50652775523"/>
    <n v="490471.50652775523"/>
    <n v="4864975.3696527034"/>
    <n v="4864975.3696527034"/>
    <n v="0.58149999999999991"/>
  </r>
  <r>
    <x v="7"/>
    <x v="13"/>
    <s v="60. Local Development"/>
    <n v="109230701"/>
    <n v="0"/>
    <n v="0"/>
    <n v="8738456.0790046733"/>
    <n v="8738456.0790046733"/>
    <n v="0"/>
    <n v="0"/>
    <n v="0"/>
    <n v="0"/>
    <n v="25123061.230248831"/>
    <n v="25123061.230248831"/>
    <n v="0"/>
    <n v="0"/>
    <n v="0"/>
    <n v="0"/>
    <n v="37684591.845373243"/>
    <n v="37684591.845373243"/>
    <n v="0"/>
    <n v="0"/>
    <n v="71546109.154626742"/>
    <n v="71546109.154626742"/>
    <n v="0.65499999999658287"/>
  </r>
  <r>
    <x v="7"/>
    <x v="14"/>
    <s v="Disaster Risk Management"/>
    <n v="47142857"/>
    <n v="15399999.999120001"/>
    <n v="15399999.999120001"/>
    <n v="0"/>
    <n v="0"/>
    <n v="0"/>
    <n v="0"/>
    <n v="0"/>
    <n v="0"/>
    <n v="2091964.2857967855"/>
    <n v="2091964.2857967855"/>
    <n v="1743303.5714973214"/>
    <n v="1743303.5714973214"/>
    <n v="2440625.0000962499"/>
    <n v="2440625.0000962499"/>
    <n v="2440625.0000962499"/>
    <n v="2440625.0000962499"/>
    <n v="2440625.0000962499"/>
    <n v="2440625.0000962499"/>
    <n v="26557142.856702857"/>
    <n v="26557142.856702857"/>
    <n v="0.56333333503107075"/>
  </r>
  <r>
    <x v="7"/>
    <x v="4"/>
    <s v="23. Basic Education"/>
    <n v="126567486"/>
    <n v="10982845.018959999"/>
    <n v="10982845.018959999"/>
    <n v="11902198.46896"/>
    <n v="11902198.46896"/>
    <n v="14284218.935626701"/>
    <n v="14284218.935626701"/>
    <n v="16299809.452106621"/>
    <n v="16299809.452106621"/>
    <n v="15000000.000000006"/>
    <n v="15000000.000000006"/>
    <n v="23898451.411626667"/>
    <n v="23898451.411626667"/>
    <n v="6979170.0189599991"/>
    <n v="6979170.0189599991"/>
    <n v="6688862.1471999995"/>
    <n v="6688862.1471999995"/>
    <n v="5277032.0289599998"/>
    <n v="5277032.0289599998"/>
    <n v="111312587.4824"/>
    <n v="111312587.4824"/>
    <n v="0.87947221676189413"/>
  </r>
  <r>
    <x v="7"/>
    <x v="4"/>
    <s v="23. Basic Education"/>
    <n v="120004737"/>
    <n v="0"/>
    <n v="0"/>
    <n v="22495581.537204787"/>
    <n v="22495581.537204787"/>
    <n v="0"/>
    <n v="0"/>
    <n v="0"/>
    <n v="0"/>
    <n v="36565933.298548207"/>
    <n v="36565933.298548207"/>
    <n v="24377288.865698803"/>
    <n v="24377288.865698803"/>
    <n v="36565933.298548207"/>
    <n v="36565933.298548207"/>
    <n v="0"/>
    <n v="0"/>
    <n v="0"/>
    <n v="0"/>
    <n v="120004737"/>
    <n v="120004737"/>
    <n v="1"/>
  </r>
  <r>
    <x v="7"/>
    <x v="4"/>
    <s v="23. Basic Education"/>
    <n v="30730733"/>
    <n v="0"/>
    <n v="0"/>
    <n v="15545322.000000002"/>
    <n v="15545322.000000002"/>
    <n v="0"/>
    <n v="0"/>
    <n v="0"/>
    <n v="0"/>
    <n v="2847264.5624999995"/>
    <n v="2847264.5624999995"/>
    <n v="3796352.7499999995"/>
    <n v="3796352.7499999995"/>
    <n v="8541793.6874999981"/>
    <n v="8541793.6874999981"/>
    <n v="0"/>
    <n v="0"/>
    <n v="0"/>
    <n v="0"/>
    <n v="30730733"/>
    <n v="30730733"/>
    <n v="1"/>
  </r>
  <r>
    <x v="7"/>
    <x v="5"/>
    <s v="92. Environment and Climate Change Management"/>
    <n v="5940098.9005559655"/>
    <n v="243172.22333037021"/>
    <n v="243172.22333037021"/>
    <n v="303965.27916296275"/>
    <n v="303965.27916296275"/>
    <n v="303965.27916296275"/>
    <n v="303965.27916296275"/>
    <n v="303965.27916296275"/>
    <n v="303965.27916296275"/>
    <n v="226020.85300847617"/>
    <n v="226020.85300847617"/>
    <n v="188350.71084039682"/>
    <n v="188350.71084039682"/>
    <n v="263690.99517655553"/>
    <n v="263690.99517655553"/>
    <n v="1461129.4824969908"/>
    <n v="1461129.4824969908"/>
    <n v="263690.99517655553"/>
    <n v="263690.99517655553"/>
    <n v="3557951.0975182336"/>
    <n v="3557951.0975182336"/>
    <n v="0.59897169341494061"/>
  </r>
  <r>
    <x v="7"/>
    <x v="15"/>
    <s v="96. Sustainable Rural Development"/>
    <n v="3874496.5033007446"/>
    <n v="255716.76921784916"/>
    <n v="255716.76921784916"/>
    <n v="319645.96152231144"/>
    <n v="319645.96152231144"/>
    <n v="319645.96152231144"/>
    <n v="319645.96152231144"/>
    <n v="319645.96152231144"/>
    <n v="319645.96152231144"/>
    <n v="194693.44929086239"/>
    <n v="194693.44929086239"/>
    <n v="162244.54107571868"/>
    <n v="162244.54107571868"/>
    <n v="227142.35750600614"/>
    <n v="227142.35750600614"/>
    <n v="227142.35750600614"/>
    <n v="227142.35750600614"/>
    <n v="227142.35750600614"/>
    <n v="227142.35750600614"/>
    <n v="2253019.716669383"/>
    <n v="2253019.716669383"/>
    <n v="0.58150000000000002"/>
  </r>
  <r>
    <x v="7"/>
    <x v="16"/>
    <s v="92. Environment and Climate Change Management"/>
    <n v="2372201.7527254755"/>
    <n v="156565.3156798814"/>
    <n v="156565.3156798814"/>
    <n v="195706.64459985174"/>
    <n v="195706.64459985174"/>
    <n v="195706.64459985174"/>
    <n v="195706.64459985174"/>
    <n v="195706.64459985174"/>
    <n v="195706.64459985174"/>
    <n v="119203.13807445513"/>
    <n v="119203.13807445513"/>
    <n v="99335.948395379281"/>
    <n v="99335.948395379281"/>
    <n v="139070.32775353099"/>
    <n v="139070.32775353099"/>
    <n v="139070.32775353099"/>
    <n v="139070.32775353099"/>
    <n v="139070.32775353099"/>
    <n v="139070.32775353099"/>
    <n v="1379435.3192098639"/>
    <n v="1379435.3192098639"/>
    <n v="0.58150000000000002"/>
  </r>
  <r>
    <x v="7"/>
    <x v="6"/>
    <s v="69. Gender Equality and Wome Empowerment"/>
    <n v="8366251.7104947614"/>
    <n v="552172.61289265426"/>
    <n v="552172.61289265426"/>
    <n v="690215.76611581782"/>
    <n v="690215.76611581782"/>
    <n v="690215.76611581782"/>
    <n v="690215.76611581782"/>
    <n v="690215.76611581782"/>
    <n v="690215.76611581782"/>
    <n v="420404.14845236164"/>
    <n v="420404.14845236164"/>
    <n v="350336.79037696804"/>
    <n v="350336.79037696804"/>
    <n v="490471.50652775523"/>
    <n v="490471.50652775523"/>
    <n v="490471.50652775523"/>
    <n v="490471.50652775523"/>
    <n v="490471.50652775523"/>
    <n v="490471.50652775523"/>
    <n v="4864975.3696527034"/>
    <n v="4864975.3696527034"/>
    <n v="0.58149999999999991"/>
  </r>
  <r>
    <x v="7"/>
    <x v="7"/>
    <s v="20. Management and Administration"/>
    <n v="75528947.17256254"/>
    <n v="4989580.0112893647"/>
    <n v="4989580.0112893647"/>
    <n v="6236975.0141117051"/>
    <n v="6236975.0141117051"/>
    <n v="6236975.0141117051"/>
    <n v="6236975.0141117051"/>
    <n v="6236975.0141117051"/>
    <n v="6236975.0141117051"/>
    <n v="3913496.7592725414"/>
    <n v="3913496.7592725414"/>
    <n v="3182414.4524104022"/>
    <n v="3182414.4524104022"/>
    <n v="4405855.2517328141"/>
    <n v="4405855.2517328141"/>
    <n v="4356330.2700910661"/>
    <n v="4356330.2700910661"/>
    <n v="4405855.2517328141"/>
    <n v="4405855.2517328141"/>
    <n v="43964457.038864113"/>
    <n v="43964457.038864113"/>
    <n v="0.58208751326054653"/>
  </r>
  <r>
    <x v="7"/>
    <x v="17"/>
    <s v="65. Primary Health Care"/>
    <n v="243225491.67008853"/>
    <n v="20066103.062782306"/>
    <n v="20066103.062782306"/>
    <n v="20066103.062782306"/>
    <n v="20066103.062782306"/>
    <n v="20066103.062782306"/>
    <n v="20066103.062782306"/>
    <n v="20066103.062782306"/>
    <n v="20066103.062782306"/>
    <n v="23788897.748870775"/>
    <n v="23788897.748870775"/>
    <n v="20804437"/>
    <n v="20804437"/>
    <n v="18978436"/>
    <n v="18978436"/>
    <n v="19928437"/>
    <n v="19928437"/>
    <n v="21412500"/>
    <n v="21412500"/>
    <n v="185177120.00000003"/>
    <n v="185177120.00000003"/>
    <n v="0.7613392770983668"/>
  </r>
  <r>
    <x v="7"/>
    <x v="18"/>
    <s v="48. Housing Management and Urban Development"/>
    <n v="1972253.5120233039"/>
    <n v="130168.73179353807"/>
    <n v="130168.73179353807"/>
    <n v="162710.91474192258"/>
    <n v="162710.91474192258"/>
    <n v="162710.91474192258"/>
    <n v="162710.91474192258"/>
    <n v="162710.91474192258"/>
    <n v="162710.91474192258"/>
    <n v="102557.18262521176"/>
    <n v="102557.18262521176"/>
    <n v="82177.229667637657"/>
    <n v="82177.229667637657"/>
    <n v="115048.12153469271"/>
    <n v="115048.12153469271"/>
    <n v="115048.12153469271"/>
    <n v="115048.12153469271"/>
    <n v="115048.12153469271"/>
    <n v="115048.12153469271"/>
    <n v="1148180.2529162334"/>
    <n v="1148180.2529162334"/>
    <n v="0.58216666666666661"/>
  </r>
  <r>
    <x v="7"/>
    <x v="8"/>
    <s v="60. Local Development"/>
    <n v="11415625.887323946"/>
    <n v="0"/>
    <n v="0"/>
    <n v="751704.92883579014"/>
    <n v="751704.92883579014"/>
    <n v="0"/>
    <n v="0"/>
    <n v="0"/>
    <n v="0"/>
    <n v="5331960.4792440776"/>
    <n v="5331960.4792440776"/>
    <n v="0"/>
    <n v="0"/>
    <n v="0"/>
    <n v="0"/>
    <n v="5331960.4792440776"/>
    <n v="5331960.4792440776"/>
    <n v="0"/>
    <n v="0"/>
    <n v="11415625.887323946"/>
    <n v="11415625.887323946"/>
    <n v="1"/>
  </r>
  <r>
    <x v="7"/>
    <x v="19"/>
    <s v="76. Immigration Services"/>
    <n v="5974940.3939736327"/>
    <n v="394346.06600225979"/>
    <n v="394346.06600225979"/>
    <n v="492932.58250282472"/>
    <n v="492932.58250282472"/>
    <n v="492932.58250282472"/>
    <n v="492932.58250282472"/>
    <n v="492932.58250282472"/>
    <n v="492932.58250282472"/>
    <n v="300240.754797175"/>
    <n v="300240.754797175"/>
    <n v="250200.62899764586"/>
    <n v="250200.62899764586"/>
    <n v="350280.8805967042"/>
    <n v="350280.8805967042"/>
    <n v="350280.8805967042"/>
    <n v="350280.8805967042"/>
    <n v="350280.8805967042"/>
    <n v="350280.8805967042"/>
    <n v="3474427.8390956675"/>
    <n v="3474427.8390956675"/>
    <n v="0.58150000000000002"/>
  </r>
  <r>
    <x v="7"/>
    <x v="20"/>
    <s v="96. Sustainable Rural Development"/>
    <n v="6890625.0152343744"/>
    <n v="454781.25100546872"/>
    <n v="454781.25100546872"/>
    <n v="568476.56375683588"/>
    <n v="568476.56375683588"/>
    <n v="568476.56375683588"/>
    <n v="568476.56375683588"/>
    <n v="568476.56375683588"/>
    <n v="568476.56375683588"/>
    <n v="346253.90701552731"/>
    <n v="346253.90701552731"/>
    <n v="288544.92251293943"/>
    <n v="288544.92251293943"/>
    <n v="403962.89151811518"/>
    <n v="403962.89151811518"/>
    <n v="403962.89151811518"/>
    <n v="403962.89151811518"/>
    <n v="403962.89151811518"/>
    <n v="403962.89151811518"/>
    <n v="4006898.4463587888"/>
    <n v="4006898.4463587888"/>
    <n v="0.58150000000000002"/>
  </r>
  <r>
    <x v="7"/>
    <x v="21"/>
    <s v="18. Labour Employment and Manpower Development"/>
    <n v="6952864.9211538434"/>
    <n v="458889.08479615371"/>
    <n v="458889.08479615371"/>
    <n v="573611.35599519208"/>
    <n v="573611.35599519208"/>
    <n v="573611.35599519208"/>
    <n v="573611.35599519208"/>
    <n v="573611.35599519208"/>
    <n v="573611.35599519208"/>
    <n v="349381.4622879806"/>
    <n v="349381.4622879806"/>
    <n v="291151.21857331716"/>
    <n v="291151.21857331716"/>
    <n v="407611.70600264403"/>
    <n v="407611.70600264403"/>
    <n v="407611.70600264403"/>
    <n v="407611.70600264403"/>
    <n v="407611.70600264403"/>
    <n v="407611.70600264403"/>
    <n v="4043090.9516509604"/>
    <n v="4043090.9516509604"/>
    <n v="0.58150000000000002"/>
  </r>
  <r>
    <x v="7"/>
    <x v="22"/>
    <s v="15. Security Services"/>
    <n v="6102004.1480104551"/>
    <n v="402732.27376869007"/>
    <n v="402732.27376869007"/>
    <n v="503415.34221086255"/>
    <n v="503415.34221086255"/>
    <n v="503415.34221086255"/>
    <n v="503415.34221086255"/>
    <n v="503415.34221086255"/>
    <n v="503415.34221086255"/>
    <n v="306625.70843752538"/>
    <n v="306625.70843752538"/>
    <n v="255521.4236979378"/>
    <n v="255521.4236979378"/>
    <n v="357729.99317711289"/>
    <n v="357729.99317711289"/>
    <n v="357729.99317711289"/>
    <n v="357729.99317711289"/>
    <n v="357729.99317711289"/>
    <n v="357729.99317711289"/>
    <n v="3548315.4120680797"/>
    <n v="3548315.4120680797"/>
    <n v="0.58150000000000002"/>
  </r>
  <r>
    <x v="7"/>
    <x v="9"/>
    <s v="95. Sports and Culture"/>
    <n v="4559548.771986505"/>
    <n v="300930.21895110933"/>
    <n v="300930.21895110933"/>
    <n v="376162.77368888666"/>
    <n v="376162.77368888666"/>
    <n v="376162.77368888666"/>
    <n v="376162.77368888666"/>
    <n v="376162.77368888666"/>
    <n v="376162.77368888666"/>
    <n v="229117.32579232185"/>
    <n v="229117.32579232185"/>
    <n v="190931.10482693487"/>
    <n v="190931.10482693487"/>
    <n v="267303.54675770883"/>
    <n v="267303.54675770883"/>
    <n v="267303.54675770883"/>
    <n v="267303.54675770883"/>
    <n v="267303.54675770883"/>
    <n v="267303.54675770883"/>
    <n v="2651377.610910153"/>
    <n v="2651377.610910153"/>
    <n v="0.58150000000000013"/>
  </r>
  <r>
    <x v="7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7"/>
    <x v="23"/>
    <s v="04. Water Resources Development Management and Supply"/>
    <n v="4202403.7756456211"/>
    <n v="277358.64919261099"/>
    <n v="277358.64919261099"/>
    <n v="346698.31149076374"/>
    <n v="346698.31149076374"/>
    <n v="346698.31149076374"/>
    <n v="346698.31149076374"/>
    <n v="346698.31149076374"/>
    <n v="346698.31149076374"/>
    <n v="211170.78972619248"/>
    <n v="211170.78972619248"/>
    <n v="175975.6581051604"/>
    <n v="175975.6581051604"/>
    <n v="246365.92134722453"/>
    <n v="246365.92134722453"/>
    <n v="246365.92134722453"/>
    <n v="246365.92134722453"/>
    <n v="246365.92134722453"/>
    <n v="246365.92134722453"/>
    <n v="2443697.7955379291"/>
    <n v="2443697.7955379291"/>
    <n v="0.58150000000000013"/>
  </r>
  <r>
    <x v="7"/>
    <x v="10"/>
    <s v="83. Youth Development"/>
    <n v="4787526.2105858289"/>
    <n v="315976.72989866475"/>
    <n v="315976.72989866475"/>
    <n v="394970.91237333091"/>
    <n v="394970.91237333091"/>
    <n v="394970.91237333091"/>
    <n v="394970.91237333091"/>
    <n v="394970.91237333091"/>
    <n v="394970.91237333091"/>
    <n v="240573.19208193789"/>
    <n v="240573.19208193789"/>
    <n v="200477.66006828158"/>
    <n v="200477.66006828158"/>
    <n v="280668.7240955942"/>
    <n v="280668.7240955942"/>
    <n v="280668.7240955942"/>
    <n v="280668.7240955942"/>
    <n v="280668.7240955942"/>
    <n v="280668.7240955942"/>
    <n v="2783946.4914556597"/>
    <n v="2783946.4914556597"/>
    <n v="0.58150000000000002"/>
  </r>
  <r>
    <x v="8"/>
    <x v="12"/>
    <s v="49. Agricultural Productivity and Risk Management"/>
    <n v="41087682.748172127"/>
    <n v="3659241.8773793611"/>
    <n v="3659241.8773793611"/>
    <n v="4574052.346724201"/>
    <n v="4574052.346724201"/>
    <n v="4574052.346724201"/>
    <n v="4574052.346724201"/>
    <n v="4574052.346724201"/>
    <n v="4574052.346724201"/>
    <n v="2848934.1701594149"/>
    <n v="2848934.1701594149"/>
    <n v="2848934.1701594149"/>
    <n v="2848934.1701594149"/>
    <n v="2848934.1701594149"/>
    <n v="2848934.1701594149"/>
    <n v="2848934.1701594149"/>
    <n v="2848934.1701594149"/>
    <n v="2848934.1701594149"/>
    <n v="2848934.1701594149"/>
    <n v="31626069.76834904"/>
    <n v="31626069.76834904"/>
    <n v="0.76972142630155982"/>
  </r>
  <r>
    <x v="8"/>
    <x v="12"/>
    <s v="49. Agricultural Productivity and Risk Management"/>
    <n v="14355376"/>
    <n v="0"/>
    <n v="0"/>
    <n v="0"/>
    <n v="0"/>
    <n v="0"/>
    <n v="0"/>
    <n v="0"/>
    <n v="0"/>
    <n v="7177688"/>
    <n v="7177688"/>
    <n v="7177688"/>
    <n v="7177688"/>
    <n v="0"/>
    <n v="0"/>
    <n v="0"/>
    <n v="0"/>
    <n v="0"/>
    <n v="0"/>
    <n v="14355376"/>
    <n v="14355376"/>
    <n v="1"/>
  </r>
  <r>
    <x v="8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8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8"/>
    <x v="3"/>
    <s v="70. Community Development"/>
    <n v="9429908.0665411185"/>
    <n v="622373.93239171396"/>
    <n v="622373.93239171396"/>
    <n v="777967.41548964242"/>
    <n v="777967.41548964242"/>
    <n v="777967.41548964242"/>
    <n v="777967.41548964242"/>
    <n v="777967.41548964242"/>
    <n v="777967.41548964242"/>
    <n v="473852.88034369127"/>
    <n v="473852.88034369127"/>
    <n v="394877.40028640942"/>
    <n v="394877.40028640942"/>
    <n v="552828.36040097312"/>
    <n v="552828.36040097312"/>
    <n v="552828.36040097312"/>
    <n v="552828.36040097312"/>
    <n v="552828.36040097312"/>
    <n v="552828.36040097312"/>
    <n v="5483491.5406936612"/>
    <n v="5483491.5406936612"/>
    <n v="0.58150000000000013"/>
  </r>
  <r>
    <x v="8"/>
    <x v="13"/>
    <s v="60. Local Development"/>
    <n v="87494484"/>
    <n v="0"/>
    <n v="0"/>
    <n v="6999558.7192027364"/>
    <n v="6999558.7192027364"/>
    <n v="0"/>
    <n v="0"/>
    <n v="0"/>
    <n v="0"/>
    <n v="20123731.320199315"/>
    <n v="20123731.320199315"/>
    <n v="0"/>
    <n v="0"/>
    <n v="0"/>
    <n v="0"/>
    <n v="30185596.980298974"/>
    <n v="30185596.980298974"/>
    <n v="0"/>
    <n v="0"/>
    <n v="57308887.019701026"/>
    <n v="57308887.019701026"/>
    <n v="0.65499999999658298"/>
  </r>
  <r>
    <x v="8"/>
    <x v="14"/>
    <s v="Disaster Risk Management"/>
    <n v="37642857"/>
    <n v="15399999.999120001"/>
    <n v="15399999.999120001"/>
    <n v="0"/>
    <n v="0"/>
    <n v="0"/>
    <n v="0"/>
    <n v="0"/>
    <n v="0"/>
    <n v="1379464.2857967855"/>
    <n v="1379464.2857967855"/>
    <n v="1149553.5714973214"/>
    <n v="1149553.5714973214"/>
    <n v="1609375.0000962499"/>
    <n v="1609375.0000962499"/>
    <n v="1609375.0000962499"/>
    <n v="1609375.0000962499"/>
    <n v="1609375.0000962499"/>
    <n v="1609375.0000962499"/>
    <n v="22757142.856702857"/>
    <n v="22757142.856702857"/>
    <n v="0.60455408197902871"/>
  </r>
  <r>
    <x v="8"/>
    <x v="4"/>
    <s v="23. Basic Education"/>
    <n v="169560395.00000006"/>
    <n v="17725765.083333336"/>
    <n v="17725765.083333336"/>
    <n v="16196954.85"/>
    <n v="16196954.85"/>
    <n v="12385388.027777791"/>
    <n v="12385388.027777791"/>
    <n v="12715863.4944444"/>
    <n v="12715863.4944444"/>
    <n v="23250000.000000034"/>
    <n v="23250000.000000034"/>
    <n v="30508245.877777796"/>
    <n v="30508245.877777796"/>
    <n v="8841896.8611111119"/>
    <n v="8841896.8611111119"/>
    <n v="19016612.094444443"/>
    <n v="19016612.094444443"/>
    <n v="7518237.194444445"/>
    <n v="7518237.194444445"/>
    <n v="148158963.48333335"/>
    <n v="148158963.48333335"/>
    <n v="0.87378283993342487"/>
  </r>
  <r>
    <x v="8"/>
    <x v="4"/>
    <s v="23. Basic Education"/>
    <n v="147812829"/>
    <n v="0"/>
    <n v="0"/>
    <n v="0"/>
    <n v="0"/>
    <n v="32062506.303949207"/>
    <n v="32062506.303949207"/>
    <n v="0"/>
    <n v="0"/>
    <n v="52886060.022038095"/>
    <n v="52886060.022038095"/>
    <n v="58248701.674012698"/>
    <n v="58248701.674012698"/>
    <n v="3057731"/>
    <n v="3057731"/>
    <n v="0"/>
    <n v="0"/>
    <n v="0"/>
    <n v="0"/>
    <n v="146254999"/>
    <n v="146254999"/>
    <n v="0.98946079301411649"/>
  </r>
  <r>
    <x v="8"/>
    <x v="4"/>
    <s v="23. Basic Education"/>
    <n v="34472251"/>
    <n v="0"/>
    <n v="0"/>
    <n v="0"/>
    <n v="0"/>
    <n v="11693549"/>
    <n v="11693549"/>
    <n v="13328980"/>
    <n v="13328980"/>
    <n v="0"/>
    <n v="0"/>
    <n v="9449722"/>
    <n v="9449722"/>
    <n v="0"/>
    <n v="0"/>
    <n v="0"/>
    <n v="0"/>
    <n v="0"/>
    <n v="0"/>
    <n v="34472251"/>
    <n v="34472251"/>
    <n v="1"/>
  </r>
  <r>
    <x v="8"/>
    <x v="5"/>
    <s v="92. Environment and Climate Change Management"/>
    <n v="5232629"/>
    <n v="303955.06536509661"/>
    <n v="303955.06536509661"/>
    <n v="379943.83170637075"/>
    <n v="379943.83170637075"/>
    <n v="379943.83170637075"/>
    <n v="379943.83170637075"/>
    <n v="379943.83170637075"/>
    <n v="379943.83170637075"/>
    <n v="282516.57286009676"/>
    <n v="282516.57286009676"/>
    <n v="235430.47738341399"/>
    <n v="235430.47738341399"/>
    <n v="291778.89286470361"/>
    <n v="291778.89286470361"/>
    <n v="329602.66833677958"/>
    <n v="329602.66833677958"/>
    <n v="329602.66833677958"/>
    <n v="329602.66833677958"/>
    <n v="2912717.8402659823"/>
    <n v="2912717.8402659823"/>
    <n v="0.55664520459332822"/>
  </r>
  <r>
    <x v="8"/>
    <x v="15"/>
    <s v="96. Sustainable Rural Development"/>
    <n v="5879895.232735062"/>
    <n v="388073.08536051412"/>
    <n v="388073.08536051412"/>
    <n v="485091.35670064262"/>
    <n v="485091.35670064262"/>
    <n v="485091.35670064262"/>
    <n v="485091.35670064262"/>
    <n v="485091.35670064262"/>
    <n v="485091.35670064262"/>
    <n v="295464.73544493684"/>
    <n v="295464.73544493684"/>
    <n v="246220.61287078072"/>
    <n v="246220.61287078072"/>
    <n v="344708.85801909299"/>
    <n v="344708.85801909299"/>
    <n v="344708.85801909299"/>
    <n v="344708.85801909299"/>
    <n v="344708.85801909299"/>
    <n v="344708.85801909299"/>
    <n v="3419159.0778354383"/>
    <n v="3419159.0778354383"/>
    <n v="0.58149999999999991"/>
  </r>
  <r>
    <x v="8"/>
    <x v="16"/>
    <s v="92. Environment and Climate Change Management"/>
    <n v="8652654.0911687091"/>
    <n v="571075.17001713486"/>
    <n v="571075.17001713486"/>
    <n v="713843.96252141858"/>
    <n v="713843.96252141858"/>
    <n v="713843.96252141858"/>
    <n v="713843.96252141858"/>
    <n v="713843.96252141858"/>
    <n v="713843.96252141858"/>
    <n v="434795.86808122764"/>
    <n v="434795.86808122764"/>
    <n v="362329.8900676897"/>
    <n v="362329.8900676897"/>
    <n v="507261.84609476553"/>
    <n v="507261.84609476553"/>
    <n v="507261.84609476553"/>
    <n v="507261.84609476553"/>
    <n v="507261.84609476553"/>
    <n v="507261.84609476553"/>
    <n v="5031518.3540146053"/>
    <n v="5031518.3540146053"/>
    <n v="0.58150000000000013"/>
  </r>
  <r>
    <x v="8"/>
    <x v="6"/>
    <s v="69. Gender Equality and Wome Empowerment"/>
    <n v="9429908.0665411185"/>
    <n v="622373.93239171384"/>
    <n v="622373.93239171384"/>
    <n v="777967.4154896423"/>
    <n v="777967.4154896423"/>
    <n v="777967.4154896423"/>
    <n v="777967.4154896423"/>
    <n v="777967.4154896423"/>
    <n v="777967.4154896423"/>
    <n v="473852.88034369127"/>
    <n v="473852.88034369127"/>
    <n v="394877.40028640942"/>
    <n v="394877.40028640942"/>
    <n v="552828.36040097312"/>
    <n v="552828.36040097312"/>
    <n v="552828.36040097312"/>
    <n v="552828.36040097312"/>
    <n v="552828.36040097312"/>
    <n v="552828.36040097312"/>
    <n v="5483491.5406936612"/>
    <n v="5483491.5406936612"/>
    <n v="0.58150000000000013"/>
  </r>
  <r>
    <x v="8"/>
    <x v="7"/>
    <s v="20. Management and Administration"/>
    <n v="80629758.99239251"/>
    <n v="5326548.943736203"/>
    <n v="5326548.943736203"/>
    <n v="6658186.1796702538"/>
    <n v="6658186.1796702538"/>
    <n v="6658186.1796702538"/>
    <n v="6658186.1796702538"/>
    <n v="6658186.1796702538"/>
    <n v="6658186.1796702538"/>
    <n v="4177792.9168895194"/>
    <n v="4177792.9168895194"/>
    <n v="3397337.3112894609"/>
    <n v="3397337.3112894609"/>
    <n v="4703402.6078895628"/>
    <n v="4703402.6078895628"/>
    <n v="4703402.6078895628"/>
    <n v="4703402.6078895628"/>
    <n v="4703402.6078895628"/>
    <n v="4703402.6078895628"/>
    <n v="46986445.534594625"/>
    <n v="46986445.534594625"/>
    <n v="0.58274322187950278"/>
  </r>
  <r>
    <x v="8"/>
    <x v="17"/>
    <s v="65. Primary Health Care"/>
    <n v="567098840.24647987"/>
    <n v="66785654.320334598"/>
    <n v="66785654.320334598"/>
    <n v="66785654.320334598"/>
    <n v="66785654.320334598"/>
    <n v="26785654.320334598"/>
    <n v="26785654.320334598"/>
    <n v="26785654.320334598"/>
    <n v="26785654.320334598"/>
    <n v="29206222.718661606"/>
    <n v="29206222.718661606"/>
    <n v="47250000"/>
    <n v="47250000"/>
    <n v="47250000"/>
    <n v="47250000"/>
    <n v="47250000"/>
    <n v="47250000"/>
    <n v="47250000"/>
    <n v="47250000"/>
    <n v="405348840.00000006"/>
    <n v="405348840.00000006"/>
    <n v="0.71477635155067865"/>
  </r>
  <r>
    <x v="8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8"/>
    <x v="19"/>
    <s v="76. Immigration Services"/>
    <n v="10507493.101376349"/>
    <n v="693494.54469083913"/>
    <n v="693494.54469083913"/>
    <n v="866868.18086354889"/>
    <n v="866868.18086354889"/>
    <n v="866868.18086354889"/>
    <n v="866868.18086354889"/>
    <n v="866868.18086354889"/>
    <n v="866868.18086354889"/>
    <n v="528001.52834416146"/>
    <n v="528001.52834416146"/>
    <n v="440001.27362013457"/>
    <n v="440001.27362013457"/>
    <n v="616001.78306818835"/>
    <n v="616001.78306818835"/>
    <n v="616001.78306818835"/>
    <n v="616001.78306818835"/>
    <n v="616001.78306818835"/>
    <n v="616001.78306818835"/>
    <n v="6110107.2384503465"/>
    <n v="6110107.2384503465"/>
    <n v="0.58149999999999991"/>
  </r>
  <r>
    <x v="8"/>
    <x v="20"/>
    <s v="96. Sustainable Rural Development"/>
    <n v="9646874.9064843766"/>
    <n v="636693.74382796895"/>
    <n v="636693.74382796895"/>
    <n v="795867.17978496116"/>
    <n v="795867.17978496116"/>
    <n v="795867.17978496116"/>
    <n v="795867.17978496116"/>
    <n v="795867.17978496116"/>
    <n v="795867.17978496116"/>
    <n v="484755.46405083989"/>
    <n v="484755.46405083989"/>
    <n v="403962.88670903328"/>
    <n v="403962.88670903328"/>
    <n v="565548.0413926465"/>
    <n v="565548.0413926465"/>
    <n v="565548.0413926465"/>
    <n v="565548.0413926465"/>
    <n v="565548.0413926465"/>
    <n v="565548.0413926465"/>
    <n v="5609657.7581206644"/>
    <n v="5609657.7581206644"/>
    <n v="0.58149999999999991"/>
  </r>
  <r>
    <x v="8"/>
    <x v="21"/>
    <s v="18. Labour Employment and Manpower Development"/>
    <n v="24706460.039423101"/>
    <n v="1630626.3626019247"/>
    <n v="1630626.3626019247"/>
    <n v="2038282.9532524059"/>
    <n v="2038282.9532524059"/>
    <n v="2038282.9532524059"/>
    <n v="2038282.9532524059"/>
    <n v="2038282.9532524059"/>
    <n v="2038282.9532524059"/>
    <n v="1241499.6169810107"/>
    <n v="1241499.6169810107"/>
    <n v="1034583.0141508423"/>
    <n v="1034583.0141508423"/>
    <n v="1448416.2198111792"/>
    <n v="1448416.2198111792"/>
    <n v="1448416.2198111792"/>
    <n v="1448416.2198111792"/>
    <n v="1448416.2198111792"/>
    <n v="1448416.2198111792"/>
    <n v="14366806.512924533"/>
    <n v="14366806.512924533"/>
    <n v="0.58150000000000002"/>
  </r>
  <r>
    <x v="8"/>
    <x v="22"/>
    <s v="15. Security Services"/>
    <n v="14858265.946019765"/>
    <n v="980645.55243730452"/>
    <n v="980645.55243730452"/>
    <n v="1225806.9405466306"/>
    <n v="1225806.9405466306"/>
    <n v="1225806.9405466306"/>
    <n v="1225806.9405466306"/>
    <n v="1225806.9405466306"/>
    <n v="1225806.9405466306"/>
    <n v="746627.86378749309"/>
    <n v="746627.86378749309"/>
    <n v="622189.88648957759"/>
    <n v="622189.88648957759"/>
    <n v="871065.84108540858"/>
    <n v="871065.84108540858"/>
    <n v="871065.84108540858"/>
    <n v="871065.84108540858"/>
    <n v="871065.84108540858"/>
    <n v="871065.84108540858"/>
    <n v="8640081.647610493"/>
    <n v="8640081.647610493"/>
    <n v="0.58150000000000002"/>
  </r>
  <r>
    <x v="8"/>
    <x v="9"/>
    <s v="95. Sports and Culture"/>
    <n v="4165543.8276437181"/>
    <n v="274925.89262448542"/>
    <n v="274925.89262448542"/>
    <n v="343657.36578060675"/>
    <n v="343657.36578060675"/>
    <n v="343657.36578060675"/>
    <n v="343657.36578060675"/>
    <n v="343657.36578060675"/>
    <n v="343657.36578060675"/>
    <n v="209318.57733909678"/>
    <n v="209318.57733909678"/>
    <n v="174432.14778258067"/>
    <n v="174432.14778258067"/>
    <n v="244205.00689561293"/>
    <n v="244205.00689561293"/>
    <n v="244205.00689561293"/>
    <n v="244205.00689561293"/>
    <n v="244205.00689561293"/>
    <n v="244205.00689561293"/>
    <n v="2422263.7357748221"/>
    <n v="2422263.7357748221"/>
    <n v="0.58150000000000002"/>
  </r>
  <r>
    <x v="8"/>
    <x v="11"/>
    <s v="88. Small Scale Business Development"/>
    <n v="11289478.913313577"/>
    <n v="745105.60827869619"/>
    <n v="745105.60827869619"/>
    <n v="931382.01034837018"/>
    <n v="931382.01034837018"/>
    <n v="931382.01034837018"/>
    <n v="931382.01034837018"/>
    <n v="931382.01034837018"/>
    <n v="931382.01034837018"/>
    <n v="567296.31539400714"/>
    <n v="567296.31539400714"/>
    <n v="472746.92949500598"/>
    <n v="472746.92949500598"/>
    <n v="661845.70129300829"/>
    <n v="661845.70129300829"/>
    <n v="661845.70129300829"/>
    <n v="661845.70129300829"/>
    <n v="661845.70129300829"/>
    <n v="661845.70129300829"/>
    <n v="6564831.9880918451"/>
    <n v="6564831.9880918451"/>
    <n v="0.58150000000000002"/>
  </r>
  <r>
    <x v="8"/>
    <x v="23"/>
    <s v="04. Water Resources Development Management and Supply"/>
    <n v="8225794.5896920059"/>
    <n v="542902.44291967235"/>
    <n v="542902.44291967235"/>
    <n v="678628.05364959047"/>
    <n v="678628.05364959047"/>
    <n v="678628.05364959047"/>
    <n v="678628.05364959047"/>
    <n v="678628.05364959047"/>
    <n v="678628.05364959047"/>
    <n v="413346.17813202331"/>
    <n v="413346.17813202331"/>
    <n v="344455.14844335278"/>
    <n v="344455.14844335278"/>
    <n v="482237.20782069385"/>
    <n v="482237.20782069385"/>
    <n v="482237.20782069385"/>
    <n v="482237.20782069385"/>
    <n v="482237.20782069385"/>
    <n v="482237.20782069385"/>
    <n v="4783299.5539059015"/>
    <n v="4783299.5539059015"/>
    <n v="0.58150000000000002"/>
  </r>
  <r>
    <x v="8"/>
    <x v="10"/>
    <s v="83. Youth Development"/>
    <n v="4373821.0190259032"/>
    <n v="288672.18725570961"/>
    <n v="288672.18725570961"/>
    <n v="360840.23406963702"/>
    <n v="360840.23406963702"/>
    <n v="360840.23406963702"/>
    <n v="360840.23406963702"/>
    <n v="360840.23406963702"/>
    <n v="360840.23406963702"/>
    <n v="219784.50620605162"/>
    <n v="219784.50620605162"/>
    <n v="183153.75517170969"/>
    <n v="183153.75517170969"/>
    <n v="256415.25724039355"/>
    <n v="256415.25724039355"/>
    <n v="256415.25724039355"/>
    <n v="256415.25724039355"/>
    <n v="256415.25724039355"/>
    <n v="256415.25724039355"/>
    <n v="2543376.9225635622"/>
    <n v="2543376.9225635622"/>
    <n v="0.58149999999999991"/>
  </r>
  <r>
    <x v="9"/>
    <x v="12"/>
    <s v="49. Agricultural Productivity and Risk Management"/>
    <n v="47123049.561298363"/>
    <n v="4371071.2030456923"/>
    <n v="4371071.2030456923"/>
    <n v="5463839.0038071154"/>
    <n v="5463839.0038071154"/>
    <n v="5463839.0038071154"/>
    <n v="5463839.0038071154"/>
    <n v="5463839.0038071154"/>
    <n v="5463839.0038071154"/>
    <n v="3158461.6932587381"/>
    <n v="3158461.6932587381"/>
    <n v="3158461.6932587381"/>
    <n v="3158461.6932587381"/>
    <n v="3158461.6932587381"/>
    <n v="3158461.6932587381"/>
    <n v="3158461.6932587381"/>
    <n v="3158461.6932587381"/>
    <n v="3158461.6932587381"/>
    <n v="3158461.6932587381"/>
    <n v="36554896.680760726"/>
    <n v="36554896.680760726"/>
    <n v="0.77573283183231967"/>
  </r>
  <r>
    <x v="9"/>
    <x v="12"/>
    <s v="49. Agricultural Productivity and Risk Management"/>
    <n v="19105302"/>
    <n v="0"/>
    <n v="0"/>
    <n v="0"/>
    <n v="0"/>
    <n v="0"/>
    <n v="0"/>
    <n v="0"/>
    <n v="0"/>
    <n v="9552651"/>
    <n v="9552651"/>
    <n v="9552651"/>
    <n v="9552651"/>
    <n v="0"/>
    <n v="0"/>
    <n v="0"/>
    <n v="0"/>
    <n v="0"/>
    <n v="0"/>
    <n v="19105302"/>
    <n v="19105302"/>
    <n v="1"/>
  </r>
  <r>
    <x v="9"/>
    <x v="0"/>
    <s v="60. Local Development"/>
    <n v="72000000"/>
    <n v="0"/>
    <n v="0"/>
    <n v="14400000"/>
    <n v="14400000"/>
    <n v="0"/>
    <n v="0"/>
    <n v="0"/>
    <n v="0"/>
    <n v="0"/>
    <n v="0"/>
    <n v="21600000"/>
    <n v="21600000"/>
    <n v="0"/>
    <n v="0"/>
    <n v="21600000"/>
    <n v="21600000"/>
    <n v="14400000"/>
    <n v="14400000"/>
    <n v="72000000"/>
    <n v="72000000"/>
    <n v="1"/>
  </r>
  <r>
    <x v="9"/>
    <x v="1"/>
    <s v="60. Local Development"/>
    <n v="180000000"/>
    <n v="0"/>
    <n v="0"/>
    <n v="49500000"/>
    <n v="49500000"/>
    <n v="0"/>
    <n v="0"/>
    <n v="0"/>
    <n v="0"/>
    <n v="0"/>
    <n v="0"/>
    <n v="43500000"/>
    <n v="43500000"/>
    <n v="0"/>
    <n v="0"/>
    <n v="43500000"/>
    <n v="43500000"/>
    <n v="43500000"/>
    <n v="43500000"/>
    <n v="180000000"/>
    <n v="180000000"/>
    <n v="1"/>
  </r>
  <r>
    <x v="9"/>
    <x v="3"/>
    <s v="70. Community Development"/>
    <n v="8358866.161333207"/>
    <n v="551685.16664799175"/>
    <n v="551685.16664799175"/>
    <n v="689606.45830998966"/>
    <n v="689606.45830998966"/>
    <n v="689606.45830998966"/>
    <n v="689606.45830998966"/>
    <n v="689606.45830998966"/>
    <n v="689606.45830998966"/>
    <n v="420033.02460699371"/>
    <n v="420033.02460699371"/>
    <n v="350027.52050582808"/>
    <n v="350027.52050582808"/>
    <n v="490038.52870815928"/>
    <n v="490038.52870815928"/>
    <n v="490038.52870815928"/>
    <n v="490038.52870815928"/>
    <n v="490038.52870815928"/>
    <n v="490038.52870815928"/>
    <n v="4860680.6728152605"/>
    <n v="4860680.6728152605"/>
    <n v="0.58150000000000002"/>
  </r>
  <r>
    <x v="9"/>
    <x v="13"/>
    <s v="60. Local Development"/>
    <n v="136977936"/>
    <n v="0"/>
    <n v="0"/>
    <n v="10958234.878751833"/>
    <n v="10958234.878751833"/>
    <n v="0"/>
    <n v="0"/>
    <n v="0"/>
    <n v="0"/>
    <n v="31504925.280312043"/>
    <n v="31504925.280312043"/>
    <n v="0"/>
    <n v="0"/>
    <n v="0"/>
    <n v="0"/>
    <n v="47257387.920468062"/>
    <n v="47257387.920468062"/>
    <n v="0"/>
    <n v="0"/>
    <n v="89720548.079531938"/>
    <n v="89720548.079531938"/>
    <n v="0.65499999999658298"/>
  </r>
  <r>
    <x v="9"/>
    <x v="14"/>
    <s v="Disaster Risk Management"/>
    <n v="54142857"/>
    <n v="25959999.999120001"/>
    <n v="25959999.999120001"/>
    <n v="0"/>
    <n v="0"/>
    <n v="0"/>
    <n v="0"/>
    <n v="0"/>
    <n v="0"/>
    <n v="1626964.2857967855"/>
    <n v="1626964.2857967855"/>
    <n v="1355803.5714973214"/>
    <n v="1355803.5714973214"/>
    <n v="1898125.0000962499"/>
    <n v="1898125.0000962499"/>
    <n v="1898125.0000962499"/>
    <n v="1898125.0000962499"/>
    <n v="1898125.0000962499"/>
    <n v="1898125.0000962499"/>
    <n v="34637142.856702857"/>
    <n v="34637142.856702857"/>
    <n v="0.63973614943708745"/>
  </r>
  <r>
    <x v="9"/>
    <x v="4"/>
    <s v="23. Basic Education"/>
    <n v="94292442"/>
    <n v="9154137"/>
    <n v="9154137"/>
    <n v="8785070"/>
    <n v="8785070"/>
    <n v="7319746"/>
    <n v="7319746"/>
    <n v="8021396"/>
    <n v="8021396"/>
    <n v="6750000"/>
    <n v="6750000"/>
    <n v="14679974"/>
    <n v="14679974"/>
    <n v="13236175"/>
    <n v="13236175"/>
    <n v="6062900"/>
    <n v="6062900"/>
    <n v="4666605"/>
    <n v="4666605"/>
    <n v="78676003"/>
    <n v="78676003"/>
    <n v="0.83438291904668249"/>
  </r>
  <r>
    <x v="9"/>
    <x v="4"/>
    <s v="23. Basic Education"/>
    <n v="175465143"/>
    <n v="18954265"/>
    <n v="18954265"/>
    <n v="18697437"/>
    <n v="18697437"/>
    <n v="11835389.516591921"/>
    <n v="11835389.516591921"/>
    <n v="0"/>
    <n v="0"/>
    <n v="32730230.431278028"/>
    <n v="32730230.431278028"/>
    <n v="60517590.620852023"/>
    <n v="60517590.620852023"/>
    <n v="32730230.431278028"/>
    <n v="32730230.431278028"/>
    <n v="0"/>
    <n v="0"/>
    <n v="0"/>
    <n v="0"/>
    <n v="175465143"/>
    <n v="175465143"/>
    <n v="1"/>
  </r>
  <r>
    <x v="9"/>
    <x v="4"/>
    <s v="23. Basic Education"/>
    <n v="36779780"/>
    <n v="0"/>
    <n v="0"/>
    <n v="9194945"/>
    <n v="9194945"/>
    <n v="9194945"/>
    <n v="9194945"/>
    <n v="0"/>
    <n v="0"/>
    <n v="1724052.1875"/>
    <n v="1724052.1875"/>
    <n v="11493681.25"/>
    <n v="11493681.25"/>
    <n v="5172156.5625"/>
    <n v="5172156.5625"/>
    <n v="0"/>
    <n v="0"/>
    <n v="0"/>
    <n v="0"/>
    <n v="36779780"/>
    <n v="36779780"/>
    <n v="1"/>
  </r>
  <r>
    <x v="9"/>
    <x v="5"/>
    <s v="92. Environment and Climate Change Management"/>
    <n v="5703502"/>
    <n v="331307.29501503042"/>
    <n v="331307.29501503042"/>
    <n v="414134.118768788"/>
    <n v="414134.118768788"/>
    <n v="414134.118768788"/>
    <n v="414134.118768788"/>
    <n v="414134.118768788"/>
    <n v="414134.118768788"/>
    <n v="307939.60100243025"/>
    <n v="307939.60100243025"/>
    <n v="256616.33416869189"/>
    <n v="256616.33416869189"/>
    <n v="318035.79259421327"/>
    <n v="318035.79259421327"/>
    <n v="359262.86783616862"/>
    <n v="359262.86783616862"/>
    <n v="359262.86783616862"/>
    <n v="359262.86783616862"/>
    <n v="3174827.1147590671"/>
    <n v="3174827.1147590671"/>
    <n v="0.55664521810618584"/>
  </r>
  <r>
    <x v="9"/>
    <x v="15"/>
    <s v="96. Sustainable Rural Development"/>
    <n v="3918177.1993465936"/>
    <n v="258599.69515687521"/>
    <n v="258599.69515687521"/>
    <n v="323249.61894609401"/>
    <n v="323249.61894609401"/>
    <n v="323249.61894609401"/>
    <n v="323249.61894609401"/>
    <n v="323249.61894609401"/>
    <n v="323249.61894609401"/>
    <n v="196888.4042671663"/>
    <n v="196888.4042671663"/>
    <n v="164073.67022263858"/>
    <n v="164073.67022263858"/>
    <n v="229703.138311694"/>
    <n v="229703.138311694"/>
    <n v="229703.138311694"/>
    <n v="229703.138311694"/>
    <n v="229703.138311694"/>
    <n v="229703.138311694"/>
    <n v="2278420.0414200444"/>
    <n v="2278420.0414200444"/>
    <n v="0.58150000000000002"/>
  </r>
  <r>
    <x v="9"/>
    <x v="16"/>
    <s v="92. Environment and Climate Change Management"/>
    <n v="3998174.5092719337"/>
    <n v="263879.51761194767"/>
    <n v="263879.51761194767"/>
    <n v="329849.39701493457"/>
    <n v="329849.39701493457"/>
    <n v="329849.39701493457"/>
    <n v="329849.39701493457"/>
    <n v="329849.39701493457"/>
    <n v="329849.39701493457"/>
    <n v="200908.26909091466"/>
    <n v="200908.26909091466"/>
    <n v="167423.55757576221"/>
    <n v="167423.55757576221"/>
    <n v="234392.98060606708"/>
    <n v="234392.98060606708"/>
    <n v="234392.98060606708"/>
    <n v="234392.98060606708"/>
    <n v="234392.98060606708"/>
    <n v="234392.98060606708"/>
    <n v="2324938.4771416294"/>
    <n v="2324938.4771416294"/>
    <n v="0.58150000000000002"/>
  </r>
  <r>
    <x v="9"/>
    <x v="6"/>
    <s v="69. Gender Equality and Wome Empowerment"/>
    <n v="8358866.161333207"/>
    <n v="551685.16664799175"/>
    <n v="551685.16664799175"/>
    <n v="689606.45830998966"/>
    <n v="689606.45830998966"/>
    <n v="689606.45830998966"/>
    <n v="689606.45830998966"/>
    <n v="689606.45830998966"/>
    <n v="689606.45830998966"/>
    <n v="420033.02460699371"/>
    <n v="420033.02460699371"/>
    <n v="350027.52050582808"/>
    <n v="350027.52050582808"/>
    <n v="490038.52870815928"/>
    <n v="490038.52870815928"/>
    <n v="490038.52870815928"/>
    <n v="490038.52870815928"/>
    <n v="490038.52870815928"/>
    <n v="490038.52870815928"/>
    <n v="4860680.6728152605"/>
    <n v="4860680.6728152605"/>
    <n v="0.58150000000000002"/>
  </r>
  <r>
    <x v="9"/>
    <x v="7"/>
    <s v="20. Management and Administration"/>
    <n v="90100995.987155423"/>
    <n v="5952236.1397967674"/>
    <n v="5952236.1397967674"/>
    <n v="7440295.1747459583"/>
    <n v="7440295.1747459583"/>
    <n v="7440295.1747459583"/>
    <n v="7440295.1747459583"/>
    <n v="7440295.1747459583"/>
    <n v="7440295.1747459583"/>
    <n v="4668540.5967665995"/>
    <n v="4668540.5967665995"/>
    <n v="3796408.169142433"/>
    <n v="3796408.169142433"/>
    <n v="5255891.4371032761"/>
    <n v="5255891.4371032761"/>
    <n v="5255891.4371032761"/>
    <n v="5255891.4371032761"/>
    <n v="5196811.383176621"/>
    <n v="5196811.383176621"/>
    <n v="52446664.687326849"/>
    <n v="52446664.687326849"/>
    <n v="0.58208751315916107"/>
  </r>
  <r>
    <x v="9"/>
    <x v="17"/>
    <s v="65. Primary Health Care"/>
    <n v="300632341.64976829"/>
    <n v="24802168.186105885"/>
    <n v="24802168.186105885"/>
    <n v="24802168.186105885"/>
    <n v="24802168.186105885"/>
    <n v="24802168.186105885"/>
    <n v="24802168.186105885"/>
    <n v="24802168.186105885"/>
    <n v="24802168.186105885"/>
    <n v="24517798.718909785"/>
    <n v="24517798.718909785"/>
    <n v="26265865.296666667"/>
    <n v="26265865.296666667"/>
    <n v="27571322.266666666"/>
    <n v="27571322.266666666"/>
    <n v="26912565.296666667"/>
    <n v="26912565.296666667"/>
    <n v="24355865.296666667"/>
    <n v="24355865.296666667"/>
    <n v="228832089.61999997"/>
    <n v="228832089.61999997"/>
    <n v="0.76116923536651815"/>
  </r>
  <r>
    <x v="9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9"/>
    <x v="19"/>
    <s v="76. Immigration Services"/>
    <n v="9481286.7784022409"/>
    <n v="625764.92737454793"/>
    <n v="625764.92737454793"/>
    <n v="782206.15921818488"/>
    <n v="782206.15921818488"/>
    <n v="782206.15921818488"/>
    <n v="782206.15921818488"/>
    <n v="782206.15921818488"/>
    <n v="782206.15921818488"/>
    <n v="476434.66061471257"/>
    <n v="476434.66061471257"/>
    <n v="397028.88384559384"/>
    <n v="397028.88384559384"/>
    <n v="555840.43738383136"/>
    <n v="555840.43738383136"/>
    <n v="555840.43738383136"/>
    <n v="555840.43738383136"/>
    <n v="555840.43738383136"/>
    <n v="555840.43738383136"/>
    <n v="5513368.2616409026"/>
    <n v="5513368.2616409026"/>
    <n v="0.58149999999999991"/>
  </r>
  <r>
    <x v="9"/>
    <x v="20"/>
    <s v="96. Sustainable Rural Development"/>
    <n v="9646874.9064843766"/>
    <n v="636693.74382796895"/>
    <n v="636693.74382796895"/>
    <n v="795867.17978496116"/>
    <n v="795867.17978496116"/>
    <n v="795867.17978496116"/>
    <n v="795867.17978496116"/>
    <n v="795867.17978496116"/>
    <n v="795867.17978496116"/>
    <n v="484755.46405083989"/>
    <n v="484755.46405083989"/>
    <n v="403962.88670903328"/>
    <n v="403962.88670903328"/>
    <n v="565548.0413926465"/>
    <n v="565548.0413926465"/>
    <n v="565548.0413926465"/>
    <n v="565548.0413926465"/>
    <n v="565548.0413926465"/>
    <n v="565548.0413926465"/>
    <n v="5609657.7581206644"/>
    <n v="5609657.7581206644"/>
    <n v="0.58149999999999991"/>
  </r>
  <r>
    <x v="9"/>
    <x v="21"/>
    <s v="18. Labour Employment and Manpower Development"/>
    <n v="7678466.3711538417"/>
    <n v="506778.78049615363"/>
    <n v="506778.78049615363"/>
    <n v="633473.47562019201"/>
    <n v="633473.47562019201"/>
    <n v="633473.47562019201"/>
    <n v="633473.47562019201"/>
    <n v="633473.47562019201"/>
    <n v="633473.47562019201"/>
    <n v="385842.93515048054"/>
    <n v="385842.93515048054"/>
    <n v="321535.77929206711"/>
    <n v="321535.77929206711"/>
    <n v="450150.09100889391"/>
    <n v="450150.09100889391"/>
    <n v="450150.09100889391"/>
    <n v="450150.09100889391"/>
    <n v="450150.09100889391"/>
    <n v="450150.09100889391"/>
    <n v="4465028.1948259594"/>
    <n v="4465028.1948259594"/>
    <n v="0.58150000000000002"/>
  </r>
  <r>
    <x v="9"/>
    <x v="22"/>
    <s v="15. Security Services"/>
    <n v="7992039.6173128309"/>
    <n v="527474.61474264681"/>
    <n v="527474.61474264681"/>
    <n v="659343.26842830854"/>
    <n v="659343.26842830854"/>
    <n v="659343.26842830854"/>
    <n v="659343.26842830854"/>
    <n v="659343.26842830854"/>
    <n v="659343.26842830854"/>
    <n v="401599.99076996971"/>
    <n v="401599.99076996971"/>
    <n v="334666.65897497477"/>
    <n v="334666.65897497477"/>
    <n v="468533.32256496465"/>
    <n v="468533.32256496465"/>
    <n v="468533.32256496465"/>
    <n v="468533.32256496465"/>
    <n v="468533.32256496465"/>
    <n v="468533.32256496465"/>
    <n v="4647371.0374674108"/>
    <n v="4647371.0374674108"/>
    <n v="0.58149999999999991"/>
  </r>
  <r>
    <x v="9"/>
    <x v="9"/>
    <s v="95. Sports and Culture"/>
    <n v="5596442.5737779336"/>
    <n v="369365.20986934367"/>
    <n v="369365.20986934367"/>
    <n v="461706.51233667956"/>
    <n v="461706.51233667956"/>
    <n v="461706.51233667956"/>
    <n v="461706.51233667956"/>
    <n v="461706.51233667956"/>
    <n v="461706.51233667956"/>
    <n v="281221.23933234107"/>
    <n v="281221.23933234107"/>
    <n v="234351.03277695092"/>
    <n v="234351.03277695092"/>
    <n v="328091.44588773127"/>
    <n v="328091.44588773127"/>
    <n v="328091.44588773127"/>
    <n v="328091.44588773127"/>
    <n v="328091.44588773127"/>
    <n v="328091.44588773127"/>
    <n v="3254331.3566518687"/>
    <n v="3254331.3566518687"/>
    <n v="0.58150000000000002"/>
  </r>
  <r>
    <x v="9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9"/>
    <x v="23"/>
    <s v="04. Water Resources Development Management and Supply"/>
    <n v="8131794.8812461272"/>
    <n v="536698.46216224448"/>
    <n v="536698.46216224448"/>
    <n v="670873.07770280552"/>
    <n v="670873.07770280552"/>
    <n v="670873.07770280552"/>
    <n v="670873.07770280552"/>
    <n v="670873.07770280552"/>
    <n v="670873.07770280552"/>
    <n v="408622.69278261793"/>
    <n v="408622.69278261793"/>
    <n v="340518.9106521816"/>
    <n v="340518.9106521816"/>
    <n v="476726.4749130542"/>
    <n v="476726.4749130542"/>
    <n v="476726.4749130542"/>
    <n v="476726.4749130542"/>
    <n v="476726.4749130542"/>
    <n v="476726.4749130542"/>
    <n v="4728638.7234446229"/>
    <n v="4728638.7234446229"/>
    <n v="0.58150000000000002"/>
  </r>
  <r>
    <x v="9"/>
    <x v="10"/>
    <s v="83. Youth Development"/>
    <n v="5876264.7024668287"/>
    <n v="387833.47036281071"/>
    <n v="387833.47036281071"/>
    <n v="484791.83795351337"/>
    <n v="484791.83795351337"/>
    <n v="484791.83795351337"/>
    <n v="484791.83795351337"/>
    <n v="484791.83795351337"/>
    <n v="484791.83795351337"/>
    <n v="295282.30129895813"/>
    <n v="295282.30129895813"/>
    <n v="246068.58441579845"/>
    <n v="246068.58441579845"/>
    <n v="344496.01818211784"/>
    <n v="344496.01818211784"/>
    <n v="344496.01818211784"/>
    <n v="344496.01818211784"/>
    <n v="344496.01818211784"/>
    <n v="344496.01818211784"/>
    <n v="3417047.9244844615"/>
    <n v="3417047.9244844615"/>
    <n v="0.58150000000000013"/>
  </r>
  <r>
    <x v="10"/>
    <x v="12"/>
    <s v="49. Agricultural Productivity and Risk Management"/>
    <n v="33901212"/>
    <n v="2984631.1678301622"/>
    <n v="2984631.1678301622"/>
    <n v="3730788.9597877027"/>
    <n v="3730788.9597877027"/>
    <n v="3730788.9597877027"/>
    <n v="3730788.9597877027"/>
    <n v="3730788.9597877027"/>
    <n v="3730788.9597877027"/>
    <n v="2372257.020106148"/>
    <n v="2372257.020106148"/>
    <n v="2372257.020106148"/>
    <n v="2372257.020106148"/>
    <n v="2372257.020106148"/>
    <n v="2372257.020106148"/>
    <n v="2372257.020106148"/>
    <n v="2372257.020106148"/>
    <n v="2372257.020106148"/>
    <n v="2372257.020106148"/>
    <n v="26038283.14772401"/>
    <n v="26038283.14772401"/>
    <n v="0.76806348834147908"/>
  </r>
  <r>
    <x v="10"/>
    <x v="12"/>
    <s v="49. Agricultural Productivity and Risk Management"/>
    <n v="11320471.630000001"/>
    <n v="0"/>
    <n v="0"/>
    <n v="0"/>
    <n v="0"/>
    <n v="0"/>
    <n v="0"/>
    <n v="0"/>
    <n v="0"/>
    <n v="5660235.8150000004"/>
    <n v="5660235.8150000004"/>
    <n v="5660235.8150000004"/>
    <n v="5660235.8150000004"/>
    <n v="0"/>
    <n v="0"/>
    <n v="0"/>
    <n v="0"/>
    <n v="0"/>
    <n v="0"/>
    <n v="11320471.630000001"/>
    <n v="11320471.630000001"/>
    <n v="1"/>
  </r>
  <r>
    <x v="10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10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10"/>
    <x v="3"/>
    <s v="70. Community Development"/>
    <n v="7571750.5718334364"/>
    <n v="499735.53774100682"/>
    <n v="499735.53774100682"/>
    <n v="624669.42217625852"/>
    <n v="624669.42217625852"/>
    <n v="624669.42217625852"/>
    <n v="624669.42217625852"/>
    <n v="624669.42217625852"/>
    <n v="624669.42217625852"/>
    <n v="380480.46623463015"/>
    <n v="380480.46623463015"/>
    <n v="317067.05519552511"/>
    <n v="317067.05519552511"/>
    <n v="443893.87727373512"/>
    <n v="443893.87727373512"/>
    <n v="443893.87727373512"/>
    <n v="443893.87727373512"/>
    <n v="443893.87727373512"/>
    <n v="443893.87727373512"/>
    <n v="4402972.9575211434"/>
    <n v="4402972.9575211434"/>
    <n v="0.58150000000000002"/>
  </r>
  <r>
    <x v="10"/>
    <x v="13"/>
    <s v="60. Local Development"/>
    <n v="87622954"/>
    <n v="0"/>
    <n v="0"/>
    <n v="7009836.3192015653"/>
    <n v="7009836.3192015653"/>
    <n v="0"/>
    <n v="0"/>
    <n v="0"/>
    <n v="0"/>
    <n v="20153279.42019961"/>
    <n v="20153279.42019961"/>
    <n v="0"/>
    <n v="0"/>
    <n v="0"/>
    <n v="0"/>
    <n v="30229919.130299415"/>
    <n v="30229919.130299415"/>
    <n v="0"/>
    <n v="0"/>
    <n v="57393034.869700588"/>
    <n v="57393034.869700588"/>
    <n v="0.65499999999658298"/>
  </r>
  <r>
    <x v="10"/>
    <x v="14"/>
    <s v="Disaster Risk Management"/>
    <n v="19642857"/>
    <n v="0"/>
    <n v="0"/>
    <n v="0"/>
    <n v="0"/>
    <n v="0"/>
    <n v="0"/>
    <n v="0"/>
    <n v="0"/>
    <n v="1473214.2857142857"/>
    <n v="1473214.2857142857"/>
    <n v="1227678.5714285714"/>
    <n v="1227678.5714285714"/>
    <n v="1718749.9999999998"/>
    <n v="1718749.9999999998"/>
    <n v="1718749.9999999998"/>
    <n v="1718749.9999999998"/>
    <n v="1718749.9999999998"/>
    <n v="1718749.9999999998"/>
    <n v="7857142.8571428563"/>
    <n v="7857142.8571428563"/>
    <n v="0.40000000290909088"/>
  </r>
  <r>
    <x v="10"/>
    <x v="4"/>
    <s v="23. Basic Education"/>
    <n v="91969887"/>
    <n v="7384655"/>
    <n v="7384655"/>
    <n v="8068134"/>
    <n v="8068134"/>
    <n v="16139111"/>
    <n v="16139111"/>
    <n v="8122075"/>
    <n v="8122075"/>
    <n v="0"/>
    <n v="0"/>
    <n v="19799383"/>
    <n v="19799383"/>
    <n v="13472876"/>
    <n v="13472876"/>
    <n v="5168957"/>
    <n v="5168957"/>
    <n v="4889164"/>
    <n v="4889164"/>
    <n v="83044355"/>
    <n v="83044355"/>
    <n v="0.90295158240218343"/>
  </r>
  <r>
    <x v="10"/>
    <x v="4"/>
    <s v="23. Basic Education"/>
    <n v="70828962"/>
    <n v="21396625.985873841"/>
    <n v="21396625.985873841"/>
    <n v="0"/>
    <n v="0"/>
    <n v="0"/>
    <n v="0"/>
    <n v="0"/>
    <n v="0"/>
    <n v="18537126.005297311"/>
    <n v="18537126.005297311"/>
    <n v="12358084.00353154"/>
    <n v="12358084.00353154"/>
    <n v="18537126.005297311"/>
    <n v="18537126.005297311"/>
    <n v="0"/>
    <n v="0"/>
    <n v="0"/>
    <n v="0"/>
    <n v="70828962"/>
    <n v="70828962"/>
    <n v="1"/>
  </r>
  <r>
    <x v="10"/>
    <x v="4"/>
    <s v="23. Basic Education"/>
    <n v="22384790"/>
    <n v="0"/>
    <n v="0"/>
    <n v="0"/>
    <n v="0"/>
    <n v="0"/>
    <n v="0"/>
    <n v="0"/>
    <n v="0"/>
    <n v="0"/>
    <n v="0"/>
    <n v="0"/>
    <n v="0"/>
    <n v="0"/>
    <n v="0"/>
    <n v="0"/>
    <n v="0"/>
    <n v="22384790"/>
    <n v="22384790"/>
    <n v="22384790"/>
    <n v="22384790"/>
    <n v="1"/>
  </r>
  <r>
    <x v="10"/>
    <x v="5"/>
    <s v="92. Environment and Climate Change Management"/>
    <n v="3828473"/>
    <n v="222389.86034951915"/>
    <n v="222389.86034951915"/>
    <n v="277987.32543689891"/>
    <n v="277987.32543689891"/>
    <n v="277987.32543689891"/>
    <n v="277987.32543689891"/>
    <n v="277987.32543689891"/>
    <n v="277987.32543689891"/>
    <n v="206704.30712945884"/>
    <n v="206704.30712945884"/>
    <n v="172253.58927454904"/>
    <n v="172253.58927454904"/>
    <n v="213481.41388610227"/>
    <n v="213481.41388610227"/>
    <n v="241155.02498436865"/>
    <n v="241155.02498436865"/>
    <n v="241155.02498436865"/>
    <n v="241155.02498436865"/>
    <n v="2131101.1969190636"/>
    <n v="2131101.1969190636"/>
    <n v="0.55664522041008613"/>
  </r>
  <r>
    <x v="10"/>
    <x v="15"/>
    <s v="96. Sustainable Rural Development"/>
    <n v="3876481.5405843109"/>
    <n v="255847.78167856453"/>
    <n v="255847.78167856453"/>
    <n v="319809.72709820565"/>
    <n v="319809.72709820565"/>
    <n v="319809.72709820565"/>
    <n v="319809.72709820565"/>
    <n v="319809.72709820565"/>
    <n v="319809.72709820565"/>
    <n v="194793.19741436164"/>
    <n v="194793.19741436164"/>
    <n v="162327.66451196803"/>
    <n v="162327.66451196803"/>
    <n v="227258.73031675525"/>
    <n v="227258.73031675525"/>
    <n v="227258.73031675525"/>
    <n v="227258.73031675525"/>
    <n v="227258.73031675525"/>
    <n v="227258.73031675525"/>
    <n v="2254174.0158497766"/>
    <n v="2254174.0158497766"/>
    <n v="0.58149999999999991"/>
  </r>
  <r>
    <x v="10"/>
    <x v="16"/>
    <s v="92. Environment and Climate Change Management"/>
    <n v="5493566.4060108736"/>
    <n v="362575.38279671769"/>
    <n v="362575.38279671769"/>
    <n v="453219.22849589708"/>
    <n v="453219.22849589708"/>
    <n v="453219.22849589708"/>
    <n v="453219.22849589708"/>
    <n v="453219.22849589708"/>
    <n v="453219.22849589708"/>
    <n v="276051.7119020464"/>
    <n v="276051.7119020464"/>
    <n v="230043.09325170534"/>
    <n v="230043.09325170534"/>
    <n v="322060.33055238746"/>
    <n v="322060.33055238746"/>
    <n v="322060.33055238746"/>
    <n v="322060.33055238746"/>
    <n v="322060.33055238746"/>
    <n v="322060.33055238746"/>
    <n v="3194508.8650953234"/>
    <n v="3194508.8650953234"/>
    <n v="0.58150000000000013"/>
  </r>
  <r>
    <x v="10"/>
    <x v="6"/>
    <s v="69. Gender Equality and Wome Empowerment"/>
    <n v="7571750.5718334364"/>
    <n v="499735.53774100682"/>
    <n v="499735.53774100682"/>
    <n v="624669.42217625852"/>
    <n v="624669.42217625852"/>
    <n v="624669.42217625852"/>
    <n v="624669.42217625852"/>
    <n v="624669.42217625852"/>
    <n v="624669.42217625852"/>
    <n v="380480.46623463015"/>
    <n v="380480.46623463015"/>
    <n v="317067.05519552511"/>
    <n v="317067.05519552511"/>
    <n v="443893.87727373512"/>
    <n v="443893.87727373512"/>
    <n v="443893.87727373512"/>
    <n v="443893.87727373512"/>
    <n v="443893.87727373512"/>
    <n v="443893.87727373512"/>
    <n v="4402972.9575211434"/>
    <n v="4402972.9575211434"/>
    <n v="0.58150000000000002"/>
  </r>
  <r>
    <x v="10"/>
    <x v="7"/>
    <s v="20. Management and Administration"/>
    <n v="67378022.813330904"/>
    <n v="4451115.0850622328"/>
    <n v="4451115.0850622328"/>
    <n v="5563893.8563277908"/>
    <n v="5563893.8563277908"/>
    <n v="5563893.8563277908"/>
    <n v="5563893.8563277908"/>
    <n v="5563893.8563277908"/>
    <n v="5563893.8563277908"/>
    <n v="3491160.4626295571"/>
    <n v="3491160.4626295571"/>
    <n v="2838975.0127252773"/>
    <n v="2838975.0127252773"/>
    <n v="3930384.667490459"/>
    <n v="3930384.667490459"/>
    <n v="3930384.667490459"/>
    <n v="3930384.667490459"/>
    <n v="3886204.2766116462"/>
    <n v="3886204.2766116462"/>
    <n v="39219905.740993008"/>
    <n v="39219905.740993008"/>
    <n v="0.58208751315916107"/>
  </r>
  <r>
    <x v="10"/>
    <x v="17"/>
    <s v="65. Primary Health Care"/>
    <n v="260293946.27462015"/>
    <n v="21474250.567656163"/>
    <n v="21474250.567656163"/>
    <n v="21474250.567656163"/>
    <n v="21474250.567656163"/>
    <n v="21474250.567656163"/>
    <n v="21474250.567656163"/>
    <n v="21474250.567656163"/>
    <n v="21474250.567656163"/>
    <n v="24550093.331042025"/>
    <n v="24550093.331042025"/>
    <n v="21172153.353333335"/>
    <n v="21172153.353333335"/>
    <n v="20460101.443333335"/>
    <n v="20460101.443333335"/>
    <n v="27156067.770833328"/>
    <n v="27156067.770833328"/>
    <n v="20334653.353333335"/>
    <n v="20334653.353333335"/>
    <n v="199570071.52250001"/>
    <n v="199570071.52250001"/>
    <n v="0.76671038408225556"/>
  </r>
  <r>
    <x v="10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0"/>
    <x v="19"/>
    <s v="76. Immigration Services"/>
    <n v="4476720.4074541563"/>
    <n v="295463.54689197434"/>
    <n v="295463.54689197434"/>
    <n v="369329.43361496791"/>
    <n v="369329.43361496791"/>
    <n v="369329.43361496791"/>
    <n v="369329.43361496791"/>
    <n v="369329.43361496791"/>
    <n v="369329.43361496791"/>
    <n v="224955.20047457135"/>
    <n v="224955.20047457135"/>
    <n v="187462.66706214281"/>
    <n v="187462.66706214281"/>
    <n v="262447.73388699989"/>
    <n v="262447.73388699989"/>
    <n v="262447.73388699989"/>
    <n v="262447.73388699989"/>
    <n v="262447.73388699989"/>
    <n v="262447.73388699989"/>
    <n v="2603212.9169345917"/>
    <n v="2603212.9169345917"/>
    <n v="0.58149999999999991"/>
  </r>
  <r>
    <x v="10"/>
    <x v="20"/>
    <s v="96. Sustainable Rural Development"/>
    <n v="6890625.0152343744"/>
    <n v="454781.25100546872"/>
    <n v="454781.25100546872"/>
    <n v="568476.56375683588"/>
    <n v="568476.56375683588"/>
    <n v="568476.56375683588"/>
    <n v="568476.56375683588"/>
    <n v="568476.56375683588"/>
    <n v="568476.56375683588"/>
    <n v="346253.90701552731"/>
    <n v="346253.90701552731"/>
    <n v="288544.92251293943"/>
    <n v="288544.92251293943"/>
    <n v="403962.89151811518"/>
    <n v="403962.89151811518"/>
    <n v="403962.89151811518"/>
    <n v="403962.89151811518"/>
    <n v="403962.89151811518"/>
    <n v="403962.89151811518"/>
    <n v="4006898.4463587888"/>
    <n v="4006898.4463587888"/>
    <n v="0.58150000000000002"/>
  </r>
  <r>
    <x v="10"/>
    <x v="21"/>
    <s v="18. Labour Employment and Manpower Development"/>
    <n v="7477405.021153843"/>
    <n v="493508.73139615369"/>
    <n v="493508.73139615369"/>
    <n v="616885.91424519208"/>
    <n v="616885.91424519208"/>
    <n v="616885.91424519208"/>
    <n v="616885.91424519208"/>
    <n v="616885.91424519208"/>
    <n v="616885.91424519208"/>
    <n v="375739.60231298063"/>
    <n v="375739.60231298063"/>
    <n v="313116.3352608172"/>
    <n v="313116.3352608172"/>
    <n v="438362.86936514406"/>
    <n v="438362.86936514406"/>
    <n v="438362.86936514406"/>
    <n v="438362.86936514406"/>
    <n v="438362.86936514406"/>
    <n v="438362.86936514406"/>
    <n v="4348111.0198009601"/>
    <n v="4348111.0198009601"/>
    <n v="0.58150000000000002"/>
  </r>
  <r>
    <x v="10"/>
    <x v="22"/>
    <s v="15. Security Services"/>
    <n v="5924536.5364770135"/>
    <n v="391019.41140748293"/>
    <n v="391019.41140748293"/>
    <n v="488774.26425935363"/>
    <n v="488774.26425935363"/>
    <n v="488774.26425935363"/>
    <n v="488774.26425935363"/>
    <n v="488774.26425935363"/>
    <n v="488774.26425935363"/>
    <n v="297707.96095796989"/>
    <n v="297707.96095796989"/>
    <n v="248089.96746497494"/>
    <n v="248089.96746497494"/>
    <n v="347325.95445096487"/>
    <n v="347325.95445096487"/>
    <n v="347325.95445096487"/>
    <n v="347325.95445096487"/>
    <n v="347325.95445096487"/>
    <n v="347325.95445096487"/>
    <n v="3445117.9959613835"/>
    <n v="3445117.9959613835"/>
    <n v="0.58150000000000002"/>
  </r>
  <r>
    <x v="10"/>
    <x v="9"/>
    <s v="95. Sports and Culture"/>
    <n v="4165631.1852441416"/>
    <n v="274931.65822611336"/>
    <n v="274931.65822611336"/>
    <n v="343664.57278264168"/>
    <n v="343664.57278264168"/>
    <n v="343664.57278264168"/>
    <n v="343664.57278264168"/>
    <n v="343664.57278264168"/>
    <n v="343664.57278264168"/>
    <n v="209322.96705851809"/>
    <n v="209322.96705851809"/>
    <n v="174435.80588209842"/>
    <n v="174435.80588209842"/>
    <n v="244210.12823493776"/>
    <n v="244210.12823493776"/>
    <n v="244210.12823493776"/>
    <n v="244210.12823493776"/>
    <n v="244210.12823493776"/>
    <n v="244210.12823493776"/>
    <n v="2422314.534219468"/>
    <n v="2422314.534219468"/>
    <n v="0.58149999999999991"/>
  </r>
  <r>
    <x v="10"/>
    <x v="11"/>
    <s v="88. Small Scale Business Development"/>
    <n v="3286014.9262045375"/>
    <n v="216876.98512949949"/>
    <n v="216876.98512949949"/>
    <n v="271096.23141187435"/>
    <n v="271096.23141187435"/>
    <n v="271096.23141187435"/>
    <n v="271096.23141187435"/>
    <n v="271096.23141187435"/>
    <n v="271096.23141187435"/>
    <n v="165122.250041778"/>
    <n v="165122.250041778"/>
    <n v="137601.87503481499"/>
    <n v="137601.87503481499"/>
    <n v="192642.62504874097"/>
    <n v="192642.62504874097"/>
    <n v="192642.62504874097"/>
    <n v="192642.62504874097"/>
    <n v="192642.62504874097"/>
    <n v="192642.62504874097"/>
    <n v="1910817.6795879384"/>
    <n v="1910817.6795879384"/>
    <n v="0.58149999999999991"/>
  </r>
  <r>
    <x v="10"/>
    <x v="23"/>
    <s v="04. Water Resources Development Management and Supply"/>
    <n v="7578400.1857873648"/>
    <n v="500174.41226196609"/>
    <n v="500174.41226196609"/>
    <n v="625218.01532745757"/>
    <n v="625218.01532745757"/>
    <n v="625218.01532745757"/>
    <n v="625218.01532745757"/>
    <n v="625218.01532745757"/>
    <n v="625218.01532745757"/>
    <n v="380814.60933581507"/>
    <n v="380814.60933581507"/>
    <n v="317345.50777984591"/>
    <n v="317345.50777984591"/>
    <n v="444283.71089178423"/>
    <n v="444283.71089178423"/>
    <n v="444283.71089178423"/>
    <n v="444283.71089178423"/>
    <n v="444283.71089178423"/>
    <n v="444283.71089178423"/>
    <n v="4406839.7080353517"/>
    <n v="4406839.7080353517"/>
    <n v="0.58149999999999991"/>
  </r>
  <r>
    <x v="10"/>
    <x v="10"/>
    <s v="83. Youth Development"/>
    <n v="4373912.7445063479"/>
    <n v="288678.24113741901"/>
    <n v="288678.24113741901"/>
    <n v="360847.80142177374"/>
    <n v="360847.80142177374"/>
    <n v="360847.80142177374"/>
    <n v="360847.80142177374"/>
    <n v="360847.80142177374"/>
    <n v="360847.80142177374"/>
    <n v="219789.11541144396"/>
    <n v="219789.11541144396"/>
    <n v="183157.59617620331"/>
    <n v="183157.59617620331"/>
    <n v="256420.63464668463"/>
    <n v="256420.63464668463"/>
    <n v="256420.63464668463"/>
    <n v="256420.63464668463"/>
    <n v="256420.63464668463"/>
    <n v="256420.63464668463"/>
    <n v="2543430.2609304409"/>
    <n v="2543430.2609304409"/>
    <n v="0.58149999999999991"/>
  </r>
  <r>
    <x v="11"/>
    <x v="12"/>
    <s v="49. Agricultural Productivity and Risk Management"/>
    <n v="37402692"/>
    <n v="3402229.2049383568"/>
    <n v="3402229.2049383568"/>
    <n v="4252786.5061729457"/>
    <n v="4252786.5061729457"/>
    <n v="4252786.5061729457"/>
    <n v="4252786.5061729457"/>
    <n v="4252786.5061729457"/>
    <n v="4252786.5061729457"/>
    <n v="2548943.2469135262"/>
    <n v="2548943.2469135262"/>
    <n v="2548943.2469135262"/>
    <n v="2548943.2469135262"/>
    <n v="2548943.2469135262"/>
    <n v="2548943.2469135262"/>
    <n v="2548943.2469135262"/>
    <n v="2548943.2469135262"/>
    <n v="2548943.2469135262"/>
    <n v="2548943.2469135262"/>
    <n v="28905304.958024826"/>
    <n v="28905304.958024826"/>
    <n v="0.77281349048418291"/>
  </r>
  <r>
    <x v="11"/>
    <x v="12"/>
    <s v="49. Agricultural Productivity and Risk Management"/>
    <n v="14146235"/>
    <n v="0"/>
    <n v="0"/>
    <n v="0"/>
    <n v="0"/>
    <n v="0"/>
    <n v="0"/>
    <n v="0"/>
    <n v="0"/>
    <n v="7073117.5"/>
    <n v="7073117.5"/>
    <n v="7073117.5"/>
    <n v="7073117.5"/>
    <n v="0"/>
    <n v="0"/>
    <n v="0"/>
    <n v="0"/>
    <n v="0"/>
    <n v="0"/>
    <n v="14146235"/>
    <n v="14146235"/>
    <n v="1"/>
  </r>
  <r>
    <x v="11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11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11"/>
    <x v="3"/>
    <s v="70. Community Development"/>
    <n v="6108825.1405430408"/>
    <n v="403182.45927584078"/>
    <n v="403182.45927584078"/>
    <n v="503978.07409480092"/>
    <n v="503978.07409480092"/>
    <n v="503978.07409480092"/>
    <n v="503978.07409480092"/>
    <n v="503978.07409480092"/>
    <n v="503978.07409480092"/>
    <n v="306968.4633122877"/>
    <n v="306968.4633122877"/>
    <n v="255807.05276023978"/>
    <n v="255807.05276023978"/>
    <n v="358129.87386433565"/>
    <n v="358129.87386433565"/>
    <n v="358129.87386433565"/>
    <n v="358129.87386433565"/>
    <n v="358129.87386433565"/>
    <n v="358129.87386433565"/>
    <n v="3552281.8192257774"/>
    <n v="3552281.8192257774"/>
    <n v="0.58149999999999991"/>
  </r>
  <r>
    <x v="11"/>
    <x v="13"/>
    <s v="60. Local Development"/>
    <n v="85357467"/>
    <n v="0"/>
    <n v="0"/>
    <n v="6828597.3592222091"/>
    <n v="6828597.3592222091"/>
    <n v="0"/>
    <n v="0"/>
    <n v="0"/>
    <n v="0"/>
    <n v="19632217.410194449"/>
    <n v="19632217.410194449"/>
    <n v="0"/>
    <n v="0"/>
    <n v="0"/>
    <n v="0"/>
    <n v="29448326.115291674"/>
    <n v="29448326.115291674"/>
    <n v="0"/>
    <n v="0"/>
    <n v="55909140.884708337"/>
    <n v="55909140.884708337"/>
    <n v="0.65499999999658309"/>
  </r>
  <r>
    <x v="11"/>
    <x v="14"/>
    <s v="Disaster Risk Management"/>
    <n v="23642857"/>
    <n v="0"/>
    <n v="0"/>
    <n v="0"/>
    <n v="0"/>
    <n v="0"/>
    <n v="0"/>
    <n v="0"/>
    <n v="0"/>
    <n v="1773214.2857142857"/>
    <n v="1773214.2857142857"/>
    <n v="1477678.5714285714"/>
    <n v="1477678.5714285714"/>
    <n v="2068749.9999999998"/>
    <n v="2068749.9999999998"/>
    <n v="2068749.9999999998"/>
    <n v="2068749.9999999998"/>
    <n v="2068749.9999999998"/>
    <n v="2068749.9999999998"/>
    <n v="9457142.8571428563"/>
    <n v="9457142.8571428563"/>
    <n v="0.40000000241691841"/>
  </r>
  <r>
    <x v="11"/>
    <x v="4"/>
    <s v="23. Basic Education"/>
    <n v="70185360"/>
    <n v="6141160"/>
    <n v="6141160"/>
    <n v="8248259"/>
    <n v="8248259"/>
    <n v="12151848"/>
    <n v="12151848"/>
    <n v="3511296"/>
    <n v="3511296"/>
    <n v="0"/>
    <n v="0"/>
    <n v="14457213"/>
    <n v="14457213"/>
    <n v="6580998"/>
    <n v="6580998"/>
    <n v="4823559"/>
    <n v="4823559"/>
    <n v="2430650"/>
    <n v="2430650"/>
    <n v="58344983"/>
    <n v="58344983"/>
    <n v="0.83129847877107133"/>
  </r>
  <r>
    <x v="11"/>
    <x v="4"/>
    <s v="23. Basic Education"/>
    <n v="159086491"/>
    <n v="0"/>
    <n v="0"/>
    <n v="30209716.009841815"/>
    <n v="30209716.009841815"/>
    <n v="0"/>
    <n v="0"/>
    <n v="0"/>
    <n v="0"/>
    <n v="84971081.242618635"/>
    <n v="84971081.242618635"/>
    <n v="43905693.74753955"/>
    <n v="43905693.74753955"/>
    <n v="0"/>
    <n v="0"/>
    <n v="0"/>
    <n v="0"/>
    <n v="0"/>
    <n v="0"/>
    <n v="159086491"/>
    <n v="159086491"/>
    <n v="1"/>
  </r>
  <r>
    <x v="11"/>
    <x v="4"/>
    <s v="23. Basic Education"/>
    <n v="22981242"/>
    <n v="0"/>
    <n v="0"/>
    <n v="0"/>
    <n v="0"/>
    <n v="22981242"/>
    <n v="22981242"/>
    <n v="0"/>
    <n v="0"/>
    <n v="0"/>
    <n v="0"/>
    <n v="0"/>
    <n v="0"/>
    <n v="0"/>
    <n v="0"/>
    <n v="0"/>
    <n v="0"/>
    <n v="0"/>
    <n v="0"/>
    <n v="22981242"/>
    <n v="22981242"/>
    <n v="1"/>
  </r>
  <r>
    <x v="11"/>
    <x v="5"/>
    <s v="92. Environment and Climate Change Management"/>
    <n v="7859473"/>
    <n v="456544.21166676865"/>
    <n v="456544.21166676865"/>
    <n v="570680.26458346075"/>
    <n v="570680.26458346075"/>
    <n v="570680.26458346075"/>
    <n v="570680.26458346075"/>
    <n v="570680.26458346075"/>
    <n v="570680.26458346075"/>
    <n v="424343.33471062168"/>
    <n v="424343.33471062168"/>
    <n v="353619.44559218473"/>
    <n v="353619.44559218473"/>
    <n v="438255.79236289888"/>
    <n v="438255.79236289888"/>
    <n v="495067.22382905858"/>
    <n v="495067.22382905858"/>
    <n v="495067.22382905858"/>
    <n v="495067.22382905858"/>
    <n v="4374938.0257409737"/>
    <n v="4374938.0257409737"/>
    <n v="0.55664521345654772"/>
  </r>
  <r>
    <x v="11"/>
    <x v="15"/>
    <s v="96. Sustainable Rural Development"/>
    <n v="4726877.4383487087"/>
    <n v="311973.91093101481"/>
    <n v="311973.91093101481"/>
    <n v="389967.38866376848"/>
    <n v="389967.38866376848"/>
    <n v="389967.38866376848"/>
    <n v="389967.38866376848"/>
    <n v="389967.38866376848"/>
    <n v="389967.38866376848"/>
    <n v="237525.59127702258"/>
    <n v="237525.59127702258"/>
    <n v="197937.99273085216"/>
    <n v="197937.99273085216"/>
    <n v="277113.18982319301"/>
    <n v="277113.18982319301"/>
    <n v="277113.18982319301"/>
    <n v="277113.18982319301"/>
    <n v="277113.18982319301"/>
    <n v="277113.18982319301"/>
    <n v="2748679.2303997744"/>
    <n v="2748679.2303997744"/>
    <n v="0.58150000000000002"/>
  </r>
  <r>
    <x v="11"/>
    <x v="16"/>
    <s v="92. Environment and Climate Change Management"/>
    <n v="7962788.4942269195"/>
    <n v="525544.04061897669"/>
    <n v="525544.04061897669"/>
    <n v="656930.05077372084"/>
    <n v="656930.05077372084"/>
    <n v="656930.05077372084"/>
    <n v="656930.05077372084"/>
    <n v="656930.05077372084"/>
    <n v="656930.05077372084"/>
    <n v="400130.12183490273"/>
    <n v="400130.12183490273"/>
    <n v="333441.76819575229"/>
    <n v="333441.76819575229"/>
    <n v="466818.47547405318"/>
    <n v="466818.47547405318"/>
    <n v="466818.47547405318"/>
    <n v="466818.47547405318"/>
    <n v="466818.47547405318"/>
    <n v="466818.47547405318"/>
    <n v="4630361.5093929535"/>
    <n v="4630361.5093929535"/>
    <n v="0.58150000000000002"/>
  </r>
  <r>
    <x v="11"/>
    <x v="6"/>
    <s v="69. Gender Equality and Wome Empowerment"/>
    <n v="6108825.1405430408"/>
    <n v="403182.45927584078"/>
    <n v="403182.45927584078"/>
    <n v="503978.07409480092"/>
    <n v="503978.07409480092"/>
    <n v="503978.07409480092"/>
    <n v="503978.07409480092"/>
    <n v="503978.07409480092"/>
    <n v="503978.07409480092"/>
    <n v="306968.4633122877"/>
    <n v="306968.4633122877"/>
    <n v="255807.05276023978"/>
    <n v="255807.05276023978"/>
    <n v="358129.87386433565"/>
    <n v="358129.87386433565"/>
    <n v="358129.87386433565"/>
    <n v="358129.87386433565"/>
    <n v="358129.87386433565"/>
    <n v="358129.87386433565"/>
    <n v="3552281.8192257774"/>
    <n v="3552281.8192257774"/>
    <n v="0.58149999999999991"/>
  </r>
  <r>
    <x v="11"/>
    <x v="7"/>
    <s v="20. Management and Administration"/>
    <n v="50164877.326156586"/>
    <n v="3313983.2972743982"/>
    <n v="3313983.2972743982"/>
    <n v="4142479.1215929976"/>
    <n v="4142479.1215929976"/>
    <n v="4142479.1215929976"/>
    <n v="4142479.1215929976"/>
    <n v="4142479.1215929976"/>
    <n v="4142479.1215929976"/>
    <n v="2599269.45049936"/>
    <n v="2599269.45049936"/>
    <n v="2113698.6111918036"/>
    <n v="2113698.6111918036"/>
    <n v="2893390.940555125"/>
    <n v="2893390.940555125"/>
    <n v="2926284.513208596"/>
    <n v="2926284.513208596"/>
    <n v="2926284.513208596"/>
    <n v="2926284.513208596"/>
    <n v="29200348.690716874"/>
    <n v="29200348.690716874"/>
    <n v="0.58208751315916107"/>
  </r>
  <r>
    <x v="11"/>
    <x v="17"/>
    <s v="65. Primary Health Care"/>
    <n v="195577939.716732"/>
    <n v="16135180.02663039"/>
    <n v="16135180.02663039"/>
    <n v="16135180.02663039"/>
    <n v="16135180.02663039"/>
    <n v="16135180.02663039"/>
    <n v="16135180.02663039"/>
    <n v="16135180.02663039"/>
    <n v="16135180.02663039"/>
    <n v="16957208.953478429"/>
    <n v="16957208.953478429"/>
    <n v="14143242.92"/>
    <n v="14143242.92"/>
    <n v="17290864.77"/>
    <n v="17290864.77"/>
    <n v="15498235.92"/>
    <n v="15498235.92"/>
    <n v="21632530.79000001"/>
    <n v="21632530.79000001"/>
    <n v="150062803.45999998"/>
    <n v="150062803.45999998"/>
    <n v="0.76727878245033931"/>
  </r>
  <r>
    <x v="11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1"/>
    <x v="19"/>
    <s v="76. Immigration Services"/>
    <n v="7176495.5038690381"/>
    <n v="473648.70325535658"/>
    <n v="473648.70325535658"/>
    <n v="592060.87906919571"/>
    <n v="592060.87906919571"/>
    <n v="592060.87906919571"/>
    <n v="592060.87906919571"/>
    <n v="592060.87906919571"/>
    <n v="592060.87906919571"/>
    <n v="360618.89906941919"/>
    <n v="360618.89906941919"/>
    <n v="300515.74922451598"/>
    <n v="300515.74922451598"/>
    <n v="420722.04891432234"/>
    <n v="420722.04891432234"/>
    <n v="420722.04891432234"/>
    <n v="420722.04891432234"/>
    <n v="420722.04891432234"/>
    <n v="420722.04891432234"/>
    <n v="4173132.1354998457"/>
    <n v="4173132.1354998457"/>
    <n v="0.58150000000000002"/>
  </r>
  <r>
    <x v="11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11"/>
    <x v="21"/>
    <s v="18. Labour Employment and Manpower Development"/>
    <n v="7174955.6711538434"/>
    <n v="473547.07429615373"/>
    <n v="473547.07429615373"/>
    <n v="591933.84287019214"/>
    <n v="591933.84287019214"/>
    <n v="591933.84287019214"/>
    <n v="591933.84287019214"/>
    <n v="591933.84287019214"/>
    <n v="591933.84287019214"/>
    <n v="360541.52247548063"/>
    <n v="360541.52247548063"/>
    <n v="300451.26872956718"/>
    <n v="300451.26872956718"/>
    <n v="420631.77622139402"/>
    <n v="420631.77622139402"/>
    <n v="420631.77622139402"/>
    <n v="420631.77622139402"/>
    <n v="420631.77622139402"/>
    <n v="420631.77622139402"/>
    <n v="4172236.7227759599"/>
    <n v="4172236.7227759599"/>
    <n v="0.58150000000000002"/>
  </r>
  <r>
    <x v="11"/>
    <x v="22"/>
    <s v="15. Security Services"/>
    <n v="4678689.2326134304"/>
    <n v="308793.48935248645"/>
    <n v="308793.48935248645"/>
    <n v="385991.86169060803"/>
    <n v="385991.86169060803"/>
    <n v="385991.86169060803"/>
    <n v="385991.86169060803"/>
    <n v="385991.86169060803"/>
    <n v="385991.86169060803"/>
    <n v="235104.13393882485"/>
    <n v="235104.13393882485"/>
    <n v="195920.11161568738"/>
    <n v="195920.11161568738"/>
    <n v="274288.15626196231"/>
    <n v="274288.15626196231"/>
    <n v="274288.15626196231"/>
    <n v="274288.15626196231"/>
    <n v="274288.15626196231"/>
    <n v="274288.15626196231"/>
    <n v="2720657.7887647096"/>
    <n v="2720657.7887647096"/>
    <n v="0.58150000000000002"/>
  </r>
  <r>
    <x v="11"/>
    <x v="9"/>
    <s v="95. Sports and Culture"/>
    <n v="4231840.6519311583"/>
    <n v="279301.4830274565"/>
    <n v="279301.4830274565"/>
    <n v="349126.85378432058"/>
    <n v="349126.85378432058"/>
    <n v="349126.85378432058"/>
    <n v="349126.85378432058"/>
    <n v="349126.85378432058"/>
    <n v="349126.85378432058"/>
    <n v="212649.99275954074"/>
    <n v="212649.99275954074"/>
    <n v="177208.32729961729"/>
    <n v="177208.32729961729"/>
    <n v="248091.65821946418"/>
    <n v="248091.65821946418"/>
    <n v="248091.65821946418"/>
    <n v="248091.65821946418"/>
    <n v="248091.65821946418"/>
    <n v="248091.65821946418"/>
    <n v="2460815.3390979688"/>
    <n v="2460815.3390979688"/>
    <n v="0.58150000000000002"/>
  </r>
  <r>
    <x v="11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11"/>
    <x v="23"/>
    <s v="04. Water Resources Development Management and Supply"/>
    <n v="10364270.630765583"/>
    <n v="684041.86163052858"/>
    <n v="684041.86163052858"/>
    <n v="855052.32703816064"/>
    <n v="855052.32703816064"/>
    <n v="855052.32703816064"/>
    <n v="855052.32703816064"/>
    <n v="855052.32703816064"/>
    <n v="855052.32703816064"/>
    <n v="520804.59919597057"/>
    <n v="520804.59919597057"/>
    <n v="434003.83266330883"/>
    <n v="434003.83266330883"/>
    <n v="607605.36572863231"/>
    <n v="607605.36572863231"/>
    <n v="607605.36572863231"/>
    <n v="607605.36572863231"/>
    <n v="607605.36572863231"/>
    <n v="607605.36572863231"/>
    <n v="6026823.3717901865"/>
    <n v="6026823.3717901865"/>
    <n v="0.58150000000000002"/>
  </r>
  <r>
    <x v="11"/>
    <x v="10"/>
    <s v="83. Youth Development"/>
    <n v="4443432.6845277157"/>
    <n v="293266.55717882927"/>
    <n v="293266.55717882927"/>
    <n v="366583.19647353655"/>
    <n v="366583.19647353655"/>
    <n v="366583.19647353655"/>
    <n v="366583.19647353655"/>
    <n v="366583.19647353655"/>
    <n v="366583.19647353655"/>
    <n v="223282.49239751769"/>
    <n v="223282.49239751769"/>
    <n v="186068.74366459809"/>
    <n v="186068.74366459809"/>
    <n v="260496.24113043732"/>
    <n v="260496.24113043732"/>
    <n v="260496.24113043732"/>
    <n v="260496.24113043732"/>
    <n v="260496.24113043732"/>
    <n v="260496.24113043732"/>
    <n v="2583856.1060528667"/>
    <n v="2583856.1060528667"/>
    <n v="0.58150000000000002"/>
  </r>
  <r>
    <x v="12"/>
    <x v="12"/>
    <s v="49. Agricultural Productivity and Risk Management"/>
    <n v="59172228"/>
    <n v="3905367.0206369702"/>
    <n v="3905367.0206369702"/>
    <n v="4881708.7757962123"/>
    <n v="4881708.7757962123"/>
    <n v="4881708.7757962123"/>
    <n v="4881708.7757962123"/>
    <n v="4881708.7757962123"/>
    <n v="4881708.7757962123"/>
    <n v="4955674.1121018939"/>
    <n v="4955674.1121018939"/>
    <n v="4955674.1121018939"/>
    <n v="4955674.1121018939"/>
    <n v="4955674.1121018939"/>
    <n v="4955674.1121018939"/>
    <n v="4955674.1121018939"/>
    <n v="4955674.1121018939"/>
    <n v="4955674.1121018939"/>
    <n v="4955674.1121018939"/>
    <n v="43328863.908535078"/>
    <n v="43328863.908535078"/>
    <n v="0.73224999924855083"/>
  </r>
  <r>
    <x v="12"/>
    <x v="0"/>
    <s v="60. Local Development"/>
    <n v="96000000"/>
    <n v="0"/>
    <n v="0"/>
    <n v="19200000"/>
    <n v="19200000"/>
    <n v="0"/>
    <n v="0"/>
    <n v="0"/>
    <n v="0"/>
    <n v="0"/>
    <n v="0"/>
    <n v="28800000"/>
    <n v="28800000"/>
    <n v="0"/>
    <n v="0"/>
    <n v="28800000"/>
    <n v="28800000"/>
    <n v="19200000"/>
    <n v="19200000"/>
    <n v="96000000"/>
    <n v="96000000"/>
    <n v="1"/>
  </r>
  <r>
    <x v="12"/>
    <x v="1"/>
    <s v="60. Local Development"/>
    <n v="240000000"/>
    <n v="0"/>
    <n v="0"/>
    <n v="66000000"/>
    <n v="66000000"/>
    <n v="0"/>
    <n v="0"/>
    <n v="0"/>
    <n v="0"/>
    <n v="0"/>
    <n v="0"/>
    <n v="58000000"/>
    <n v="58000000"/>
    <n v="0"/>
    <n v="0"/>
    <n v="58000000"/>
    <n v="58000000"/>
    <n v="58000000"/>
    <n v="58000000"/>
    <n v="240000000"/>
    <n v="240000000"/>
    <n v="1"/>
  </r>
  <r>
    <x v="12"/>
    <x v="3"/>
    <s v="70. Community Development"/>
    <n v="8257246.6892131176"/>
    <n v="544978.28148806584"/>
    <n v="544978.28148806584"/>
    <n v="681222.85186008224"/>
    <n v="681222.85186008224"/>
    <n v="681222.85186008224"/>
    <n v="681222.85186008224"/>
    <n v="681222.85186008224"/>
    <n v="681222.85186008224"/>
    <n v="414926.64613295929"/>
    <n v="414926.64613295929"/>
    <n v="345772.2051107994"/>
    <n v="345772.2051107994"/>
    <n v="484081.08715511911"/>
    <n v="484081.08715511911"/>
    <n v="484081.08715511911"/>
    <n v="484081.08715511911"/>
    <n v="484081.08715511911"/>
    <n v="484081.08715511911"/>
    <n v="4801588.949777429"/>
    <n v="4801588.949777429"/>
    <n v="0.58150000000000013"/>
  </r>
  <r>
    <x v="12"/>
    <x v="13"/>
    <s v="60. Local Development"/>
    <n v="147117608"/>
    <n v="0"/>
    <n v="0"/>
    <n v="11769408.63865944"/>
    <n v="11769408.63865944"/>
    <n v="0"/>
    <n v="0"/>
    <n v="0"/>
    <n v="0"/>
    <n v="33837049.840335138"/>
    <n v="33837049.840335138"/>
    <n v="0"/>
    <n v="0"/>
    <n v="0"/>
    <n v="0"/>
    <n v="50755574.760502711"/>
    <n v="50755574.760502711"/>
    <n v="0"/>
    <n v="0"/>
    <n v="96362033.239497304"/>
    <n v="96362033.239497304"/>
    <n v="0.65499999999658298"/>
  </r>
  <r>
    <x v="12"/>
    <x v="14"/>
    <s v="Disaster Risk Management"/>
    <n v="28142857"/>
    <n v="14079999.999120001"/>
    <n v="14079999.999120001"/>
    <n v="0"/>
    <n v="0"/>
    <n v="0"/>
    <n v="0"/>
    <n v="0"/>
    <n v="0"/>
    <n v="790714.28579678561"/>
    <n v="790714.28579678561"/>
    <n v="658928.57149732136"/>
    <n v="658928.57149732136"/>
    <n v="922500.00009624986"/>
    <n v="922500.00009624986"/>
    <n v="922500.00009624986"/>
    <n v="922500.00009624986"/>
    <n v="922500.00009624986"/>
    <n v="922500.00009624986"/>
    <n v="18297142.856702857"/>
    <n v="18297142.856702857"/>
    <n v="0.65015228754859022"/>
  </r>
  <r>
    <x v="12"/>
    <x v="4"/>
    <s v="23. Basic Education"/>
    <n v="161795933"/>
    <n v="6881279"/>
    <n v="6881279"/>
    <n v="7779318"/>
    <n v="7779318"/>
    <n v="15894416.315048546"/>
    <n v="15894416.315048546"/>
    <n v="43794718"/>
    <n v="43794718"/>
    <n v="4237903.2637135908"/>
    <n v="4237903.2637135908"/>
    <n v="29777137.421237864"/>
    <n v="29777137.421237864"/>
    <n v="10035525"/>
    <n v="10035525"/>
    <n v="9040355"/>
    <n v="9040355"/>
    <n v="15731683"/>
    <n v="15731683"/>
    <n v="143172335"/>
    <n v="143172335"/>
    <n v="0.88489452327581064"/>
  </r>
  <r>
    <x v="12"/>
    <x v="4"/>
    <s v="23. Basic Education"/>
    <n v="226853992"/>
    <n v="20485000"/>
    <n v="20485000"/>
    <n v="0"/>
    <n v="0"/>
    <n v="0"/>
    <n v="0"/>
    <n v="0"/>
    <n v="0"/>
    <n v="76526130"/>
    <n v="76526130"/>
    <n v="51017420"/>
    <n v="51017420"/>
    <n v="78825442"/>
    <n v="78825442"/>
    <n v="0"/>
    <n v="0"/>
    <n v="0"/>
    <n v="0"/>
    <n v="226853992"/>
    <n v="226853992"/>
    <n v="1"/>
  </r>
  <r>
    <x v="12"/>
    <x v="4"/>
    <s v="23. Basic Education"/>
    <n v="49880215"/>
    <n v="0"/>
    <n v="0"/>
    <n v="0"/>
    <n v="0"/>
    <n v="49880215"/>
    <n v="49880215"/>
    <n v="0"/>
    <n v="0"/>
    <n v="0"/>
    <n v="0"/>
    <n v="0"/>
    <n v="0"/>
    <n v="0"/>
    <n v="0"/>
    <n v="0"/>
    <n v="0"/>
    <n v="0"/>
    <n v="0"/>
    <n v="49880215"/>
    <n v="49880215"/>
    <n v="1"/>
  </r>
  <r>
    <x v="12"/>
    <x v="5"/>
    <s v="92. Environment and Climate Change Management"/>
    <n v="7499160.320617863"/>
    <n v="435614.21541961166"/>
    <n v="435614.21541961166"/>
    <n v="544517.76927451452"/>
    <n v="544517.76927451452"/>
    <n v="544517.76927451452"/>
    <n v="544517.76927451452"/>
    <n v="544517.76927451452"/>
    <n v="544517.76927451452"/>
    <n v="404889.56840270071"/>
    <n v="404889.56840270071"/>
    <n v="337407.97366891726"/>
    <n v="337407.97366891726"/>
    <n v="418164.32850847527"/>
    <n v="418164.32850847527"/>
    <n v="472371.1631364841"/>
    <n v="472371.1631364841"/>
    <n v="472371.1631364841"/>
    <n v="472371.1631364841"/>
    <n v="4174371.7200962175"/>
    <n v="4174371.7200962175"/>
    <n v="0.55664521648102161"/>
  </r>
  <r>
    <x v="12"/>
    <x v="15"/>
    <s v="96. Sustainable Rural Development"/>
    <n v="3819367.2775485548"/>
    <n v="252078.24031820465"/>
    <n v="252078.24031820465"/>
    <n v="315097.80039775581"/>
    <n v="315097.80039775581"/>
    <n v="315097.80039775581"/>
    <n v="315097.80039775581"/>
    <n v="315097.80039775581"/>
    <n v="315097.80039775581"/>
    <n v="191923.20569681487"/>
    <n v="191923.20569681487"/>
    <n v="159936.00474734572"/>
    <n v="159936.00474734572"/>
    <n v="223910.40664628401"/>
    <n v="223910.40664628401"/>
    <n v="223910.40664628401"/>
    <n v="223910.40664628401"/>
    <n v="223910.40664628401"/>
    <n v="223910.40664628401"/>
    <n v="2220962.0718944846"/>
    <n v="2220962.0718944846"/>
    <n v="0.58150000000000002"/>
  </r>
  <r>
    <x v="12"/>
    <x v="16"/>
    <s v="92. Environment and Climate Change Management"/>
    <n v="5176788.2778887544"/>
    <n v="341668.02634065785"/>
    <n v="341668.02634065785"/>
    <n v="427085.03292582225"/>
    <n v="427085.03292582225"/>
    <n v="427085.03292582225"/>
    <n v="427085.03292582225"/>
    <n v="427085.03292582225"/>
    <n v="427085.03292582225"/>
    <n v="260133.61096390989"/>
    <n v="260133.61096390989"/>
    <n v="216778.00913659157"/>
    <n v="216778.00913659157"/>
    <n v="303489.2127912282"/>
    <n v="303489.2127912282"/>
    <n v="303489.2127912282"/>
    <n v="303489.2127912282"/>
    <n v="303489.2127912282"/>
    <n v="303489.2127912282"/>
    <n v="3010302.3835923108"/>
    <n v="3010302.3835923108"/>
    <n v="0.58150000000000002"/>
  </r>
  <r>
    <x v="12"/>
    <x v="6"/>
    <s v="69. Gender Equality and Wome Empowerment"/>
    <n v="8257246.6892131176"/>
    <n v="544978.28148806584"/>
    <n v="544978.28148806584"/>
    <n v="681222.85186008224"/>
    <n v="681222.85186008224"/>
    <n v="681222.85186008224"/>
    <n v="681222.85186008224"/>
    <n v="681222.85186008224"/>
    <n v="681222.85186008224"/>
    <n v="414926.64613295929"/>
    <n v="414926.64613295929"/>
    <n v="345772.2051107994"/>
    <n v="345772.2051107994"/>
    <n v="484081.08715511911"/>
    <n v="484081.08715511911"/>
    <n v="484081.08715511911"/>
    <n v="484081.08715511911"/>
    <n v="484081.08715511911"/>
    <n v="484081.08715511911"/>
    <n v="4801588.949777429"/>
    <n v="4801588.949777429"/>
    <n v="0.58150000000000013"/>
  </r>
  <r>
    <x v="12"/>
    <x v="7"/>
    <s v="20. Management and Administration"/>
    <n v="127456615.32313298"/>
    <n v="8420016.4900583122"/>
    <n v="8420016.4900583122"/>
    <n v="10525020.61257289"/>
    <n v="10525020.61257289"/>
    <n v="10525020.61257289"/>
    <n v="10525020.61257289"/>
    <n v="10525020.61257289"/>
    <n v="10525020.61257289"/>
    <n v="6604104.3880062895"/>
    <n v="6604104.3880062895"/>
    <n v="5370388.3106127484"/>
    <n v="5370388.3106127484"/>
    <n v="7351394.7555790385"/>
    <n v="7351394.7555790385"/>
    <n v="7434969.2335756188"/>
    <n v="7434969.2335756188"/>
    <n v="7434969.2335756188"/>
    <n v="7434969.2335756188"/>
    <n v="74190904.249126315"/>
    <n v="74190904.249126315"/>
    <n v="0.58208751315916119"/>
  </r>
  <r>
    <x v="12"/>
    <x v="17"/>
    <s v="65. Primary Health Care"/>
    <n v="397075012.23577017"/>
    <n v="32758688.509451039"/>
    <n v="32758688.509451039"/>
    <n v="32758688.509451039"/>
    <n v="32758688.509451039"/>
    <n v="32758688.509451039"/>
    <n v="32758688.509451039"/>
    <n v="32758688.509451039"/>
    <n v="32758688.509451039"/>
    <n v="34413167.712195851"/>
    <n v="34413167.712195851"/>
    <n v="33089584.350000001"/>
    <n v="33089584.350000001"/>
    <n v="33089584.350000001"/>
    <n v="33089584.350000001"/>
    <n v="33089584.149999999"/>
    <n v="33089584.149999999"/>
    <n v="33089584.350000001"/>
    <n v="33089584.350000001"/>
    <n v="297806258.94999999"/>
    <n v="297806258.94999999"/>
    <n v="0.74999999942875373"/>
  </r>
  <r>
    <x v="12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2"/>
    <x v="8"/>
    <s v="60. Local Development"/>
    <n v="11415625.887323946"/>
    <n v="0"/>
    <n v="0"/>
    <n v="751704.92883579014"/>
    <n v="751704.92883579014"/>
    <n v="0"/>
    <n v="0"/>
    <n v="0"/>
    <n v="0"/>
    <n v="5331960.4792440776"/>
    <n v="5331960.4792440776"/>
    <n v="0"/>
    <n v="0"/>
    <n v="0"/>
    <n v="0"/>
    <n v="5331960.4792440776"/>
    <n v="5331960.4792440776"/>
    <n v="0"/>
    <n v="0"/>
    <n v="11415625.887323946"/>
    <n v="11415625.887323946"/>
    <n v="1"/>
  </r>
  <r>
    <x v="12"/>
    <x v="19"/>
    <s v="76. Immigration Services"/>
    <n v="9669847.1730263494"/>
    <n v="638209.91341973911"/>
    <n v="638209.91341973911"/>
    <n v="797762.39177467383"/>
    <n v="797762.39177467383"/>
    <n v="797762.39177467383"/>
    <n v="797762.39177467383"/>
    <n v="797762.39177467383"/>
    <n v="797762.39177467383"/>
    <n v="485909.820444574"/>
    <n v="485909.820444574"/>
    <n v="404924.85037047835"/>
    <n v="404924.85037047835"/>
    <n v="566894.79051866964"/>
    <n v="566894.79051866964"/>
    <n v="566894.79051866964"/>
    <n v="566894.79051866964"/>
    <n v="566894.79051866964"/>
    <n v="566894.79051866964"/>
    <n v="5623016.1311148219"/>
    <n v="5623016.1311148219"/>
    <n v="0.58150000000000002"/>
  </r>
  <r>
    <x v="12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12"/>
    <x v="21"/>
    <s v="18. Labour Employment and Manpower Development"/>
    <n v="6565088.3711538436"/>
    <n v="433295.83249615366"/>
    <n v="433295.83249615366"/>
    <n v="541619.79062019207"/>
    <n v="541619.79062019207"/>
    <n v="541619.79062019207"/>
    <n v="541619.79062019207"/>
    <n v="541619.79062019207"/>
    <n v="541619.79062019207"/>
    <n v="329895.69065048062"/>
    <n v="329895.69065048062"/>
    <n v="274913.07554206718"/>
    <n v="274913.07554206718"/>
    <n v="384878.30575889401"/>
    <n v="384878.30575889401"/>
    <n v="384878.30575889401"/>
    <n v="384878.30575889401"/>
    <n v="384878.30575889401"/>
    <n v="384878.30575889401"/>
    <n v="3817598.8878259594"/>
    <n v="3817598.8878259594"/>
    <n v="0.58149999999999991"/>
  </r>
  <r>
    <x v="12"/>
    <x v="22"/>
    <s v="15. Security Services"/>
    <n v="10130369.523859976"/>
    <n v="668604.38857475854"/>
    <n v="668604.38857475854"/>
    <n v="835755.48571844806"/>
    <n v="835755.48571844806"/>
    <n v="835755.48571844806"/>
    <n v="835755.48571844806"/>
    <n v="835755.48571844806"/>
    <n v="835755.48571844806"/>
    <n v="509051.06857396371"/>
    <n v="509051.06857396371"/>
    <n v="424209.22381163645"/>
    <n v="424209.22381163645"/>
    <n v="593892.91333629098"/>
    <n v="593892.91333629098"/>
    <n v="593892.91333629098"/>
    <n v="593892.91333629098"/>
    <n v="593892.91333629098"/>
    <n v="593892.91333629098"/>
    <n v="5890809.8781245761"/>
    <n v="5890809.8781245761"/>
    <n v="0.58150000000000002"/>
  </r>
  <r>
    <x v="12"/>
    <x v="9"/>
    <s v="95. Sports and Culture"/>
    <n v="6371823.7532031825"/>
    <n v="420540.36771141004"/>
    <n v="420540.36771141004"/>
    <n v="525675.45963926252"/>
    <n v="525675.45963926252"/>
    <n v="525675.45963926252"/>
    <n v="525675.45963926252"/>
    <n v="525675.45963926252"/>
    <n v="525675.45963926252"/>
    <n v="320184.14359845995"/>
    <n v="320184.14359845995"/>
    <n v="266820.1196653833"/>
    <n v="266820.1196653833"/>
    <n v="373548.1675315366"/>
    <n v="373548.1675315366"/>
    <n v="373548.1675315366"/>
    <n v="373548.1675315366"/>
    <n v="373548.1675315366"/>
    <n v="373548.1675315366"/>
    <n v="3705215.5124876504"/>
    <n v="3705215.5124876504"/>
    <n v="0.58150000000000002"/>
  </r>
  <r>
    <x v="12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12"/>
    <x v="23"/>
    <s v="04. Water Resources Development Management and Supply"/>
    <n v="5940301.0640891325"/>
    <n v="392059.87022988277"/>
    <n v="392059.87022988277"/>
    <n v="490074.83778735343"/>
    <n v="490074.83778735343"/>
    <n v="490074.83778735343"/>
    <n v="490074.83778735343"/>
    <n v="490074.83778735343"/>
    <n v="490074.83778735343"/>
    <n v="298500.12847047887"/>
    <n v="298500.12847047887"/>
    <n v="248750.10705873242"/>
    <n v="248750.10705873242"/>
    <n v="348250.14988222538"/>
    <n v="348250.14988222538"/>
    <n v="348250.14988222538"/>
    <n v="348250.14988222538"/>
    <n v="348250.14988222538"/>
    <n v="348250.14988222538"/>
    <n v="3454285.0687678303"/>
    <n v="3454285.0687678303"/>
    <n v="0.58149999999999991"/>
  </r>
  <r>
    <x v="12"/>
    <x v="10"/>
    <s v="83. Youth Development"/>
    <n v="6690414.9408633402"/>
    <n v="441567.38609698054"/>
    <n v="441567.38609698054"/>
    <n v="551959.23262122564"/>
    <n v="551959.23262122564"/>
    <n v="551959.23262122564"/>
    <n v="551959.23262122564"/>
    <n v="551959.23262122564"/>
    <n v="551959.23262122564"/>
    <n v="336193.3507783828"/>
    <n v="336193.3507783828"/>
    <n v="280161.12564865232"/>
    <n v="280161.12564865232"/>
    <n v="392225.57590811321"/>
    <n v="392225.57590811321"/>
    <n v="392225.57590811321"/>
    <n v="392225.57590811321"/>
    <n v="392225.57590811321"/>
    <n v="392225.57590811321"/>
    <n v="3890476.2881120318"/>
    <n v="3890476.2881120318"/>
    <n v="0.58149999999999991"/>
  </r>
  <r>
    <x v="13"/>
    <x v="12"/>
    <s v="49. Agricultural Productivity and Risk Management"/>
    <n v="48168876"/>
    <n v="4235145.8427697551"/>
    <n v="4235145.8427697551"/>
    <n v="5293932.3034621933"/>
    <n v="5293932.3034621933"/>
    <n v="5293932.3034621933"/>
    <n v="5293932.3034621933"/>
    <n v="5293932.3034621933"/>
    <n v="5293932.3034621933"/>
    <n v="3374143.3482689038"/>
    <n v="3374143.3482689038"/>
    <n v="3374143.3482689038"/>
    <n v="3374143.3482689038"/>
    <n v="3374143.3482689038"/>
    <n v="3374143.3482689038"/>
    <n v="3374143.3482689038"/>
    <n v="3374143.3482689038"/>
    <n v="3374143.3482689038"/>
    <n v="3374143.3482689038"/>
    <n v="36987659.494500853"/>
    <n v="36987659.494500853"/>
    <n v="0.76787466443063468"/>
  </r>
  <r>
    <x v="13"/>
    <x v="12"/>
    <s v="49. Agricultural Productivity and Risk Management"/>
    <n v="16000000"/>
    <n v="0"/>
    <n v="0"/>
    <n v="0"/>
    <n v="0"/>
    <n v="0"/>
    <n v="0"/>
    <n v="0"/>
    <n v="0"/>
    <n v="8000000"/>
    <n v="8000000"/>
    <n v="8000000"/>
    <n v="8000000"/>
    <n v="0"/>
    <n v="0"/>
    <n v="0"/>
    <n v="0"/>
    <n v="0"/>
    <n v="0"/>
    <n v="16000000"/>
    <n v="16000000"/>
    <n v="1"/>
  </r>
  <r>
    <x v="13"/>
    <x v="0"/>
    <s v="60. Local Development"/>
    <n v="84000000"/>
    <n v="0"/>
    <n v="0"/>
    <n v="16800000"/>
    <n v="16800000"/>
    <n v="0"/>
    <n v="0"/>
    <n v="0"/>
    <n v="0"/>
    <n v="0"/>
    <n v="0"/>
    <n v="25200000"/>
    <n v="25200000"/>
    <n v="0"/>
    <n v="0"/>
    <n v="25200000"/>
    <n v="25200000"/>
    <n v="16800000"/>
    <n v="16800000"/>
    <n v="84000000"/>
    <n v="84000000"/>
    <n v="1"/>
  </r>
  <r>
    <x v="13"/>
    <x v="1"/>
    <s v="60. Local Development"/>
    <n v="209999999.99999997"/>
    <n v="0"/>
    <n v="0"/>
    <n v="57750000"/>
    <n v="57750000"/>
    <n v="0"/>
    <n v="0"/>
    <n v="0"/>
    <n v="0"/>
    <n v="0"/>
    <n v="0"/>
    <n v="50749999.999999993"/>
    <n v="50749999.999999993"/>
    <n v="0"/>
    <n v="0"/>
    <n v="50749999.999999993"/>
    <n v="50749999.999999993"/>
    <n v="50749999.999999993"/>
    <n v="50749999.999999993"/>
    <n v="209999999.99999997"/>
    <n v="209999999.99999997"/>
    <n v="1"/>
  </r>
  <r>
    <x v="13"/>
    <x v="3"/>
    <s v="70. Community Development"/>
    <n v="8843640.5115986671"/>
    <n v="583680.27376551216"/>
    <n v="583680.27376551216"/>
    <n v="729600.34220689011"/>
    <n v="729600.34220689011"/>
    <n v="729600.34220689011"/>
    <n v="729600.34220689011"/>
    <n v="729600.34220689011"/>
    <n v="729600.34220689011"/>
    <n v="444392.93570783309"/>
    <n v="444392.93570783309"/>
    <n v="370327.44642319425"/>
    <n v="370327.44642319425"/>
    <n v="518458.42499247193"/>
    <n v="518458.42499247193"/>
    <n v="518458.42499247193"/>
    <n v="518458.42499247193"/>
    <n v="518458.42499247193"/>
    <n v="518458.42499247193"/>
    <n v="5142576.9574946258"/>
    <n v="5142576.9574946258"/>
    <n v="0.58150000000000013"/>
  </r>
  <r>
    <x v="13"/>
    <x v="13"/>
    <s v="60. Local Development"/>
    <n v="130705096"/>
    <n v="0"/>
    <n v="0"/>
    <n v="10456407.678808993"/>
    <n v="10456407.678808993"/>
    <n v="0"/>
    <n v="0"/>
    <n v="0"/>
    <n v="0"/>
    <n v="30062172.080297753"/>
    <n v="30062172.080297753"/>
    <n v="0"/>
    <n v="0"/>
    <n v="0"/>
    <n v="0"/>
    <n v="45093258.12044663"/>
    <n v="45093258.12044663"/>
    <n v="0"/>
    <n v="0"/>
    <n v="85611837.879553378"/>
    <n v="85611837.879553378"/>
    <n v="0.65499999999658298"/>
  </r>
  <r>
    <x v="13"/>
    <x v="14"/>
    <s v="Disaster Risk Management"/>
    <n v="18142857"/>
    <n v="0"/>
    <n v="0"/>
    <n v="0"/>
    <n v="0"/>
    <n v="0"/>
    <n v="0"/>
    <n v="0"/>
    <n v="0"/>
    <n v="1360714.2857142857"/>
    <n v="1360714.2857142857"/>
    <n v="1133928.5714285714"/>
    <n v="1133928.5714285714"/>
    <n v="1587499.9999999998"/>
    <n v="1587499.9999999998"/>
    <n v="1587499.9999999998"/>
    <n v="1587499.9999999998"/>
    <n v="1587499.9999999998"/>
    <n v="1587499.9999999998"/>
    <n v="7257142.8571428563"/>
    <n v="7257142.8571428563"/>
    <n v="0.40000000314960626"/>
  </r>
  <r>
    <x v="13"/>
    <x v="4"/>
    <s v="23. Basic Education"/>
    <n v="172084393.81"/>
    <n v="13432454.039999999"/>
    <n v="13432454.039999999"/>
    <n v="22102987.390000001"/>
    <n v="22102987.390000001"/>
    <n v="14048820.449999999"/>
    <n v="14048820.449999999"/>
    <n v="13719483.100537907"/>
    <n v="13719483.100537907"/>
    <n v="33799378.012096584"/>
    <n v="33799378.012096584"/>
    <n v="34699599.717365533"/>
    <n v="34699599.717365533"/>
    <n v="10906068.841666667"/>
    <n v="10906068.841666667"/>
    <n v="5274653.7850000001"/>
    <n v="5274653.7850000001"/>
    <n v="9757820.4516666662"/>
    <n v="9757820.4516666662"/>
    <n v="157741265.78833336"/>
    <n v="157741265.78833336"/>
    <n v="0.91665061715298235"/>
  </r>
  <r>
    <x v="13"/>
    <x v="4"/>
    <s v="23. Basic Education"/>
    <n v="190977089"/>
    <n v="0"/>
    <n v="0"/>
    <n v="26869272.25"/>
    <n v="26869272.25"/>
    <n v="26869272.25"/>
    <n v="26869272.25"/>
    <n v="0"/>
    <n v="0"/>
    <n v="51464454.1875"/>
    <n v="51464454.1875"/>
    <n v="34309636.125"/>
    <n v="34309636.125"/>
    <n v="51464454.1875"/>
    <n v="51464454.1875"/>
    <n v="0"/>
    <n v="0"/>
    <n v="0"/>
    <n v="0"/>
    <n v="190977089"/>
    <n v="190977089"/>
    <n v="1"/>
  </r>
  <r>
    <x v="13"/>
    <x v="4"/>
    <s v="23. Basic Education"/>
    <n v="50400000"/>
    <n v="0"/>
    <n v="0"/>
    <n v="12900000"/>
    <n v="12900000"/>
    <n v="6500000"/>
    <n v="6500000"/>
    <n v="0"/>
    <n v="0"/>
    <n v="11625000"/>
    <n v="11625000"/>
    <n v="7750000"/>
    <n v="7750000"/>
    <n v="11625000"/>
    <n v="11625000"/>
    <n v="0"/>
    <n v="0"/>
    <n v="0"/>
    <n v="0"/>
    <n v="50400000"/>
    <n v="50400000"/>
    <n v="1"/>
  </r>
  <r>
    <x v="13"/>
    <x v="5"/>
    <s v="92. Environment and Climate Change Management"/>
    <n v="4336745"/>
    <n v="251914.58847498187"/>
    <n v="251914.58847498187"/>
    <n v="314893.23559372732"/>
    <n v="314893.23559372732"/>
    <n v="314893.23559372732"/>
    <n v="314893.23559372732"/>
    <n v="314893.23559372732"/>
    <n v="314893.23559372732"/>
    <n v="234146.60355775742"/>
    <n v="234146.60355775742"/>
    <n v="195122.16963146452"/>
    <n v="195122.16963146452"/>
    <n v="241823.17794921115"/>
    <n v="241823.17794921115"/>
    <n v="273171.03748405032"/>
    <n v="273171.03748405032"/>
    <n v="273171.03748405032"/>
    <n v="273171.03748405032"/>
    <n v="2414028.321362698"/>
    <n v="2414028.321362698"/>
    <n v="0.55664520772208137"/>
  </r>
  <r>
    <x v="13"/>
    <x v="15"/>
    <s v="96. Sustainable Rural Development"/>
    <n v="4617088.0876949253"/>
    <n v="304727.8137878651"/>
    <n v="304727.8137878651"/>
    <n v="380909.76723483135"/>
    <n v="380909.76723483135"/>
    <n v="380909.76723483135"/>
    <n v="380909.76723483135"/>
    <n v="380909.76723483135"/>
    <n v="380909.76723483135"/>
    <n v="232008.67640666998"/>
    <n v="232008.67640666998"/>
    <n v="193340.56367222499"/>
    <n v="193340.56367222499"/>
    <n v="270676.78914111498"/>
    <n v="270676.78914111498"/>
    <n v="270676.78914111498"/>
    <n v="270676.78914111498"/>
    <n v="270676.78914111498"/>
    <n v="270676.78914111498"/>
    <n v="2684836.722994599"/>
    <n v="2684836.722994599"/>
    <n v="0.58150000000000002"/>
  </r>
  <r>
    <x v="13"/>
    <x v="16"/>
    <s v="92. Environment and Climate Change Management"/>
    <n v="3860251.5168930986"/>
    <n v="254776.60011494454"/>
    <n v="254776.60011494454"/>
    <n v="318470.75014368066"/>
    <n v="318470.75014368066"/>
    <n v="318470.75014368066"/>
    <n v="318470.75014368066"/>
    <n v="318470.75014368066"/>
    <n v="318470.75014368066"/>
    <n v="193977.63872387822"/>
    <n v="193977.63872387822"/>
    <n v="161648.03226989851"/>
    <n v="161648.03226989851"/>
    <n v="226307.2451778579"/>
    <n v="226307.2451778579"/>
    <n v="226307.2451778579"/>
    <n v="226307.2451778579"/>
    <n v="226307.2451778579"/>
    <n v="226307.2451778579"/>
    <n v="2244736.2570733372"/>
    <n v="2244736.2570733372"/>
    <n v="0.58150000000000013"/>
  </r>
  <r>
    <x v="13"/>
    <x v="6"/>
    <s v="69. Gender Equality and Wome Empowerment"/>
    <n v="8843640.5115986671"/>
    <n v="583680.27376551216"/>
    <n v="583680.27376551216"/>
    <n v="729600.34220689011"/>
    <n v="729600.34220689011"/>
    <n v="729600.34220689011"/>
    <n v="729600.34220689011"/>
    <n v="729600.34220689011"/>
    <n v="729600.34220689011"/>
    <n v="444392.93570783309"/>
    <n v="444392.93570783309"/>
    <n v="370327.44642319425"/>
    <n v="370327.44642319425"/>
    <n v="518458.42499247193"/>
    <n v="518458.42499247193"/>
    <n v="518458.42499247193"/>
    <n v="518458.42499247193"/>
    <n v="518458.42499247193"/>
    <n v="518458.42499247193"/>
    <n v="5142576.9574946258"/>
    <n v="5142576.9574946258"/>
    <n v="0.58150000000000013"/>
  </r>
  <r>
    <x v="13"/>
    <x v="7"/>
    <s v="20. Management and Administration"/>
    <n v="106643535.0828632"/>
    <n v="7045066.4461732879"/>
    <n v="7045066.4461732879"/>
    <n v="8806333.0577166099"/>
    <n v="8806333.0577166099"/>
    <n v="8806333.0577166099"/>
    <n v="8806333.0577166099"/>
    <n v="8806333.0577166099"/>
    <n v="8806333.0577166099"/>
    <n v="5525684.4551199563"/>
    <n v="5525684.4551199563"/>
    <n v="4493428.5502518211"/>
    <n v="4493428.5502518211"/>
    <n v="6220872.8851826247"/>
    <n v="6220872.8851826247"/>
    <n v="6220872.8851826247"/>
    <n v="6220872.8851826247"/>
    <n v="6220872.8851826247"/>
    <n v="6220872.8851826247"/>
    <n v="62145797.280242763"/>
    <n v="62145797.280242763"/>
    <n v="0.58274322238056719"/>
  </r>
  <r>
    <x v="13"/>
    <x v="17"/>
    <s v="65. Primary Health Care"/>
    <n v="347015009.53974646"/>
    <n v="28628738.287029084"/>
    <n v="28628738.287029084"/>
    <n v="28628738.287029084"/>
    <n v="28628738.287029084"/>
    <n v="28628738.287029084"/>
    <n v="28628738.287029084"/>
    <n v="28628738.287029084"/>
    <n v="28628738.287029084"/>
    <n v="30074634.351883665"/>
    <n v="30074634.351883665"/>
    <n v="28917917.5"/>
    <n v="28917917.5"/>
    <n v="28917917.5"/>
    <n v="28917917.5"/>
    <n v="28917917.5"/>
    <n v="28917917.5"/>
    <n v="28917917.5"/>
    <n v="28917917.5"/>
    <n v="260261257.5"/>
    <n v="260261257.5"/>
    <n v="0.75000000099474129"/>
  </r>
  <r>
    <x v="13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3"/>
    <x v="19"/>
    <s v="76. Immigration Services"/>
    <n v="8615870.6825547982"/>
    <n v="568647.46504861675"/>
    <n v="568647.46504861675"/>
    <n v="710809.33131077094"/>
    <n v="710809.33131077094"/>
    <n v="710809.33131077094"/>
    <n v="710809.33131077094"/>
    <n v="710809.33131077094"/>
    <n v="710809.33131077094"/>
    <n v="432947.50179837859"/>
    <n v="432947.50179837859"/>
    <n v="360789.58483198215"/>
    <n v="360789.58483198215"/>
    <n v="505105.41876477498"/>
    <n v="505105.41876477498"/>
    <n v="505105.41876477498"/>
    <n v="505105.41876477498"/>
    <n v="505105.41876477498"/>
    <n v="505105.41876477498"/>
    <n v="5010128.8019056153"/>
    <n v="5010128.8019056153"/>
    <n v="0.58150000000000002"/>
  </r>
  <r>
    <x v="13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13"/>
    <x v="21"/>
    <s v="18. Labour Employment and Manpower Development"/>
    <n v="7094565.5711538428"/>
    <n v="468241.32769615366"/>
    <n v="468241.32769615366"/>
    <n v="585301.65962019202"/>
    <n v="585301.65962019202"/>
    <n v="585301.65962019202"/>
    <n v="585301.65962019202"/>
    <n v="585301.65962019202"/>
    <n v="585301.65962019202"/>
    <n v="356501.91995048057"/>
    <n v="356501.91995048057"/>
    <n v="297084.93329206714"/>
    <n v="297084.93329206714"/>
    <n v="415918.906608894"/>
    <n v="415918.906608894"/>
    <n v="415918.906608894"/>
    <n v="415918.906608894"/>
    <n v="415918.906608894"/>
    <n v="415918.906608894"/>
    <n v="4125489.8796259593"/>
    <n v="4125489.8796259593"/>
    <n v="0.58149999999999991"/>
  </r>
  <r>
    <x v="13"/>
    <x v="22"/>
    <s v="15. Security Services"/>
    <n v="9201439.4880805071"/>
    <n v="607295.00621331355"/>
    <n v="607295.00621331355"/>
    <n v="759118.75776664191"/>
    <n v="759118.75776664191"/>
    <n v="759118.75776664191"/>
    <n v="759118.75776664191"/>
    <n v="759118.75776664191"/>
    <n v="759118.75776664191"/>
    <n v="462372.33427604544"/>
    <n v="462372.33427604544"/>
    <n v="385310.27856337122"/>
    <n v="385310.27856337122"/>
    <n v="539434.38998871972"/>
    <n v="539434.38998871972"/>
    <n v="539434.38998871972"/>
    <n v="539434.38998871972"/>
    <n v="539434.38998871972"/>
    <n v="539434.38998871972"/>
    <n v="5350637.0623188149"/>
    <n v="5350637.0623188149"/>
    <n v="0.58150000000000002"/>
  </r>
  <r>
    <x v="13"/>
    <x v="9"/>
    <s v="95. Sports and Culture"/>
    <n v="5917601.3300194787"/>
    <n v="390561.68778128567"/>
    <n v="390561.68778128567"/>
    <n v="488202.10972660704"/>
    <n v="488202.10972660704"/>
    <n v="488202.10972660704"/>
    <n v="488202.10972660704"/>
    <n v="488202.10972660704"/>
    <n v="488202.10972660704"/>
    <n v="297359.46683347883"/>
    <n v="297359.46683347883"/>
    <n v="247799.5556945657"/>
    <n v="247799.5556945657"/>
    <n v="346919.37797239196"/>
    <n v="346919.37797239196"/>
    <n v="346919.37797239196"/>
    <n v="346919.37797239196"/>
    <n v="346919.37797239196"/>
    <n v="346919.37797239196"/>
    <n v="3441085.1734063267"/>
    <n v="3441085.1734063267"/>
    <n v="0.58150000000000002"/>
  </r>
  <r>
    <x v="13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13"/>
    <x v="23"/>
    <s v="04. Water Resources Development Management and Supply"/>
    <n v="4455225.798066834"/>
    <n v="294044.90267241106"/>
    <n v="294044.90267241106"/>
    <n v="367556.12834051379"/>
    <n v="367556.12834051379"/>
    <n v="367556.12834051379"/>
    <n v="367556.12834051379"/>
    <n v="367556.12834051379"/>
    <n v="367556.12834051379"/>
    <n v="223875.09635285841"/>
    <n v="223875.09635285841"/>
    <n v="186562.58029404868"/>
    <n v="186562.58029404868"/>
    <n v="261187.61241166812"/>
    <n v="261187.61241166812"/>
    <n v="261187.61241166812"/>
    <n v="261187.61241166812"/>
    <n v="261187.61241166812"/>
    <n v="261187.61241166812"/>
    <n v="2590713.8015758642"/>
    <n v="2590713.8015758642"/>
    <n v="0.58150000000000002"/>
  </r>
  <r>
    <x v="13"/>
    <x v="10"/>
    <s v="83. Youth Development"/>
    <n v="6213481.3965204507"/>
    <n v="410089.77217034978"/>
    <n v="410089.77217034978"/>
    <n v="512612.21521293721"/>
    <n v="512612.21521293721"/>
    <n v="512612.21521293721"/>
    <n v="512612.21521293721"/>
    <n v="512612.21521293721"/>
    <n v="512612.21521293721"/>
    <n v="312227.44017515262"/>
    <n v="312227.44017515262"/>
    <n v="260189.53347929387"/>
    <n v="260189.53347929387"/>
    <n v="364265.34687101137"/>
    <n v="364265.34687101137"/>
    <n v="364265.34687101137"/>
    <n v="364265.34687101137"/>
    <n v="364265.34687101137"/>
    <n v="364265.34687101137"/>
    <n v="3613139.4320766423"/>
    <n v="3613139.4320766423"/>
    <n v="0.58150000000000002"/>
  </r>
  <r>
    <x v="14"/>
    <x v="12"/>
    <s v="49. Agricultural Productivity and Risk Management"/>
    <n v="41167334"/>
    <n v="3650695.5538384984"/>
    <n v="3650695.5538384984"/>
    <n v="4563369.4422981227"/>
    <n v="4563369.4422981227"/>
    <n v="4563369.4422981227"/>
    <n v="4563369.4422981227"/>
    <n v="4563369.4422981227"/>
    <n v="4563369.4422981227"/>
    <n v="2864232.0288509391"/>
    <n v="2864232.0288509391"/>
    <n v="2864232.0288509391"/>
    <n v="2864232.0288509391"/>
    <n v="2864232.0288509391"/>
    <n v="2864232.0288509391"/>
    <n v="2864232.0288509391"/>
    <n v="2864232.0288509391"/>
    <n v="2864232.0288509391"/>
    <n v="2864232.0288509391"/>
    <n v="31661964.02498756"/>
    <n v="31661964.02498756"/>
    <n v="0.76910406743821591"/>
  </r>
  <r>
    <x v="14"/>
    <x v="12"/>
    <s v="49. Agricultural Productivity and Risk Management"/>
    <n v="14146235"/>
    <n v="0"/>
    <n v="0"/>
    <n v="0"/>
    <n v="0"/>
    <n v="0"/>
    <n v="0"/>
    <n v="0"/>
    <n v="0"/>
    <n v="7073117.5"/>
    <n v="7073117.5"/>
    <n v="7073117.5"/>
    <n v="7073117.5"/>
    <n v="0"/>
    <n v="0"/>
    <n v="0"/>
    <n v="0"/>
    <n v="0"/>
    <n v="0"/>
    <n v="14146235"/>
    <n v="14146235"/>
    <n v="1"/>
  </r>
  <r>
    <x v="14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14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14"/>
    <x v="3"/>
    <s v="70. Community Development"/>
    <n v="6650151.224864806"/>
    <n v="438909.98084107722"/>
    <n v="438909.98084107722"/>
    <n v="548637.47605134652"/>
    <n v="548637.47605134652"/>
    <n v="548637.47605134652"/>
    <n v="548637.47605134652"/>
    <n v="548637.47605134652"/>
    <n v="548637.47605134652"/>
    <n v="334170.09904945653"/>
    <n v="334170.09904945653"/>
    <n v="278475.08254121378"/>
    <n v="278475.08254121378"/>
    <n v="389865.11555769929"/>
    <n v="389865.11555769929"/>
    <n v="389865.11555769929"/>
    <n v="389865.11555769929"/>
    <n v="389865.11555769929"/>
    <n v="389865.11555769929"/>
    <n v="3867062.9372588848"/>
    <n v="3867062.9372588848"/>
    <n v="0.58150000000000002"/>
  </r>
  <r>
    <x v="14"/>
    <x v="13"/>
    <s v="60. Local Development"/>
    <n v="91481905"/>
    <n v="0"/>
    <n v="0"/>
    <n v="7318552.3991664015"/>
    <n v="7318552.3991664015"/>
    <n v="0"/>
    <n v="0"/>
    <n v="0"/>
    <n v="0"/>
    <n v="21040838.150208399"/>
    <n v="21040838.150208399"/>
    <n v="0"/>
    <n v="0"/>
    <n v="0"/>
    <n v="0"/>
    <n v="31561257.225312598"/>
    <n v="31561257.225312598"/>
    <n v="0"/>
    <n v="0"/>
    <n v="59920647.774687394"/>
    <n v="59920647.774687394"/>
    <n v="0.65499999999658287"/>
  </r>
  <r>
    <x v="14"/>
    <x v="14"/>
    <s v="Disaster Risk Management"/>
    <n v="50642857"/>
    <n v="14079999.999120001"/>
    <n v="14079999.999120001"/>
    <n v="0"/>
    <n v="0"/>
    <n v="0"/>
    <n v="0"/>
    <n v="0"/>
    <n v="0"/>
    <n v="2478214.2857967857"/>
    <n v="2478214.2857967857"/>
    <n v="2065178.5714973214"/>
    <n v="2065178.5714973214"/>
    <n v="2891250.0000962499"/>
    <n v="2891250.0000962499"/>
    <n v="2891250.0000962499"/>
    <n v="2891250.0000962499"/>
    <n v="2891250.0000962499"/>
    <n v="2891250.0000962499"/>
    <n v="27297142.856702857"/>
    <n v="27297142.856702857"/>
    <n v="0.53901269544691877"/>
  </r>
  <r>
    <x v="14"/>
    <x v="4"/>
    <s v="23. Basic Education"/>
    <n v="77055615.000000015"/>
    <n v="6118067.9166666996"/>
    <n v="6118067.9166666996"/>
    <n v="6912664.4350689445"/>
    <n v="6912664.4350689445"/>
    <n v="5703102.0833333302"/>
    <n v="5703102.0833333302"/>
    <n v="5862202.75"/>
    <n v="5862202.75"/>
    <n v="9399825.7361982688"/>
    <n v="9399825.7361982688"/>
    <n v="19158830.578732759"/>
    <n v="19158830.578732759"/>
    <n v="9140462.416666666"/>
    <n v="9140462.416666666"/>
    <n v="5748849.916666667"/>
    <n v="5748849.916666667"/>
    <n v="1494753.9166666665"/>
    <n v="1494753.9166666665"/>
    <n v="69538759.75"/>
    <n v="69538759.75"/>
    <n v="0.90244896170123345"/>
  </r>
  <r>
    <x v="14"/>
    <x v="4"/>
    <s v="23. Basic Education"/>
    <n v="30242862"/>
    <n v="10121431"/>
    <n v="10121431"/>
    <n v="10121431"/>
    <n v="10121431"/>
    <n v="0"/>
    <n v="0"/>
    <n v="0"/>
    <n v="0"/>
    <n v="3750000"/>
    <n v="3750000"/>
    <n v="2500000"/>
    <n v="2500000"/>
    <n v="3750000"/>
    <n v="3750000"/>
    <n v="0"/>
    <n v="0"/>
    <n v="0"/>
    <n v="0"/>
    <n v="30242862"/>
    <n v="30242862"/>
    <n v="1"/>
  </r>
  <r>
    <x v="14"/>
    <x v="4"/>
    <s v="23. Basic Education"/>
    <n v="166188730"/>
    <n v="0"/>
    <n v="0"/>
    <n v="19075523"/>
    <n v="19075523"/>
    <n v="26336356"/>
    <n v="26336356"/>
    <n v="0"/>
    <n v="0"/>
    <n v="35415185.625"/>
    <n v="35415185.625"/>
    <n v="49946479.75"/>
    <n v="49946479.75"/>
    <n v="35415185.625"/>
    <n v="35415185.625"/>
    <n v="0"/>
    <n v="0"/>
    <n v="0"/>
    <n v="0"/>
    <n v="166188730"/>
    <n v="166188730"/>
    <n v="1"/>
  </r>
  <r>
    <x v="14"/>
    <x v="5"/>
    <s v="92. Environment and Climate Change Management"/>
    <n v="6690520"/>
    <n v="388641.6299916667"/>
    <n v="388641.6299916667"/>
    <n v="485802.03748958337"/>
    <n v="485802.03748958337"/>
    <n v="485802.03748958337"/>
    <n v="485802.03748958337"/>
    <n v="485802.03748958337"/>
    <n v="485802.03748958337"/>
    <n v="361230.04314510629"/>
    <n v="361230.04314510629"/>
    <n v="301025.03595425526"/>
    <n v="301025.03595425526"/>
    <n v="373072.94267746399"/>
    <n v="373072.94267746399"/>
    <n v="421435.05033595732"/>
    <n v="421435.05033595732"/>
    <n v="421435.05033595732"/>
    <n v="421435.05033595732"/>
    <n v="3724245.8649091567"/>
    <n v="3724245.8649091567"/>
    <n v="0.55664520319932631"/>
  </r>
  <r>
    <x v="14"/>
    <x v="15"/>
    <s v="96. Sustainable Rural Development"/>
    <n v="10211019.44190781"/>
    <n v="673927.28316591552"/>
    <n v="673927.28316591552"/>
    <n v="842409.10395739437"/>
    <n v="842409.10395739437"/>
    <n v="842409.10395739437"/>
    <n v="842409.10395739437"/>
    <n v="842409.10395739437"/>
    <n v="842409.10395739437"/>
    <n v="513103.72695586743"/>
    <n v="513103.72695586743"/>
    <n v="427586.43912988954"/>
    <n v="427586.43912988954"/>
    <n v="598621.01478184527"/>
    <n v="598621.01478184527"/>
    <n v="598621.01478184527"/>
    <n v="598621.01478184527"/>
    <n v="598621.01478184527"/>
    <n v="598621.01478184527"/>
    <n v="5937707.8054693909"/>
    <n v="5937707.8054693909"/>
    <n v="0.58149999999999991"/>
  </r>
  <r>
    <x v="14"/>
    <x v="16"/>
    <s v="92. Environment and Climate Change Management"/>
    <n v="6647534.394945533"/>
    <n v="438737.27006640518"/>
    <n v="438737.27006640518"/>
    <n v="548421.58758300648"/>
    <n v="548421.58758300648"/>
    <n v="548421.58758300648"/>
    <n v="548421.58758300648"/>
    <n v="548421.58758300648"/>
    <n v="548421.58758300648"/>
    <n v="334038.603346013"/>
    <n v="334038.603346013"/>
    <n v="278365.50278834417"/>
    <n v="278365.50278834417"/>
    <n v="389711.70390368183"/>
    <n v="389711.70390368183"/>
    <n v="389711.70390368183"/>
    <n v="389711.70390368183"/>
    <n v="389711.70390368183"/>
    <n v="389711.70390368183"/>
    <n v="3865541.2506608269"/>
    <n v="3865541.2506608269"/>
    <n v="0.58149999999999991"/>
  </r>
  <r>
    <x v="14"/>
    <x v="6"/>
    <s v="69. Gender Equality and Wome Empowerment"/>
    <n v="6650151.224864806"/>
    <n v="438909.98084107722"/>
    <n v="438909.98084107722"/>
    <n v="548637.47605134652"/>
    <n v="548637.47605134652"/>
    <n v="548637.47605134652"/>
    <n v="548637.47605134652"/>
    <n v="548637.47605134652"/>
    <n v="548637.47605134652"/>
    <n v="334170.09904945653"/>
    <n v="334170.09904945653"/>
    <n v="278475.08254121378"/>
    <n v="278475.08254121378"/>
    <n v="389865.11555769929"/>
    <n v="389865.11555769929"/>
    <n v="389865.11555769929"/>
    <n v="389865.11555769929"/>
    <n v="389865.11555769929"/>
    <n v="389865.11555769929"/>
    <n v="3867062.9372588848"/>
    <n v="3867062.9372588848"/>
    <n v="0.58150000000000002"/>
  </r>
  <r>
    <x v="14"/>
    <x v="7"/>
    <s v="20. Management and Administration"/>
    <n v="67851364.098084599"/>
    <n v="4482384.8737110784"/>
    <n v="4482384.8737110784"/>
    <n v="5602981.0921388473"/>
    <n v="5602981.0921388473"/>
    <n v="5602981.0921388473"/>
    <n v="5602981.0921388473"/>
    <n v="5602981.0921388473"/>
    <n v="5602981.0921388473"/>
    <n v="3515686.4179731994"/>
    <n v="3515686.4179731994"/>
    <n v="2858919.2619596231"/>
    <n v="2858919.2619596231"/>
    <n v="3957996.2424581675"/>
    <n v="3957996.2424581675"/>
    <n v="3957996.2424581675"/>
    <n v="3957996.2424581675"/>
    <n v="3957996.2424581675"/>
    <n v="3957996.2424581675"/>
    <n v="39539922.557434946"/>
    <n v="39539922.557434946"/>
    <n v="0.58274322238056719"/>
  </r>
  <r>
    <x v="14"/>
    <x v="17"/>
    <s v="65. Primary Health Care"/>
    <n v="199372191.62053916"/>
    <n v="16448205.808694482"/>
    <n v="16448205.808694482"/>
    <n v="16448205.808694482"/>
    <n v="16448205.808694482"/>
    <n v="16448205.808694482"/>
    <n v="16448205.808694482"/>
    <n v="16448205.808694482"/>
    <n v="16448205.808694482"/>
    <n v="20346067.615222082"/>
    <n v="20346067.615222082"/>
    <n v="16564757.17"/>
    <n v="16564757.17"/>
    <n v="16009757.17"/>
    <n v="16009757.17"/>
    <n v="16914757.170000002"/>
    <n v="16914757.170000002"/>
    <n v="15854757.17"/>
    <n v="15854757.17"/>
    <n v="151482919.53000003"/>
    <n v="151482919.53000003"/>
    <n v="0.75979964055525984"/>
  </r>
  <r>
    <x v="14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4"/>
    <x v="8"/>
    <s v="60. Local Development"/>
    <n v="11415625.887323946"/>
    <n v="0"/>
    <n v="0"/>
    <n v="751704.92883579014"/>
    <n v="751704.92883579014"/>
    <n v="0"/>
    <n v="0"/>
    <n v="0"/>
    <n v="0"/>
    <n v="5331960.4792440776"/>
    <n v="5331960.4792440776"/>
    <n v="0"/>
    <n v="0"/>
    <n v="0"/>
    <n v="0"/>
    <n v="5331960.4792440776"/>
    <n v="5331960.4792440776"/>
    <n v="0"/>
    <n v="0"/>
    <n v="11415625.887323946"/>
    <n v="11415625.887323946"/>
    <n v="1"/>
  </r>
  <r>
    <x v="14"/>
    <x v="19"/>
    <s v="76. Immigration Services"/>
    <n v="6860672.531266991"/>
    <n v="452804.38706362149"/>
    <n v="452804.38706362149"/>
    <n v="566005.48382952681"/>
    <n v="566005.48382952681"/>
    <n v="566005.48382952681"/>
    <n v="566005.48382952681"/>
    <n v="566005.48382952681"/>
    <n v="566005.48382952681"/>
    <n v="344748.7946961663"/>
    <n v="344748.7946961663"/>
    <n v="287290.66224680527"/>
    <n v="287290.66224680527"/>
    <n v="402206.92714552733"/>
    <n v="402206.92714552733"/>
    <n v="402206.92714552733"/>
    <n v="402206.92714552733"/>
    <n v="402206.92714552733"/>
    <n v="402206.92714552733"/>
    <n v="3989481.0769317551"/>
    <n v="3989481.0769317551"/>
    <n v="0.58150000000000002"/>
  </r>
  <r>
    <x v="14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14"/>
    <x v="21"/>
    <s v="18. Labour Employment and Manpower Development"/>
    <n v="7979681.9711538432"/>
    <n v="526659.01009615371"/>
    <n v="526659.01009615371"/>
    <n v="658323.76262019214"/>
    <n v="658323.76262019214"/>
    <n v="658323.76262019214"/>
    <n v="658323.76262019214"/>
    <n v="658323.76262019214"/>
    <n v="658323.76262019214"/>
    <n v="400979.01905048057"/>
    <n v="400979.01905048057"/>
    <n v="334149.18254206714"/>
    <n v="334149.18254206714"/>
    <n v="467808.85555889393"/>
    <n v="467808.85555889393"/>
    <n v="467808.85555889393"/>
    <n v="467808.85555889393"/>
    <n v="467808.85555889393"/>
    <n v="467808.85555889393"/>
    <n v="4640185.066225959"/>
    <n v="4640185.066225959"/>
    <n v="0.58149999999999991"/>
  </r>
  <r>
    <x v="14"/>
    <x v="22"/>
    <s v="15. Security Services"/>
    <n v="5647093.6859779982"/>
    <n v="372708.18327454792"/>
    <n v="372708.18327454792"/>
    <n v="465885.22909318487"/>
    <n v="465885.22909318487"/>
    <n v="465885.22909318487"/>
    <n v="465885.22909318487"/>
    <n v="465885.22909318487"/>
    <n v="465885.22909318487"/>
    <n v="283766.45772039436"/>
    <n v="283766.45772039436"/>
    <n v="236472.04810032865"/>
    <n v="236472.04810032865"/>
    <n v="331060.86734046007"/>
    <n v="331060.86734046007"/>
    <n v="331060.86734046007"/>
    <n v="331060.86734046007"/>
    <n v="331060.86734046007"/>
    <n v="331060.86734046007"/>
    <n v="3283784.9783962057"/>
    <n v="3283784.9783962057"/>
    <n v="0.58149999999999991"/>
  </r>
  <r>
    <x v="14"/>
    <x v="9"/>
    <s v="95. Sports and Culture"/>
    <n v="4524966.6985654952"/>
    <n v="298647.80210532271"/>
    <n v="298647.80210532271"/>
    <n v="373309.75263165339"/>
    <n v="373309.75263165339"/>
    <n v="373309.75263165339"/>
    <n v="373309.75263165339"/>
    <n v="373309.75263165339"/>
    <n v="373309.75263165339"/>
    <n v="227379.57660291606"/>
    <n v="227379.57660291606"/>
    <n v="189482.98050243006"/>
    <n v="189482.98050243006"/>
    <n v="265276.17270340206"/>
    <n v="265276.17270340206"/>
    <n v="265276.17270340206"/>
    <n v="265276.17270340206"/>
    <n v="265276.17270340206"/>
    <n v="265276.17270340206"/>
    <n v="2631268.1352158347"/>
    <n v="2631268.1352158347"/>
    <n v="0.58149999999999979"/>
  </r>
  <r>
    <x v="14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14"/>
    <x v="23"/>
    <s v="04. Water Resources Development Management and Supply"/>
    <n v="9633295.262211876"/>
    <n v="635797.4873059839"/>
    <n v="635797.4873059839"/>
    <n v="794746.85913247976"/>
    <n v="794746.85913247976"/>
    <n v="794746.85913247976"/>
    <n v="794746.85913247976"/>
    <n v="794746.85913247976"/>
    <n v="794746.85913247976"/>
    <n v="484073.0869261467"/>
    <n v="484073.0869261467"/>
    <n v="403394.23910512228"/>
    <n v="403394.23910512228"/>
    <n v="564751.93474717112"/>
    <n v="564751.93474717112"/>
    <n v="564751.93474717112"/>
    <n v="564751.93474717112"/>
    <n v="564751.93474717112"/>
    <n v="564751.93474717112"/>
    <n v="5601761.1949762059"/>
    <n v="5601761.1949762059"/>
    <n v="0.58150000000000002"/>
  </r>
  <r>
    <x v="14"/>
    <x v="10"/>
    <s v="83. Youth Development"/>
    <n v="4751215.0334937703"/>
    <n v="313580.19221058884"/>
    <n v="313580.19221058884"/>
    <n v="391975.24026323605"/>
    <n v="391975.24026323605"/>
    <n v="391975.24026323605"/>
    <n v="391975.24026323605"/>
    <n v="391975.24026323605"/>
    <n v="391975.24026323605"/>
    <n v="238748.55543306196"/>
    <n v="238748.55543306196"/>
    <n v="198957.12952755165"/>
    <n v="198957.12952755165"/>
    <n v="278539.98133857228"/>
    <n v="278539.98133857228"/>
    <n v="278539.98133857228"/>
    <n v="278539.98133857228"/>
    <n v="278539.98133857228"/>
    <n v="278539.98133857228"/>
    <n v="2762831.541976627"/>
    <n v="2762831.541976627"/>
    <n v="0.58149999999999991"/>
  </r>
  <r>
    <x v="15"/>
    <x v="12"/>
    <s v="49. Agricultural Productivity and Risk Management"/>
    <n v="48554208"/>
    <n v="4227577.7120255642"/>
    <n v="4227577.7120255642"/>
    <n v="5284472.1400319552"/>
    <n v="5284472.1400319552"/>
    <n v="5284472.1400319552"/>
    <n v="5284472.1400319552"/>
    <n v="5284472.1400319552"/>
    <n v="5284472.1400319552"/>
    <n v="3427039.9299840219"/>
    <n v="3427039.9299840219"/>
    <n v="3427039.9299840219"/>
    <n v="3427039.9299840219"/>
    <n v="3427039.9299840219"/>
    <n v="3427039.9299840219"/>
    <n v="3427039.9299840219"/>
    <n v="3427039.9299840219"/>
    <n v="3427039.9299840219"/>
    <n v="3427039.9299840219"/>
    <n v="37216193.782041542"/>
    <n v="37216193.782041542"/>
    <n v="0.7664875057181767"/>
  </r>
  <r>
    <x v="15"/>
    <x v="12"/>
    <s v="49. Agricultural Productivity and Risk Management"/>
    <n v="15500000"/>
    <n v="0"/>
    <n v="0"/>
    <n v="0"/>
    <n v="0"/>
    <n v="0"/>
    <n v="0"/>
    <n v="0"/>
    <n v="0"/>
    <n v="7750000"/>
    <n v="7750000"/>
    <n v="7750000"/>
    <n v="7750000"/>
    <n v="0"/>
    <n v="0"/>
    <n v="0"/>
    <n v="0"/>
    <n v="0"/>
    <n v="0"/>
    <n v="15500000"/>
    <n v="15500000"/>
    <n v="1"/>
  </r>
  <r>
    <x v="15"/>
    <x v="0"/>
    <s v="60. Local Development"/>
    <n v="108000000"/>
    <n v="0"/>
    <n v="0"/>
    <n v="21600000"/>
    <n v="21600000"/>
    <n v="0"/>
    <n v="0"/>
    <n v="0"/>
    <n v="0"/>
    <n v="0"/>
    <n v="0"/>
    <n v="32400000"/>
    <n v="32400000"/>
    <n v="0"/>
    <n v="0"/>
    <n v="32400000"/>
    <n v="32400000"/>
    <n v="21600000"/>
    <n v="21600000"/>
    <n v="108000000"/>
    <n v="108000000"/>
    <n v="1"/>
  </r>
  <r>
    <x v="15"/>
    <x v="1"/>
    <s v="60. Local Development"/>
    <n v="270000000"/>
    <n v="0"/>
    <n v="0"/>
    <n v="74250000"/>
    <n v="74250000"/>
    <n v="0"/>
    <n v="0"/>
    <n v="0"/>
    <n v="0"/>
    <n v="0"/>
    <n v="0"/>
    <n v="65250000"/>
    <n v="65250000"/>
    <n v="0"/>
    <n v="0"/>
    <n v="65250000"/>
    <n v="65250000"/>
    <n v="65250000"/>
    <n v="65250000"/>
    <n v="270000000"/>
    <n v="270000000"/>
    <n v="1"/>
  </r>
  <r>
    <x v="15"/>
    <x v="3"/>
    <s v="70. Community Development"/>
    <n v="8897291.83899194"/>
    <n v="587221.26137346809"/>
    <n v="587221.26137346809"/>
    <n v="734026.57671683503"/>
    <n v="734026.57671683503"/>
    <n v="734026.57671683503"/>
    <n v="734026.57671683503"/>
    <n v="734026.57671683503"/>
    <n v="734026.57671683503"/>
    <n v="447088.9149093451"/>
    <n v="447088.9149093451"/>
    <n v="372574.09575778758"/>
    <n v="372574.09575778758"/>
    <n v="521603.73406090256"/>
    <n v="521603.73406090256"/>
    <n v="521603.73406090256"/>
    <n v="521603.73406090256"/>
    <n v="521603.73406090256"/>
    <n v="521603.73406090256"/>
    <n v="5173775.2043738132"/>
    <n v="5173775.2043738132"/>
    <n v="0.58150000000000002"/>
  </r>
  <r>
    <x v="15"/>
    <x v="13"/>
    <s v="60. Local Development"/>
    <n v="131254040"/>
    <n v="0"/>
    <n v="0"/>
    <n v="10500323.198803991"/>
    <n v="10500323.198803991"/>
    <n v="0"/>
    <n v="0"/>
    <n v="0"/>
    <n v="0"/>
    <n v="30188429.200299002"/>
    <n v="30188429.200299002"/>
    <n v="0"/>
    <n v="0"/>
    <n v="0"/>
    <n v="0"/>
    <n v="45282643.800448507"/>
    <n v="45282643.800448507"/>
    <n v="0"/>
    <n v="0"/>
    <n v="85971396.199551493"/>
    <n v="85971396.199551493"/>
    <n v="0.65499999999658287"/>
  </r>
  <r>
    <x v="15"/>
    <x v="14"/>
    <s v="Disaster Risk Management"/>
    <n v="35642857"/>
    <n v="0"/>
    <n v="0"/>
    <n v="0"/>
    <n v="0"/>
    <n v="0"/>
    <n v="0"/>
    <n v="0"/>
    <n v="0"/>
    <n v="2673214.2857142854"/>
    <n v="2673214.2857142854"/>
    <n v="2227678.5714285714"/>
    <n v="2227678.5714285714"/>
    <n v="3118749.9999999995"/>
    <n v="3118749.9999999995"/>
    <n v="3118749.9999999995"/>
    <n v="3118749.9999999995"/>
    <n v="3118749.9999999995"/>
    <n v="3118749.9999999995"/>
    <n v="14257142.857142854"/>
    <n v="14257142.857142854"/>
    <n v="0.40000000160320637"/>
  </r>
  <r>
    <x v="15"/>
    <x v="4"/>
    <s v="23. Basic Education"/>
    <n v="216074365"/>
    <n v="14277276"/>
    <n v="14277276"/>
    <n v="18504921"/>
    <n v="18504921"/>
    <n v="20569932"/>
    <n v="20569932"/>
    <n v="12994219"/>
    <n v="12994219"/>
    <n v="18000000"/>
    <n v="18000000"/>
    <n v="47491168"/>
    <n v="47491168"/>
    <n v="12994467"/>
    <n v="12994467"/>
    <n v="13812232"/>
    <n v="13812232"/>
    <n v="19054232"/>
    <n v="19054232"/>
    <n v="177698447"/>
    <n v="177698447"/>
    <n v="0.82239485928837508"/>
  </r>
  <r>
    <x v="15"/>
    <x v="4"/>
    <s v="23. Basic Education"/>
    <n v="295628996"/>
    <n v="0"/>
    <n v="0"/>
    <n v="8023333"/>
    <n v="8023333"/>
    <n v="33760282"/>
    <n v="33760282"/>
    <n v="43590682"/>
    <n v="43590682"/>
    <n v="33750000"/>
    <n v="33750000"/>
    <n v="142754699"/>
    <n v="142754699"/>
    <n v="33750000"/>
    <n v="33750000"/>
    <n v="0"/>
    <n v="0"/>
    <n v="0"/>
    <n v="0"/>
    <n v="295628996"/>
    <n v="295628996"/>
    <n v="1"/>
  </r>
  <r>
    <x v="15"/>
    <x v="4"/>
    <s v="23. Basic Education"/>
    <n v="58327300"/>
    <n v="0"/>
    <n v="0"/>
    <n v="0"/>
    <n v="0"/>
    <n v="36389473.180725455"/>
    <n v="36389473.180725455"/>
    <n v="0"/>
    <n v="0"/>
    <n v="8226685.0572279543"/>
    <n v="8226685.0572279543"/>
    <n v="5484456.7048186362"/>
    <n v="5484456.7048186362"/>
    <n v="8226685.0572279543"/>
    <n v="8226685.0572279543"/>
    <n v="0"/>
    <n v="0"/>
    <n v="0"/>
    <n v="0"/>
    <n v="58327300"/>
    <n v="58327300"/>
    <n v="1"/>
  </r>
  <r>
    <x v="15"/>
    <x v="5"/>
    <s v="92. Environment and Climate Change Management"/>
    <n v="7238584"/>
    <n v="420477.783146339"/>
    <n v="420477.783146339"/>
    <n v="525597.22893292375"/>
    <n v="525597.22893292375"/>
    <n v="525597.22893292375"/>
    <n v="525597.22893292375"/>
    <n v="525597.22893292375"/>
    <n v="525597.22893292375"/>
    <n v="390820.73567560845"/>
    <n v="390820.73567560845"/>
    <n v="325683.94639634038"/>
    <n v="325683.94639634038"/>
    <n v="403633.88430367806"/>
    <n v="403633.88430367806"/>
    <n v="455957.52495487651"/>
    <n v="455957.52495487651"/>
    <n v="455957.52495487651"/>
    <n v="455957.52495487651"/>
    <n v="4029323.0862304899"/>
    <n v="4029323.0862304899"/>
    <n v="0.55664520660815564"/>
  </r>
  <r>
    <x v="15"/>
    <x v="15"/>
    <s v="96. Sustainable Rural Development"/>
    <n v="4962338.9068766609"/>
    <n v="327514.36785385967"/>
    <n v="327514.36785385967"/>
    <n v="409392.95981732453"/>
    <n v="409392.95981732453"/>
    <n v="409392.95981732453"/>
    <n v="409392.95981732453"/>
    <n v="409392.95981732453"/>
    <n v="409392.95981732453"/>
    <n v="249357.53007055219"/>
    <n v="249357.53007055219"/>
    <n v="207797.94172546017"/>
    <n v="207797.94172546017"/>
    <n v="290917.11841564422"/>
    <n v="290917.11841564422"/>
    <n v="290917.11841564422"/>
    <n v="290917.11841564422"/>
    <n v="290917.11841564422"/>
    <n v="290917.11841564422"/>
    <n v="2885600.0743487785"/>
    <n v="2885600.0743487785"/>
    <n v="0.58150000000000002"/>
  </r>
  <r>
    <x v="15"/>
    <x v="16"/>
    <s v="92. Environment and Climate Change Management"/>
    <n v="6359225.4595848825"/>
    <n v="419708.8803326023"/>
    <n v="419708.8803326023"/>
    <n v="524636.10041575285"/>
    <n v="524636.10041575285"/>
    <n v="524636.10041575285"/>
    <n v="524636.10041575285"/>
    <n v="524636.10041575285"/>
    <n v="524636.10041575285"/>
    <n v="319551.07934414037"/>
    <n v="319551.07934414037"/>
    <n v="266292.56612011697"/>
    <n v="266292.56612011697"/>
    <n v="372809.59256816376"/>
    <n v="372809.59256816376"/>
    <n v="372809.59256816376"/>
    <n v="372809.59256816376"/>
    <n v="372809.59256816376"/>
    <n v="372809.59256816376"/>
    <n v="3697889.604748609"/>
    <n v="3697889.604748609"/>
    <n v="0.58150000000000002"/>
  </r>
  <r>
    <x v="15"/>
    <x v="6"/>
    <s v="69. Gender Equality and Wome Empowerment"/>
    <n v="8897291.83899194"/>
    <n v="587221.26137346809"/>
    <n v="587221.26137346809"/>
    <n v="734026.57671683503"/>
    <n v="734026.57671683503"/>
    <n v="734026.57671683503"/>
    <n v="734026.57671683503"/>
    <n v="734026.57671683503"/>
    <n v="734026.57671683503"/>
    <n v="447088.9149093451"/>
    <n v="447088.9149093451"/>
    <n v="372574.09575778758"/>
    <n v="372574.09575778758"/>
    <n v="521603.73406090256"/>
    <n v="521603.73406090256"/>
    <n v="521603.73406090256"/>
    <n v="521603.73406090256"/>
    <n v="521603.73406090256"/>
    <n v="521603.73406090256"/>
    <n v="5173775.2043738132"/>
    <n v="5173775.2043738132"/>
    <n v="0.58150000000000002"/>
  </r>
  <r>
    <x v="15"/>
    <x v="7"/>
    <s v="20. Management and Administration"/>
    <n v="117423700.98308355"/>
    <n v="7757223.8686444405"/>
    <n v="7757223.8686444405"/>
    <n v="9696529.8358055502"/>
    <n v="9696529.8358055502"/>
    <n v="9696529.8358055502"/>
    <n v="9696529.8358055502"/>
    <n v="9696529.8358055502"/>
    <n v="9696529.8358055502"/>
    <n v="6084253.6650788849"/>
    <n v="6084253.6650788849"/>
    <n v="4947651.1638857629"/>
    <n v="4947651.1638857629"/>
    <n v="6849715.8965695146"/>
    <n v="6849715.8965695146"/>
    <n v="6849715.8965695146"/>
    <n v="6849715.8965695146"/>
    <n v="6772720.0930232676"/>
    <n v="6772720.0930232676"/>
    <n v="68350870.091188043"/>
    <n v="68350870.091188043"/>
    <n v="0.58208751315916107"/>
  </r>
  <r>
    <x v="15"/>
    <x v="17"/>
    <s v="65. Primary Health Care"/>
    <n v="368538499.46810776"/>
    <n v="30404426.206118893"/>
    <n v="30404426.206118893"/>
    <n v="30404426.206118893"/>
    <n v="30404426.206118893"/>
    <n v="30404426.206118893"/>
    <n v="30404426.206118893"/>
    <n v="30404426.206118893"/>
    <n v="30404426.206118893"/>
    <n v="30420794.175524428"/>
    <n v="30420794.175524428"/>
    <n v="30500000"/>
    <n v="30500000"/>
    <n v="33000000"/>
    <n v="33000000"/>
    <n v="31300000"/>
    <n v="31300000"/>
    <n v="30100000"/>
    <n v="30100000"/>
    <n v="276938498.99999994"/>
    <n v="276938498.99999994"/>
    <n v="0.7514506609206113"/>
  </r>
  <r>
    <x v="15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5"/>
    <x v="19"/>
    <s v="76. Immigration Services"/>
    <n v="13810256.81519242"/>
    <n v="911476.94980269973"/>
    <n v="911476.94980269973"/>
    <n v="1139346.1872533746"/>
    <n v="1139346.1872533746"/>
    <n v="1139346.1872533746"/>
    <n v="1139346.1872533746"/>
    <n v="1139346.1872533746"/>
    <n v="1139346.1872533746"/>
    <n v="693965.40496341907"/>
    <n v="693965.40496341907"/>
    <n v="578304.5041361826"/>
    <n v="578304.5041361826"/>
    <n v="809626.30579065555"/>
    <n v="809626.30579065555"/>
    <n v="809626.30579065555"/>
    <n v="809626.30579065555"/>
    <n v="809626.30579065555"/>
    <n v="809626.30579065555"/>
    <n v="8030664.3380343914"/>
    <n v="8030664.3380343914"/>
    <n v="0.58149999999999991"/>
  </r>
  <r>
    <x v="15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15"/>
    <x v="21"/>
    <s v="18. Labour Employment and Manpower Development"/>
    <n v="9528677.6711538434"/>
    <n v="628892.72629615373"/>
    <n v="628892.72629615373"/>
    <n v="786115.90787019208"/>
    <n v="786115.90787019208"/>
    <n v="786115.90787019208"/>
    <n v="786115.90787019208"/>
    <n v="786115.90787019208"/>
    <n v="786115.90787019208"/>
    <n v="478816.05297548062"/>
    <n v="478816.05297548062"/>
    <n v="399013.37747956719"/>
    <n v="399013.37747956719"/>
    <n v="558618.72847139405"/>
    <n v="558618.72847139405"/>
    <n v="558618.72847139405"/>
    <n v="558618.72847139405"/>
    <n v="558618.72847139405"/>
    <n v="558618.72847139405"/>
    <n v="5540926.0657759598"/>
    <n v="5540926.0657759598"/>
    <n v="0.58150000000000002"/>
  </r>
  <r>
    <x v="15"/>
    <x v="22"/>
    <s v="15. Security Services"/>
    <n v="10707870.041863145"/>
    <n v="706719.42276296765"/>
    <n v="706719.42276296765"/>
    <n v="883399.27845370956"/>
    <n v="883399.27845370956"/>
    <n v="883399.27845370956"/>
    <n v="883399.27845370956"/>
    <n v="883399.27845370956"/>
    <n v="883399.27845370956"/>
    <n v="538070.46960362303"/>
    <n v="538070.46960362303"/>
    <n v="448392.05800301919"/>
    <n v="448392.05800301919"/>
    <n v="627748.88120422687"/>
    <n v="627748.88120422687"/>
    <n v="627748.88120422687"/>
    <n v="627748.88120422687"/>
    <n v="627748.88120422687"/>
    <n v="627748.88120422687"/>
    <n v="6226626.4293434191"/>
    <n v="6226626.4293434191"/>
    <n v="0.58150000000000002"/>
  </r>
  <r>
    <x v="15"/>
    <x v="9"/>
    <s v="95. Sports and Culture"/>
    <n v="6670399.4196915133"/>
    <n v="440246.36169963994"/>
    <n v="440246.36169963994"/>
    <n v="550307.95212454989"/>
    <n v="550307.95212454989"/>
    <n v="550307.95212454989"/>
    <n v="550307.95212454989"/>
    <n v="550307.95212454989"/>
    <n v="550307.95212454989"/>
    <n v="335187.57083949848"/>
    <n v="335187.57083949848"/>
    <n v="279322.97569958208"/>
    <n v="279322.97569958208"/>
    <n v="391052.16597941489"/>
    <n v="391052.16597941489"/>
    <n v="391052.16597941489"/>
    <n v="391052.16597941489"/>
    <n v="391052.16597941489"/>
    <n v="391052.16597941489"/>
    <n v="3878837.2625506148"/>
    <n v="3878837.2625506148"/>
    <n v="0.58150000000000002"/>
  </r>
  <r>
    <x v="15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15"/>
    <x v="23"/>
    <s v="04. Water Resources Development Management and Supply"/>
    <n v="4455225.798066834"/>
    <n v="294044.90267241106"/>
    <n v="294044.90267241106"/>
    <n v="367556.12834051379"/>
    <n v="367556.12834051379"/>
    <n v="367556.12834051379"/>
    <n v="367556.12834051379"/>
    <n v="367556.12834051379"/>
    <n v="367556.12834051379"/>
    <n v="223875.09635285841"/>
    <n v="223875.09635285841"/>
    <n v="186562.58029404868"/>
    <n v="186562.58029404868"/>
    <n v="261187.61241166812"/>
    <n v="261187.61241166812"/>
    <n v="261187.61241166812"/>
    <n v="261187.61241166812"/>
    <n v="261187.61241166812"/>
    <n v="261187.61241166812"/>
    <n v="2590713.8015758642"/>
    <n v="2590713.8015758642"/>
    <n v="0.58150000000000002"/>
  </r>
  <r>
    <x v="15"/>
    <x v="10"/>
    <s v="83. Youth Development"/>
    <n v="7003919.3906760886"/>
    <n v="462258.67978462187"/>
    <n v="462258.67978462187"/>
    <n v="577823.34973077732"/>
    <n v="577823.34973077732"/>
    <n v="577823.34973077732"/>
    <n v="577823.34973077732"/>
    <n v="577823.34973077732"/>
    <n v="577823.34973077732"/>
    <n v="351946.94938147342"/>
    <n v="351946.94938147342"/>
    <n v="293289.12448456121"/>
    <n v="293289.12448456121"/>
    <n v="410604.77427838568"/>
    <n v="410604.77427838568"/>
    <n v="410604.77427838568"/>
    <n v="410604.77427838568"/>
    <n v="410604.77427838568"/>
    <n v="410604.77427838568"/>
    <n v="4072779.1256781463"/>
    <n v="4072779.1256781463"/>
    <n v="0.58150000000000013"/>
  </r>
  <r>
    <x v="16"/>
    <x v="12"/>
    <s v="49. Agricultural Productivity and Risk Management"/>
    <n v="17931058"/>
    <n v="1579449.8571184753"/>
    <n v="1579449.8571184753"/>
    <n v="1974312.3213980941"/>
    <n v="1974312.3213980941"/>
    <n v="1974312.3213980941"/>
    <n v="1974312.3213980941"/>
    <n v="1974312.3213980941"/>
    <n v="1974312.3213980941"/>
    <n v="1254226.0893009529"/>
    <n v="1254226.0893009529"/>
    <n v="1254226.0893009529"/>
    <n v="1254226.0893009529"/>
    <n v="1254226.0893009529"/>
    <n v="1254226.0893009529"/>
    <n v="1254226.0893009529"/>
    <n v="1254226.0893009529"/>
    <n v="1254226.0893009529"/>
    <n v="1254226.0893009529"/>
    <n v="13773517.267817523"/>
    <n v="13773517.267817523"/>
    <n v="0.76813745557108359"/>
  </r>
  <r>
    <x v="16"/>
    <x v="12"/>
    <s v="49. Agricultural Productivity and Risk Management"/>
    <n v="6000000"/>
    <n v="0"/>
    <n v="0"/>
    <n v="0"/>
    <n v="0"/>
    <n v="0"/>
    <n v="0"/>
    <n v="0"/>
    <n v="0"/>
    <n v="3000000"/>
    <n v="3000000"/>
    <n v="3000000"/>
    <n v="3000000"/>
    <n v="0"/>
    <n v="0"/>
    <n v="0"/>
    <n v="0"/>
    <n v="0"/>
    <n v="0"/>
    <n v="6000000"/>
    <n v="6000000"/>
    <n v="1"/>
  </r>
  <r>
    <x v="16"/>
    <x v="0"/>
    <s v="60. Local Development"/>
    <n v="12000000"/>
    <n v="0"/>
    <n v="0"/>
    <n v="2400000"/>
    <n v="2400000"/>
    <n v="0"/>
    <n v="0"/>
    <n v="0"/>
    <n v="0"/>
    <n v="0"/>
    <n v="0"/>
    <n v="3600000"/>
    <n v="3600000"/>
    <n v="0"/>
    <n v="0"/>
    <n v="3600000"/>
    <n v="3600000"/>
    <n v="2400000"/>
    <n v="2400000"/>
    <n v="12000000"/>
    <n v="12000000"/>
    <n v="1"/>
  </r>
  <r>
    <x v="16"/>
    <x v="1"/>
    <s v="60. Local Development"/>
    <n v="30000000"/>
    <n v="0"/>
    <n v="0"/>
    <n v="8250000"/>
    <n v="8250000"/>
    <n v="0"/>
    <n v="0"/>
    <n v="0"/>
    <n v="0"/>
    <n v="0"/>
    <n v="0"/>
    <n v="7250000"/>
    <n v="7250000"/>
    <n v="0"/>
    <n v="0"/>
    <n v="7250000"/>
    <n v="7250000"/>
    <n v="7250000"/>
    <n v="7250000"/>
    <n v="30000000"/>
    <n v="30000000"/>
    <n v="1"/>
  </r>
  <r>
    <x v="16"/>
    <x v="3"/>
    <s v="70. Community Development"/>
    <n v="3880477.8495881674"/>
    <n v="256111.53807281909"/>
    <n v="256111.53807281909"/>
    <n v="320139.42259102385"/>
    <n v="320139.42259102385"/>
    <n v="320139.42259102385"/>
    <n v="320139.42259102385"/>
    <n v="320139.42259102385"/>
    <n v="320139.42259102385"/>
    <n v="194994.01194180537"/>
    <n v="194994.01194180537"/>
    <n v="162495.00995150447"/>
    <n v="162495.00995150447"/>
    <n v="227493.01393210626"/>
    <n v="227493.01393210626"/>
    <n v="227493.01393210626"/>
    <n v="227493.01393210626"/>
    <n v="227493.01393210626"/>
    <n v="227493.01393210626"/>
    <n v="2256497.8695355188"/>
    <n v="2256497.8695355188"/>
    <n v="0.58149999999999991"/>
  </r>
  <r>
    <x v="16"/>
    <x v="13"/>
    <s v="60. Local Development"/>
    <n v="42566725"/>
    <n v="0"/>
    <n v="0"/>
    <n v="3405337.9996121251"/>
    <n v="3405337.9996121251"/>
    <n v="0"/>
    <n v="0"/>
    <n v="0"/>
    <n v="0"/>
    <n v="9790346.7500969693"/>
    <n v="9790346.7500969693"/>
    <n v="0"/>
    <n v="0"/>
    <n v="0"/>
    <n v="0"/>
    <n v="14685520.125145454"/>
    <n v="14685520.125145454"/>
    <n v="0"/>
    <n v="0"/>
    <n v="27881204.87485455"/>
    <n v="27881204.87485455"/>
    <n v="0.65499999999658298"/>
  </r>
  <r>
    <x v="16"/>
    <x v="14"/>
    <s v="Disaster Risk Management"/>
    <n v="16642857"/>
    <n v="0"/>
    <n v="0"/>
    <n v="0"/>
    <n v="0"/>
    <n v="0"/>
    <n v="0"/>
    <n v="0"/>
    <n v="0"/>
    <n v="1248214.2857142857"/>
    <n v="1248214.2857142857"/>
    <n v="1040178.5714285714"/>
    <n v="1040178.5714285714"/>
    <n v="1456249.9999999998"/>
    <n v="1456249.9999999998"/>
    <n v="1456249.9999999998"/>
    <n v="1456249.9999999998"/>
    <n v="1456249.9999999998"/>
    <n v="1456249.9999999998"/>
    <n v="6657142.8571428563"/>
    <n v="6657142.8571428563"/>
    <n v="0.40000000343347636"/>
  </r>
  <r>
    <x v="16"/>
    <x v="4"/>
    <s v="23. Basic Education"/>
    <n v="16513150"/>
    <n v="677173"/>
    <n v="677173"/>
    <n v="973241.4"/>
    <n v="973241.4"/>
    <n v="1488452.9"/>
    <n v="1488452.9"/>
    <n v="643518"/>
    <n v="643518"/>
    <n v="0"/>
    <n v="0"/>
    <n v="3533801.9"/>
    <n v="3533801.9"/>
    <n v="2944310"/>
    <n v="2944310"/>
    <n v="1517320"/>
    <n v="1517320"/>
    <n v="1402618"/>
    <n v="1402618"/>
    <n v="13180435.200000001"/>
    <n v="13180435.200000001"/>
    <n v="0.79817813076245303"/>
  </r>
  <r>
    <x v="16"/>
    <x v="4"/>
    <s v="23. Basic Education"/>
    <n v="9998608"/>
    <n v="1183712.9222734105"/>
    <n v="1183712.9222734105"/>
    <n v="1159804"/>
    <n v="1159804"/>
    <n v="530000"/>
    <n v="530000"/>
    <n v="1309500"/>
    <n v="1309500"/>
    <n v="1491034.1541474711"/>
    <n v="1491034.1541474711"/>
    <n v="2303522.7694316474"/>
    <n v="2303522.7694316474"/>
    <n v="1491034.1541474711"/>
    <n v="1491034.1541474711"/>
    <n v="0"/>
    <n v="0"/>
    <n v="0"/>
    <n v="0"/>
    <n v="9468608"/>
    <n v="9468608"/>
    <n v="0.94699262137289508"/>
  </r>
  <r>
    <x v="16"/>
    <x v="4"/>
    <s v="23. Basic Education"/>
    <n v="1169370"/>
    <n v="584685"/>
    <n v="584685"/>
    <n v="584685"/>
    <n v="584685"/>
    <n v="0"/>
    <n v="0"/>
    <n v="0"/>
    <n v="0"/>
    <n v="0"/>
    <n v="0"/>
    <n v="0"/>
    <n v="0"/>
    <n v="0"/>
    <n v="0"/>
    <n v="0"/>
    <n v="0"/>
    <n v="0"/>
    <n v="0"/>
    <n v="1169370"/>
    <n v="1169370"/>
    <n v="1"/>
  </r>
  <r>
    <x v="16"/>
    <x v="5"/>
    <s v="92. Environment and Climate Change Management"/>
    <n v="1883966"/>
    <n v="109436.55489692146"/>
    <n v="109436.55489692146"/>
    <n v="136795.69362115182"/>
    <n v="136795.69362115182"/>
    <n v="136795.69362115182"/>
    <n v="136795.69362115182"/>
    <n v="136795.69362115182"/>
    <n v="136795.69362115182"/>
    <n v="101717.7996292224"/>
    <n v="101717.7996292224"/>
    <n v="84764.833024352003"/>
    <n v="84764.833024352003"/>
    <n v="105052.89422212519"/>
    <n v="105052.89422212519"/>
    <n v="118670.76623409279"/>
    <n v="118670.76623409279"/>
    <n v="118670.76623409279"/>
    <n v="118670.76623409279"/>
    <n v="1048700.6951042621"/>
    <n v="1048700.6951042621"/>
    <n v="0.5566452340988437"/>
  </r>
  <r>
    <x v="16"/>
    <x v="15"/>
    <s v="96. Sustainable Rural Development"/>
    <n v="3597243.0868885512"/>
    <n v="237418.04373464442"/>
    <n v="237418.04373464442"/>
    <n v="296772.5546683055"/>
    <n v="296772.5546683055"/>
    <n v="296772.5546683055"/>
    <n v="296772.5546683055"/>
    <n v="296772.5546683055"/>
    <n v="296772.5546683055"/>
    <n v="180761.46511614966"/>
    <n v="180761.46511614966"/>
    <n v="150634.55426345806"/>
    <n v="150634.55426345806"/>
    <n v="210888.37596884128"/>
    <n v="210888.37596884128"/>
    <n v="210888.37596884128"/>
    <n v="210888.37596884128"/>
    <n v="210888.37596884128"/>
    <n v="210888.37596884128"/>
    <n v="2091796.8550256924"/>
    <n v="2091796.8550256924"/>
    <n v="0.58149999999999991"/>
  </r>
  <r>
    <x v="16"/>
    <x v="16"/>
    <s v="92. Environment and Climate Change Management"/>
    <n v="1657999.9841015225"/>
    <n v="109427.99895070049"/>
    <n v="109427.99895070049"/>
    <n v="136784.99868837561"/>
    <n v="136784.99868837561"/>
    <n v="136784.99868837561"/>
    <n v="136784.99868837561"/>
    <n v="136784.99868837561"/>
    <n v="136784.99868837561"/>
    <n v="83314.499201101498"/>
    <n v="83314.499201101498"/>
    <n v="69428.749334251246"/>
    <n v="69428.749334251246"/>
    <n v="97200.249067951736"/>
    <n v="97200.249067951736"/>
    <n v="97200.249067951736"/>
    <n v="97200.249067951736"/>
    <n v="97200.249067951736"/>
    <n v="97200.249067951736"/>
    <n v="964126.99075503519"/>
    <n v="964126.99075503519"/>
    <n v="0.58149999999999991"/>
  </r>
  <r>
    <x v="16"/>
    <x v="6"/>
    <s v="69. Gender Equality and Wome Empowerment"/>
    <n v="3880477.8495881674"/>
    <n v="256111.53807281909"/>
    <n v="256111.53807281909"/>
    <n v="320139.42259102385"/>
    <n v="320139.42259102385"/>
    <n v="320139.42259102385"/>
    <n v="320139.42259102385"/>
    <n v="320139.42259102385"/>
    <n v="320139.42259102385"/>
    <n v="194994.01194180537"/>
    <n v="194994.01194180537"/>
    <n v="162495.00995150447"/>
    <n v="162495.00995150447"/>
    <n v="227493.01393210626"/>
    <n v="227493.01393210626"/>
    <n v="227493.01393210626"/>
    <n v="227493.01393210626"/>
    <n v="227493.01393210626"/>
    <n v="227493.01393210626"/>
    <n v="2256497.8695355188"/>
    <n v="2256497.8695355188"/>
    <n v="0.58149999999999991"/>
  </r>
  <r>
    <x v="16"/>
    <x v="7"/>
    <s v="20. Management and Administration"/>
    <n v="20166079.030108806"/>
    <n v="1332207.9638067822"/>
    <n v="1332207.9638067822"/>
    <n v="1665259.9547584776"/>
    <n v="1665259.9547584776"/>
    <n v="1665259.9547584776"/>
    <n v="1665259.9547584776"/>
    <n v="1665259.9547584776"/>
    <n v="1665259.9547584776"/>
    <n v="1044895.8704417417"/>
    <n v="1044895.8704417417"/>
    <n v="849698.34495937079"/>
    <n v="849698.34495937079"/>
    <n v="1176354.6111011538"/>
    <n v="1176354.6111011538"/>
    <n v="1176354.6111011538"/>
    <n v="1176354.6111011538"/>
    <n v="1176354.6111011538"/>
    <n v="1176354.6111011538"/>
    <n v="11751645.876786789"/>
    <n v="11751645.876786789"/>
    <n v="0.58274322238056719"/>
  </r>
  <r>
    <x v="16"/>
    <x v="17"/>
    <s v="65. Primary Health Care"/>
    <n v="53122684.290466115"/>
    <n v="4382621.4539634548"/>
    <n v="4382621.4539634548"/>
    <n v="4382621.4539634548"/>
    <n v="4382621.4539634548"/>
    <n v="4382621.4539634548"/>
    <n v="4382621.4539634548"/>
    <n v="4382621.4539634548"/>
    <n v="4382621.4539634548"/>
    <n v="4603965.8508128459"/>
    <n v="4603965.8508128459"/>
    <n v="4426890.333333333"/>
    <n v="4426890.333333333"/>
    <n v="4426890.333333333"/>
    <n v="4426890.333333333"/>
    <n v="4426890.333333333"/>
    <n v="4426890.333333333"/>
    <n v="4426890.333333333"/>
    <n v="4426890.333333333"/>
    <n v="39842013"/>
    <n v="39842013"/>
    <n v="0.74999999589912314"/>
  </r>
  <r>
    <x v="16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6"/>
    <x v="19"/>
    <s v="76. Immigration Services"/>
    <n v="1745636.2426669535"/>
    <n v="115211.99201601894"/>
    <n v="115211.99201601894"/>
    <n v="144014.99002002366"/>
    <n v="144014.99002002366"/>
    <n v="144014.99002002366"/>
    <n v="144014.99002002366"/>
    <n v="144014.99002002366"/>
    <n v="144014.99002002366"/>
    <n v="87718.221194014404"/>
    <n v="87718.221194014404"/>
    <n v="73098.517661678678"/>
    <n v="73098.517661678678"/>
    <n v="102337.92472635015"/>
    <n v="102337.92472635015"/>
    <n v="102337.92472635015"/>
    <n v="102337.92472635015"/>
    <n v="102337.92472635015"/>
    <n v="102337.92472635015"/>
    <n v="1015087.4751108334"/>
    <n v="1015087.4751108334"/>
    <n v="0.58150000000000002"/>
  </r>
  <r>
    <x v="16"/>
    <x v="20"/>
    <s v="96. Sustainable Rural Development"/>
    <n v="5512499.9465624997"/>
    <n v="363824.99647312501"/>
    <n v="363824.99647312501"/>
    <n v="454781.24559140624"/>
    <n v="454781.24559140624"/>
    <n v="454781.24559140624"/>
    <n v="454781.24559140624"/>
    <n v="454781.24559140624"/>
    <n v="454781.24559140624"/>
    <n v="277003.12231476558"/>
    <n v="277003.12231476558"/>
    <n v="230835.93526230467"/>
    <n v="230835.93526230467"/>
    <n v="323170.30936722649"/>
    <n v="323170.30936722649"/>
    <n v="323170.30936722649"/>
    <n v="323170.30936722649"/>
    <n v="323170.30936722649"/>
    <n v="323170.30936722649"/>
    <n v="3205518.718926094"/>
    <n v="3205518.718926094"/>
    <n v="0.58150000000000013"/>
  </r>
  <r>
    <x v="16"/>
    <x v="21"/>
    <s v="18. Labour Employment and Manpower Development"/>
    <n v="3594573.271153844"/>
    <n v="237241.8358961537"/>
    <n v="237241.8358961537"/>
    <n v="296552.29487019213"/>
    <n v="296552.29487019213"/>
    <n v="296552.29487019213"/>
    <n v="296552.29487019213"/>
    <n v="296552.29487019213"/>
    <n v="296552.29487019213"/>
    <n v="180627.30687548063"/>
    <n v="180627.30687548063"/>
    <n v="150522.7557295672"/>
    <n v="150522.7557295672"/>
    <n v="210731.85802139406"/>
    <n v="210731.85802139406"/>
    <n v="210731.85802139406"/>
    <n v="210731.85802139406"/>
    <n v="210731.85802139406"/>
    <n v="210731.85802139406"/>
    <n v="2090244.3571759602"/>
    <n v="2090244.3571759602"/>
    <n v="0.58150000000000002"/>
  </r>
  <r>
    <x v="16"/>
    <x v="22"/>
    <s v="15. Security Services"/>
    <n v="2799513.4713753439"/>
    <n v="184767.88911077272"/>
    <n v="184767.88911077272"/>
    <n v="230959.86138846588"/>
    <n v="230959.86138846588"/>
    <n v="230959.86138846588"/>
    <n v="230959.86138846588"/>
    <n v="230959.86138846588"/>
    <n v="230959.86138846588"/>
    <n v="140675.55193661104"/>
    <n v="140675.55193661104"/>
    <n v="117229.62661384253"/>
    <n v="117229.62661384253"/>
    <n v="164121.47725937952"/>
    <n v="164121.47725937952"/>
    <n v="164121.47725937952"/>
    <n v="164121.47725937952"/>
    <n v="164121.47725937952"/>
    <n v="164121.47725937952"/>
    <n v="1627917.0836047623"/>
    <n v="1627917.0836047623"/>
    <n v="0.58149999999999991"/>
  </r>
  <r>
    <x v="16"/>
    <x v="9"/>
    <s v="95. Sports and Culture"/>
    <n v="2639373.6392840343"/>
    <n v="174198.66019274629"/>
    <n v="174198.66019274629"/>
    <n v="217748.32524093284"/>
    <n v="217748.32524093284"/>
    <n v="217748.32524093284"/>
    <n v="217748.32524093284"/>
    <n v="217748.32524093284"/>
    <n v="217748.32524093284"/>
    <n v="132628.52537402269"/>
    <n v="132628.52537402269"/>
    <n v="110523.77114501892"/>
    <n v="110523.77114501892"/>
    <n v="154733.27960302649"/>
    <n v="154733.27960302649"/>
    <n v="154733.27960302649"/>
    <n v="154733.27960302649"/>
    <n v="154733.27960302649"/>
    <n v="154733.27960302649"/>
    <n v="1534795.7712436658"/>
    <n v="1534795.7712436658"/>
    <n v="0.58150000000000002"/>
  </r>
  <r>
    <x v="16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16"/>
    <x v="23"/>
    <s v="04. Water Resources Development Management and Supply"/>
    <n v="4158256.9477173518"/>
    <n v="274444.95854934526"/>
    <n v="274444.95854934526"/>
    <n v="343056.19818668155"/>
    <n v="343056.19818668155"/>
    <n v="343056.19818668155"/>
    <n v="343056.19818668155"/>
    <n v="343056.19818668155"/>
    <n v="343056.19818668155"/>
    <n v="208952.41162279691"/>
    <n v="208952.41162279691"/>
    <n v="174127.00968566409"/>
    <n v="174127.00968566409"/>
    <n v="243777.81355992969"/>
    <n v="243777.81355992969"/>
    <n v="243777.81355992969"/>
    <n v="243777.81355992969"/>
    <n v="243777.81355992969"/>
    <n v="243777.81355992969"/>
    <n v="2418026.4150976404"/>
    <n v="2418026.4150976404"/>
    <n v="0.58150000000000002"/>
  </r>
  <r>
    <x v="16"/>
    <x v="10"/>
    <s v="83. Youth Development"/>
    <n v="2771342.3212482356"/>
    <n v="182908.59320238358"/>
    <n v="182908.59320238358"/>
    <n v="228635.74150297945"/>
    <n v="228635.74150297945"/>
    <n v="228635.74150297945"/>
    <n v="228635.74150297945"/>
    <n v="228635.74150297945"/>
    <n v="228635.74150297945"/>
    <n v="139259.95164272384"/>
    <n v="139259.95164272384"/>
    <n v="116049.95970226987"/>
    <n v="116049.95970226987"/>
    <n v="162469.94358317781"/>
    <n v="162469.94358317781"/>
    <n v="162469.94358317781"/>
    <n v="162469.94358317781"/>
    <n v="162469.94358317781"/>
    <n v="162469.94358317781"/>
    <n v="1611535.5598058491"/>
    <n v="1611535.5598058491"/>
    <n v="0.58150000000000002"/>
  </r>
  <r>
    <x v="17"/>
    <x v="12"/>
    <s v="49. Agricultural Productivity and Risk Management"/>
    <n v="61296716"/>
    <n v="5629583.246046517"/>
    <n v="5629583.246046517"/>
    <n v="7036979.0575581454"/>
    <n v="7036979.0575581454"/>
    <n v="7036979.0575581454"/>
    <n v="7036979.0575581454"/>
    <n v="7036979.0575581454"/>
    <n v="7036979.0575581454"/>
    <n v="4143599.9712209259"/>
    <n v="4143599.9712209259"/>
    <n v="4143599.9712209259"/>
    <n v="4143599.9712209259"/>
    <n v="4143599.9712209259"/>
    <n v="4143599.9712209259"/>
    <n v="4143599.9712209259"/>
    <n v="4143599.9712209259"/>
    <n v="4143599.9712209259"/>
    <n v="4143599.9712209259"/>
    <n v="47458520.274825588"/>
    <n v="47458520.274825588"/>
    <n v="0.77424246145300157"/>
  </r>
  <r>
    <x v="17"/>
    <x v="12"/>
    <s v="49. Agricultural Productivity and Risk Management"/>
    <n v="24000000"/>
    <n v="0"/>
    <n v="0"/>
    <n v="0"/>
    <n v="0"/>
    <n v="0"/>
    <n v="0"/>
    <n v="0"/>
    <n v="0"/>
    <n v="12000000"/>
    <n v="12000000"/>
    <n v="12000000"/>
    <n v="12000000"/>
    <n v="0"/>
    <n v="0"/>
    <n v="0"/>
    <n v="0"/>
    <n v="0"/>
    <n v="0"/>
    <n v="24000000"/>
    <n v="24000000"/>
    <n v="1"/>
  </r>
  <r>
    <x v="17"/>
    <x v="0"/>
    <s v="60. Local Development"/>
    <n v="216000000"/>
    <n v="0"/>
    <n v="0"/>
    <n v="43200000"/>
    <n v="43200000"/>
    <n v="0"/>
    <n v="0"/>
    <n v="0"/>
    <n v="0"/>
    <n v="0"/>
    <n v="0"/>
    <n v="64800000"/>
    <n v="64800000"/>
    <n v="0"/>
    <n v="0"/>
    <n v="64800000"/>
    <n v="64800000"/>
    <n v="43200000"/>
    <n v="43200000"/>
    <n v="216000000"/>
    <n v="216000000"/>
    <n v="1"/>
  </r>
  <r>
    <x v="17"/>
    <x v="1"/>
    <s v="60. Local Development"/>
    <n v="540000000"/>
    <n v="0"/>
    <n v="0"/>
    <n v="148500000"/>
    <n v="148500000"/>
    <n v="0"/>
    <n v="0"/>
    <n v="0"/>
    <n v="0"/>
    <n v="0"/>
    <n v="0"/>
    <n v="130500000"/>
    <n v="130500000"/>
    <n v="0"/>
    <n v="0"/>
    <n v="130500000"/>
    <n v="130500000"/>
    <n v="130500000"/>
    <n v="130500000"/>
    <n v="540000000"/>
    <n v="540000000"/>
    <n v="1"/>
  </r>
  <r>
    <x v="17"/>
    <x v="3"/>
    <s v="70. Community Development"/>
    <n v="10670146.536283154"/>
    <n v="283284.28778970923"/>
    <n v="283284.28778970923"/>
    <n v="354105.35973713652"/>
    <n v="354105.35973713652"/>
    <n v="354105.35973713652"/>
    <n v="354105.35973713652"/>
    <n v="354105.35973713652"/>
    <n v="354105.35973713652"/>
    <n v="694029.38230009528"/>
    <n v="694029.38230009528"/>
    <n v="578357.81858341279"/>
    <n v="578357.81858341279"/>
    <n v="809700.94601677789"/>
    <n v="809700.94601677789"/>
    <n v="809700.94601677789"/>
    <n v="809700.94601677789"/>
    <n v="809700.94601677789"/>
    <n v="809700.94601677789"/>
    <n v="5047090.4059349606"/>
    <n v="5047090.4059349606"/>
    <n v="0.47301041169140939"/>
  </r>
  <r>
    <x v="17"/>
    <x v="3"/>
    <s v="70. Community Development"/>
    <n v="4292186.1786319576"/>
    <n v="704229.67139468819"/>
    <n v="704229.67139468819"/>
    <n v="880287.08924336021"/>
    <n v="880287.08924336021"/>
    <n v="880287.08924336021"/>
    <n v="880287.08924336021"/>
    <n v="880287.08924336021"/>
    <n v="880287.08924336021"/>
    <n v="57827.836624388729"/>
    <n v="57827.836624388729"/>
    <n v="48189.863853657276"/>
    <n v="48189.863853657276"/>
    <n v="67465.809395120188"/>
    <n v="67465.809395120188"/>
    <n v="67465.809395120188"/>
    <n v="67465.809395120188"/>
    <n v="67465.809395120188"/>
    <n v="67465.809395120188"/>
    <n v="3653506.0677881753"/>
    <n v="3653506.0677881753"/>
    <n v="0.85119934591296131"/>
  </r>
  <r>
    <x v="17"/>
    <x v="13"/>
    <s v="60. Local Development"/>
    <n v="218150948"/>
    <n v="0"/>
    <n v="0"/>
    <n v="17452075.83801217"/>
    <n v="17452075.83801217"/>
    <n v="0"/>
    <n v="0"/>
    <n v="0"/>
    <n v="0"/>
    <n v="50174718.04049696"/>
    <n v="50174718.04049696"/>
    <n v="0"/>
    <n v="0"/>
    <n v="0"/>
    <n v="0"/>
    <n v="75262077.060745448"/>
    <n v="75262077.060745448"/>
    <n v="0"/>
    <n v="0"/>
    <n v="142888870.93925458"/>
    <n v="142888870.93925458"/>
    <n v="0.65499999999658298"/>
  </r>
  <r>
    <x v="17"/>
    <x v="14"/>
    <s v="Disaster Risk Management"/>
    <n v="45142857"/>
    <n v="0"/>
    <n v="0"/>
    <n v="0"/>
    <n v="0"/>
    <n v="0"/>
    <n v="0"/>
    <n v="0"/>
    <n v="0"/>
    <n v="3385714.2857142854"/>
    <n v="3385714.2857142854"/>
    <n v="2821428.5714285714"/>
    <n v="2821428.5714285714"/>
    <n v="3949999.9999999995"/>
    <n v="3949999.9999999995"/>
    <n v="3949999.9999999995"/>
    <n v="3949999.9999999995"/>
    <n v="3949999.9999999995"/>
    <n v="3949999.9999999995"/>
    <n v="18057142.857142854"/>
    <n v="18057142.857142854"/>
    <n v="0.40000000126582275"/>
  </r>
  <r>
    <x v="17"/>
    <x v="4"/>
    <s v="23. Basic Education"/>
    <n v="145446544"/>
    <n v="13395994.759666666"/>
    <n v="13395994.759666666"/>
    <n v="7983750.2596666664"/>
    <n v="7983750.2596666664"/>
    <n v="15016578.088"/>
    <n v="15016578.088"/>
    <n v="8098389.2596666664"/>
    <n v="8098389.2596666664"/>
    <n v="13875000"/>
    <n v="13875000"/>
    <n v="26308124.852666669"/>
    <n v="26308124.852666669"/>
    <n v="8098389.6416666666"/>
    <n v="8098389.6416666666"/>
    <n v="21120730.641666666"/>
    <n v="21120730.641666666"/>
    <n v="9812394.5720000006"/>
    <n v="9812394.5720000006"/>
    <n v="123709352.075"/>
    <n v="123709352.075"/>
    <n v="0.85054858419324153"/>
  </r>
  <r>
    <x v="17"/>
    <x v="4"/>
    <s v="23. Basic Education"/>
    <n v="53387073"/>
    <n v="0"/>
    <n v="0"/>
    <n v="0"/>
    <n v="0"/>
    <n v="17795691"/>
    <n v="17795691"/>
    <n v="0"/>
    <n v="0"/>
    <n v="0"/>
    <n v="0"/>
    <n v="17795691"/>
    <n v="17795691"/>
    <n v="0"/>
    <n v="0"/>
    <n v="0"/>
    <n v="0"/>
    <n v="17795691"/>
    <n v="17795691"/>
    <n v="53387073"/>
    <n v="53387073"/>
    <n v="1"/>
  </r>
  <r>
    <x v="17"/>
    <x v="4"/>
    <s v="23. Basic Education"/>
    <n v="204869214"/>
    <n v="0"/>
    <n v="0"/>
    <n v="34144869"/>
    <n v="34144869"/>
    <n v="25144869"/>
    <n v="25144869"/>
    <n v="0"/>
    <n v="0"/>
    <n v="28983651.75"/>
    <n v="28983651.75"/>
    <n v="87612172.5"/>
    <n v="87612172.5"/>
    <n v="0"/>
    <n v="0"/>
    <n v="28983651.75"/>
    <n v="28983651.75"/>
    <n v="0"/>
    <n v="0"/>
    <n v="204869214"/>
    <n v="204869214"/>
    <n v="1"/>
  </r>
  <r>
    <x v="17"/>
    <x v="4"/>
    <s v="23. Basic Education"/>
    <n v="193049045.93956128"/>
    <n v="10376942.479015151"/>
    <n v="10376942.479015151"/>
    <n v="27686457.974096924"/>
    <n v="27686457.974096924"/>
    <n v="9184509.1456818134"/>
    <n v="9184509.1456818134"/>
    <n v="20639069.774028528"/>
    <n v="20639069.774028528"/>
    <n v="8112327.2643699814"/>
    <n v="8112327.2643699814"/>
    <n v="44343987.32199496"/>
    <n v="44343987.32199496"/>
    <n v="9649547.4415246118"/>
    <n v="9649547.4415246118"/>
    <n v="17376008.03922791"/>
    <n v="17376008.03922791"/>
    <n v="16247014.108191276"/>
    <n v="16247014.108191276"/>
    <n v="163615863.54813114"/>
    <n v="163615863.54813114"/>
    <n v="0.84753520926156289"/>
  </r>
  <r>
    <x v="17"/>
    <x v="4"/>
    <s v="23. Basic Education"/>
    <n v="190924647"/>
    <n v="0"/>
    <n v="0"/>
    <n v="35462323.5"/>
    <n v="35462323.5"/>
    <n v="25462323.5"/>
    <n v="25462323.5"/>
    <n v="0"/>
    <n v="0"/>
    <n v="48750000"/>
    <n v="48750000"/>
    <n v="32500000"/>
    <n v="32500000"/>
    <n v="0"/>
    <n v="0"/>
    <n v="48750000"/>
    <n v="48750000"/>
    <n v="0"/>
    <n v="0"/>
    <n v="190924647"/>
    <n v="190924647"/>
    <n v="1"/>
  </r>
  <r>
    <x v="17"/>
    <x v="4"/>
    <s v="23. Basic Education"/>
    <n v="54539530"/>
    <n v="0"/>
    <n v="0"/>
    <n v="0"/>
    <n v="0"/>
    <n v="0"/>
    <n v="0"/>
    <n v="27539530"/>
    <n v="27539530"/>
    <n v="10125000"/>
    <n v="10125000"/>
    <n v="6750000"/>
    <n v="6750000"/>
    <n v="0"/>
    <n v="0"/>
    <n v="10125000"/>
    <n v="10125000"/>
    <n v="0"/>
    <n v="0"/>
    <n v="54539530"/>
    <n v="54539530"/>
    <n v="1"/>
  </r>
  <r>
    <x v="17"/>
    <x v="5"/>
    <s v="92. Environment and Climate Change Management"/>
    <n v="6074732"/>
    <n v="352871.46031938796"/>
    <n v="352871.46031938796"/>
    <n v="441089.32539923489"/>
    <n v="441089.32539923489"/>
    <n v="441089.32539923489"/>
    <n v="441089.32539923489"/>
    <n v="441089.32539923489"/>
    <n v="441089.32539923489"/>
    <n v="327982.80729365611"/>
    <n v="327982.80729365611"/>
    <n v="273319.00607804675"/>
    <n v="273319.00607804675"/>
    <n v="338736.02931728418"/>
    <n v="338736.02931728418"/>
    <n v="382646.60850926541"/>
    <n v="382646.60850926541"/>
    <n v="382646.60850926541"/>
    <n v="382646.60850926541"/>
    <n v="3381470.4962246101"/>
    <n v="3381470.4962246101"/>
    <n v="0.55664521434437109"/>
  </r>
  <r>
    <x v="17"/>
    <x v="15"/>
    <s v="96. Sustainable Rural Development"/>
    <n v="5213102.9389413577"/>
    <n v="344064.79397012969"/>
    <n v="344064.79397012969"/>
    <n v="430080.99246266205"/>
    <n v="430080.99246266205"/>
    <n v="430080.99246266205"/>
    <n v="430080.99246266205"/>
    <n v="430080.99246266205"/>
    <n v="430080.99246266205"/>
    <n v="261958.4226818032"/>
    <n v="261958.4226818032"/>
    <n v="218298.68556816934"/>
    <n v="218298.68556816934"/>
    <n v="305618.15979543707"/>
    <n v="305618.15979543707"/>
    <n v="305618.15979543707"/>
    <n v="305618.15979543707"/>
    <n v="305618.15979543707"/>
    <n v="305618.15979543707"/>
    <n v="3031419.3589943992"/>
    <n v="3031419.3589943992"/>
    <n v="0.58149999999999991"/>
  </r>
  <r>
    <x v="17"/>
    <x v="16"/>
    <s v="92. Environment and Climate Change Management"/>
    <n v="15258612.554686306"/>
    <n v="1007068.4286092963"/>
    <n v="1007068.4286092963"/>
    <n v="1258835.5357616204"/>
    <n v="1258835.5357616204"/>
    <n v="1258835.5357616204"/>
    <n v="1258835.5357616204"/>
    <n v="1258835.5357616204"/>
    <n v="1258835.5357616204"/>
    <n v="766745.28087298677"/>
    <n v="766745.28087298677"/>
    <n v="638954.40072748903"/>
    <n v="638954.40072748903"/>
    <n v="894536.16101848462"/>
    <n v="894536.16101848462"/>
    <n v="894536.16101848462"/>
    <n v="894536.16101848462"/>
    <n v="894536.16101848462"/>
    <n v="894536.16101848462"/>
    <n v="8872883.2005500887"/>
    <n v="8872883.2005500887"/>
    <n v="0.58150000000000013"/>
  </r>
  <r>
    <x v="17"/>
    <x v="6"/>
    <s v="69. Gender Equality and Wome Empowerment"/>
    <n v="10670146.536283154"/>
    <n v="283284.28778970923"/>
    <n v="283284.28778970923"/>
    <n v="354105.35973713652"/>
    <n v="354105.35973713652"/>
    <n v="354105.35973713652"/>
    <n v="354105.35973713652"/>
    <n v="354105.35973713652"/>
    <n v="354105.35973713652"/>
    <n v="694029.38230009528"/>
    <n v="694029.38230009528"/>
    <n v="578357.81858341279"/>
    <n v="578357.81858341279"/>
    <n v="809700.94601677789"/>
    <n v="809700.94601677789"/>
    <n v="809700.94601677789"/>
    <n v="809700.94601677789"/>
    <n v="809700.94601677789"/>
    <n v="809700.94601677789"/>
    <n v="5047090.4059349606"/>
    <n v="5047090.4059349606"/>
    <n v="0.47301041169140939"/>
  </r>
  <r>
    <x v="17"/>
    <x v="6"/>
    <s v="69. Gender Equality and Wome Empowerment"/>
    <n v="4292186.1786319576"/>
    <n v="704229.67139468819"/>
    <n v="704229.67139468819"/>
    <n v="880287.08924336021"/>
    <n v="880287.08924336021"/>
    <n v="880287.08924336021"/>
    <n v="880287.08924336021"/>
    <n v="880287.08924336021"/>
    <n v="880287.08924336021"/>
    <n v="57827.836624388729"/>
    <n v="57827.836624388729"/>
    <n v="48189.863853657276"/>
    <n v="48189.863853657276"/>
    <n v="67465.809395120188"/>
    <n v="67465.809395120188"/>
    <n v="67465.809395120188"/>
    <n v="67465.809395120188"/>
    <n v="67465.809395120188"/>
    <n v="67465.809395120188"/>
    <n v="3653506.0677881753"/>
    <n v="3653506.0677881753"/>
    <n v="0.85119934591296131"/>
  </r>
  <r>
    <x v="17"/>
    <x v="7"/>
    <s v="20. Management and Administration"/>
    <n v="222329957.36253837"/>
    <n v="14687522.514861323"/>
    <n v="14687522.514861323"/>
    <n v="18359403.143576652"/>
    <n v="18359403.143576652"/>
    <n v="18359403.143576652"/>
    <n v="18359403.143576652"/>
    <n v="18359403.143576652"/>
    <n v="18359403.143576652"/>
    <n v="11519921.84384251"/>
    <n v="11519921.84384251"/>
    <n v="9367879.423847381"/>
    <n v="9367879.423847381"/>
    <n v="12969247.523966176"/>
    <n v="12969247.523966176"/>
    <n v="12969247.523966176"/>
    <n v="12969247.523966176"/>
    <n v="12969247.523966176"/>
    <n v="12969247.523966176"/>
    <n v="129561275.7851797"/>
    <n v="129561275.7851797"/>
    <n v="0.58274322238056708"/>
  </r>
  <r>
    <x v="17"/>
    <x v="17"/>
    <s v="65. Primary Health Care"/>
    <n v="835750591.21268296"/>
    <n v="68949423.775046349"/>
    <n v="68949423.775046349"/>
    <n v="68949423.775046349"/>
    <n v="68949423.775046349"/>
    <n v="68949423.775046349"/>
    <n v="68949423.775046349"/>
    <n v="68949423.775046349"/>
    <n v="68949423.775046349"/>
    <n v="84224017.899814606"/>
    <n v="84224017.899814606"/>
    <n v="71378591"/>
    <n v="71378591"/>
    <n v="72128591"/>
    <n v="72128591"/>
    <n v="69078591"/>
    <n v="69078591"/>
    <n v="63378587"/>
    <n v="63378587"/>
    <n v="635986073"/>
    <n v="635986073"/>
    <n v="0.76097591756073724"/>
  </r>
  <r>
    <x v="17"/>
    <x v="18"/>
    <s v="48. Housing Management and Urban Development"/>
    <n v="15434999.999999998"/>
    <n v="1018710"/>
    <n v="1018710"/>
    <n v="1273387.5"/>
    <n v="1273387.5"/>
    <n v="1273387.5"/>
    <n v="1273387.5"/>
    <n v="1273387.5"/>
    <n v="1273387.5"/>
    <n v="802619.9999999993"/>
    <n v="802619.9999999993"/>
    <n v="643124.99999999988"/>
    <n v="643124.99999999988"/>
    <n v="900374.99999999977"/>
    <n v="900374.99999999977"/>
    <n v="900374.99999999977"/>
    <n v="900374.99999999977"/>
    <n v="900374.99999999977"/>
    <n v="900374.99999999977"/>
    <n v="8985742.4999999981"/>
    <n v="8985742.4999999981"/>
    <n v="0.58216666666666661"/>
  </r>
  <r>
    <x v="17"/>
    <x v="19"/>
    <s v="76. Immigration Services"/>
    <n v="20884713.993247293"/>
    <n v="1378391.1235543215"/>
    <n v="1378391.1235543215"/>
    <n v="1722988.9044429017"/>
    <n v="1722988.9044429017"/>
    <n v="1722988.9044429017"/>
    <n v="1722988.9044429017"/>
    <n v="1722988.9044429017"/>
    <n v="1722988.9044429017"/>
    <n v="1049456.8781606765"/>
    <n v="1049456.8781606765"/>
    <n v="874547.39846723038"/>
    <n v="874547.39846723038"/>
    <n v="1224366.3578541225"/>
    <n v="1224366.3578541225"/>
    <n v="1224366.3578541225"/>
    <n v="1224366.3578541225"/>
    <n v="1224366.3578541225"/>
    <n v="1224366.3578541225"/>
    <n v="12144461.1870733"/>
    <n v="12144461.1870733"/>
    <n v="0.58149999999999991"/>
  </r>
  <r>
    <x v="17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17"/>
    <x v="21"/>
    <s v="18. Labour Employment and Manpower Development"/>
    <n v="21470874.600000113"/>
    <n v="1417077.7236000076"/>
    <n v="1417077.7236000076"/>
    <n v="1771347.1545000095"/>
    <n v="1771347.1545000095"/>
    <n v="1771347.1545000095"/>
    <n v="1771347.1545000095"/>
    <n v="1771347.1545000095"/>
    <n v="1771347.1545000095"/>
    <n v="1078911.4486500055"/>
    <n v="1078911.4486500055"/>
    <n v="899092.87387500471"/>
    <n v="899092.87387500471"/>
    <n v="1258730.0234250065"/>
    <n v="1258730.0234250065"/>
    <n v="1258730.0234250065"/>
    <n v="1258730.0234250065"/>
    <n v="1258730.0234250065"/>
    <n v="1258730.0234250065"/>
    <n v="12485313.579900065"/>
    <n v="12485313.579900065"/>
    <n v="0.58150000000000002"/>
  </r>
  <r>
    <x v="17"/>
    <x v="22"/>
    <s v="15. Security Services"/>
    <n v="25930684.257792987"/>
    <n v="1711425.1610143371"/>
    <n v="1711425.1610143371"/>
    <n v="2139281.4512679214"/>
    <n v="2139281.4512679214"/>
    <n v="2139281.4512679214"/>
    <n v="2139281.4512679214"/>
    <n v="2139281.4512679214"/>
    <n v="2139281.4512679214"/>
    <n v="1303016.8839540975"/>
    <n v="1303016.8839540975"/>
    <n v="1085847.4032950813"/>
    <n v="1085847.4032950813"/>
    <n v="1520186.3646131137"/>
    <n v="1520186.3646131137"/>
    <n v="1520186.3646131137"/>
    <n v="1520186.3646131137"/>
    <n v="1520186.3646131137"/>
    <n v="1520186.3646131137"/>
    <n v="15078692.89590662"/>
    <n v="15078692.89590662"/>
    <n v="0.58149999999999991"/>
  </r>
  <r>
    <x v="17"/>
    <x v="9"/>
    <s v="95. Sports and Culture"/>
    <n v="9338836.6363622174"/>
    <n v="616363.2179999064"/>
    <n v="616363.2179999064"/>
    <n v="770454.02249988297"/>
    <n v="770454.02249988297"/>
    <n v="770454.02249988297"/>
    <n v="770454.02249988297"/>
    <n v="770454.02249988297"/>
    <n v="770454.02249988297"/>
    <n v="469276.54097720142"/>
    <n v="469276.54097720142"/>
    <n v="391063.78414766787"/>
    <n v="391063.78414766787"/>
    <n v="547489.29780673503"/>
    <n v="547489.29780673503"/>
    <n v="547489.29780673503"/>
    <n v="547489.29780673503"/>
    <n v="547489.29780673503"/>
    <n v="547489.29780673503"/>
    <n v="5430533.5040446296"/>
    <n v="5430533.5040446296"/>
    <n v="0.58150000000000002"/>
  </r>
  <r>
    <x v="17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17"/>
    <x v="23"/>
    <s v="04. Water Resources Development Management and Supply"/>
    <n v="21863214.075425826"/>
    <n v="1442972.1289781046"/>
    <n v="1442972.1289781046"/>
    <n v="1803715.1612226306"/>
    <n v="1803715.1612226306"/>
    <n v="1803715.1612226306"/>
    <n v="1803715.1612226306"/>
    <n v="1803715.1612226306"/>
    <n v="1803715.1612226306"/>
    <n v="1098626.5072901477"/>
    <n v="1098626.5072901477"/>
    <n v="915522.08940845646"/>
    <n v="915522.08940845646"/>
    <n v="1281730.9251718391"/>
    <n v="1281730.9251718391"/>
    <n v="1281730.9251718391"/>
    <n v="1281730.9251718391"/>
    <n v="1281730.9251718391"/>
    <n v="1281730.9251718391"/>
    <n v="12713458.98486012"/>
    <n v="12713458.98486012"/>
    <n v="0.58150000000000013"/>
  </r>
  <r>
    <x v="17"/>
    <x v="10"/>
    <s v="83. Youth Development"/>
    <n v="9805778.4681803267"/>
    <n v="647181.37889990164"/>
    <n v="647181.37889990164"/>
    <n v="808976.72362487705"/>
    <n v="808976.72362487705"/>
    <n v="808976.72362487705"/>
    <n v="808976.72362487705"/>
    <n v="808976.72362487705"/>
    <n v="808976.72362487705"/>
    <n v="492740.36802606133"/>
    <n v="492740.36802606133"/>
    <n v="410616.97335505113"/>
    <n v="410616.97335505113"/>
    <n v="574863.76269707154"/>
    <n v="574863.76269707154"/>
    <n v="574863.76269707154"/>
    <n v="574863.76269707154"/>
    <n v="574863.76269707154"/>
    <n v="574863.76269707154"/>
    <n v="5702060.1792468596"/>
    <n v="5702060.1792468596"/>
    <n v="0.58150000000000002"/>
  </r>
  <r>
    <x v="18"/>
    <x v="12"/>
    <s v="49. Agricultural Productivity and Risk Management"/>
    <n v="47530768.930639215"/>
    <n v="4326380.7408465473"/>
    <n v="4326380.7408465473"/>
    <n v="5407975.9260581834"/>
    <n v="5407975.9260581834"/>
    <n v="5407975.9260581834"/>
    <n v="5407975.9260581834"/>
    <n v="5407975.9260581834"/>
    <n v="5407975.9260581834"/>
    <n v="3237358.1533008106"/>
    <n v="3237358.1533008106"/>
    <n v="3237358.1533008106"/>
    <n v="3237358.1533008106"/>
    <n v="3237358.1533008106"/>
    <n v="3237358.1533008106"/>
    <n v="3237358.1533008106"/>
    <n v="3237358.1533008106"/>
    <n v="3237358.1533008106"/>
    <n v="3237358.1533008106"/>
    <n v="36737099.285525151"/>
    <n v="36737099.285525151"/>
    <n v="0.77291194971272037"/>
  </r>
  <r>
    <x v="18"/>
    <x v="12"/>
    <s v="49. Agricultural Productivity and Risk Management"/>
    <n v="18020454"/>
    <n v="0"/>
    <n v="0"/>
    <n v="0"/>
    <n v="0"/>
    <n v="0"/>
    <n v="0"/>
    <n v="0"/>
    <n v="0"/>
    <n v="9010227"/>
    <n v="9010227"/>
    <n v="9010227"/>
    <n v="9010227"/>
    <n v="0"/>
    <n v="0"/>
    <n v="0"/>
    <n v="0"/>
    <n v="0"/>
    <n v="0"/>
    <n v="18020454"/>
    <n v="18020454"/>
    <n v="1"/>
  </r>
  <r>
    <x v="18"/>
    <x v="0"/>
    <s v="60. Local Development"/>
    <n v="84000000"/>
    <n v="0"/>
    <n v="0"/>
    <n v="16800000"/>
    <n v="16800000"/>
    <n v="0"/>
    <n v="0"/>
    <n v="0"/>
    <n v="0"/>
    <n v="0"/>
    <n v="0"/>
    <n v="25200000"/>
    <n v="25200000"/>
    <n v="0"/>
    <n v="0"/>
    <n v="25200000"/>
    <n v="25200000"/>
    <n v="16800000"/>
    <n v="16800000"/>
    <n v="84000000"/>
    <n v="84000000"/>
    <n v="1"/>
  </r>
  <r>
    <x v="18"/>
    <x v="1"/>
    <s v="60. Local Development"/>
    <n v="209999999.99999997"/>
    <n v="0"/>
    <n v="0"/>
    <n v="57750000"/>
    <n v="57750000"/>
    <n v="0"/>
    <n v="0"/>
    <n v="0"/>
    <n v="0"/>
    <n v="0"/>
    <n v="0"/>
    <n v="50749999.999999993"/>
    <n v="50749999.999999993"/>
    <n v="0"/>
    <n v="0"/>
    <n v="50749999.999999993"/>
    <n v="50749999.999999993"/>
    <n v="50749999.999999993"/>
    <n v="50749999.999999993"/>
    <n v="209999999.99999997"/>
    <n v="209999999.99999997"/>
    <n v="1"/>
  </r>
  <r>
    <x v="18"/>
    <x v="3"/>
    <s v="70. Community Development"/>
    <n v="9657134.6473268196"/>
    <n v="637370.88672357018"/>
    <n v="637370.88672357018"/>
    <n v="796713.60840446269"/>
    <n v="796713.60840446269"/>
    <n v="796713.60840446269"/>
    <n v="796713.60840446269"/>
    <n v="796713.60840446269"/>
    <n v="796713.60840446269"/>
    <n v="485271.01602817251"/>
    <n v="485271.01602817251"/>
    <n v="404392.51335681044"/>
    <n v="404392.51335681044"/>
    <n v="566149.51869953459"/>
    <n v="566149.51869953459"/>
    <n v="566149.51869953459"/>
    <n v="566149.51869953459"/>
    <n v="566149.51869953459"/>
    <n v="566149.51869953459"/>
    <n v="5615623.7974205445"/>
    <n v="5615623.7974205445"/>
    <n v="0.58149999999999991"/>
  </r>
  <r>
    <x v="18"/>
    <x v="13"/>
    <s v="60. Local Development"/>
    <n v="134235862"/>
    <n v="0"/>
    <n v="0"/>
    <n v="10738868.95877682"/>
    <n v="10738868.95877682"/>
    <n v="0"/>
    <n v="0"/>
    <n v="0"/>
    <n v="0"/>
    <n v="30874248.260305796"/>
    <n v="30874248.260305796"/>
    <n v="0"/>
    <n v="0"/>
    <n v="0"/>
    <n v="0"/>
    <n v="46311372.390458696"/>
    <n v="46311372.390458696"/>
    <n v="0"/>
    <n v="0"/>
    <n v="87924489.609541312"/>
    <n v="87924489.609541312"/>
    <n v="0.65499999999658298"/>
  </r>
  <r>
    <x v="18"/>
    <x v="14"/>
    <s v="Disaster Risk Management"/>
    <n v="43142857"/>
    <n v="15399999.999120001"/>
    <n v="15399999.999120001"/>
    <n v="0"/>
    <n v="0"/>
    <n v="0"/>
    <n v="0"/>
    <n v="0"/>
    <n v="0"/>
    <n v="1791964.2857967855"/>
    <n v="1791964.2857967855"/>
    <n v="1493303.5714973214"/>
    <n v="1493303.5714973214"/>
    <n v="2090625.0000962499"/>
    <n v="2090625.0000962499"/>
    <n v="2090625.0000962499"/>
    <n v="2090625.0000962499"/>
    <n v="2090625.0000962499"/>
    <n v="2090625.0000962499"/>
    <n v="24957142.856702857"/>
    <n v="24957142.856702857"/>
    <n v="0.5784768230973405"/>
  </r>
  <r>
    <x v="18"/>
    <x v="4"/>
    <s v="23. Basic Education"/>
    <n v="87139197.00000003"/>
    <n v="9296820"/>
    <n v="9296820"/>
    <n v="8208797"/>
    <n v="8208797"/>
    <n v="7476458.450000003"/>
    <n v="7476458.450000003"/>
    <n v="8311960.200000003"/>
    <n v="8311960.200000003"/>
    <n v="0"/>
    <n v="0"/>
    <n v="15135679.650000002"/>
    <n v="15135679.650000002"/>
    <n v="8603683.1999999993"/>
    <n v="8603683.1999999993"/>
    <n v="7832344.4500000002"/>
    <n v="7832344.4500000002"/>
    <n v="6186458.4500000002"/>
    <n v="6186458.4500000002"/>
    <n v="71052201.400000006"/>
    <n v="71052201.400000006"/>
    <n v="0.81538737842626641"/>
  </r>
  <r>
    <x v="18"/>
    <x v="4"/>
    <s v="23. Basic Education"/>
    <n v="169963427"/>
    <n v="0"/>
    <n v="0"/>
    <n v="21097966.62946336"/>
    <n v="21097966.62946336"/>
    <n v="13253606"/>
    <n v="13253606"/>
    <n v="0"/>
    <n v="0"/>
    <n v="59439746.5"/>
    <n v="59439746.5"/>
    <n v="16732361.37053664"/>
    <n v="16732361.37053664"/>
    <n v="59439746.5"/>
    <n v="59439746.5"/>
    <n v="0"/>
    <n v="0"/>
    <n v="0"/>
    <n v="0"/>
    <n v="169963427"/>
    <n v="169963427"/>
    <n v="1"/>
  </r>
  <r>
    <x v="18"/>
    <x v="4"/>
    <s v="23. Basic Education"/>
    <n v="51083934"/>
    <n v="0"/>
    <n v="0"/>
    <n v="0"/>
    <n v="0"/>
    <n v="17027978"/>
    <n v="17027978"/>
    <n v="17027978"/>
    <n v="17027978"/>
    <n v="8513989"/>
    <n v="8513989"/>
    <n v="0"/>
    <n v="0"/>
    <n v="8513989"/>
    <n v="8513989"/>
    <n v="0"/>
    <n v="0"/>
    <n v="0"/>
    <n v="0"/>
    <n v="51083934"/>
    <n v="51083934"/>
    <n v="1"/>
  </r>
  <r>
    <x v="18"/>
    <x v="5"/>
    <s v="92. Environment and Climate Change Management"/>
    <n v="4405547.6377896983"/>
    <n v="255911.245246151"/>
    <n v="255911.245246151"/>
    <n v="319889.05655768875"/>
    <n v="319889.05655768875"/>
    <n v="319889.05655768875"/>
    <n v="319889.05655768875"/>
    <n v="319889.05655768875"/>
    <n v="319889.05655768875"/>
    <n v="237861.36900353979"/>
    <n v="237861.36900353979"/>
    <n v="198217.80750294984"/>
    <n v="198217.80750294984"/>
    <n v="245659.72810956271"/>
    <n v="245659.72810956271"/>
    <n v="277504.93050412973"/>
    <n v="277504.93050412973"/>
    <n v="277504.93050412973"/>
    <n v="277504.93050412973"/>
    <n v="2452327.1805435293"/>
    <n v="2452327.1805435293"/>
    <n v="0.5566452532502596"/>
  </r>
  <r>
    <x v="18"/>
    <x v="15"/>
    <s v="96. Sustainable Rural Development"/>
    <n v="4116498.2252667127"/>
    <n v="271688.88286760304"/>
    <n v="271688.88286760304"/>
    <n v="339611.10358450381"/>
    <n v="339611.10358450381"/>
    <n v="339611.10358450381"/>
    <n v="339611.10358450381"/>
    <n v="339611.10358450381"/>
    <n v="339611.10358450381"/>
    <n v="206854.03581965232"/>
    <n v="206854.03581965232"/>
    <n v="172378.36318304361"/>
    <n v="172378.36318304361"/>
    <n v="241329.70845626103"/>
    <n v="241329.70845626103"/>
    <n v="241329.70845626103"/>
    <n v="241329.70845626103"/>
    <n v="241329.70845626103"/>
    <n v="241329.70845626103"/>
    <n v="2393743.7179925935"/>
    <n v="2393743.7179925935"/>
    <n v="0.58150000000000002"/>
  </r>
  <r>
    <x v="18"/>
    <x v="16"/>
    <s v="92. Environment and Climate Change Management"/>
    <n v="6551899.9238358922"/>
    <n v="432425.39497316891"/>
    <n v="432425.39497316891"/>
    <n v="540531.74371646112"/>
    <n v="540531.74371646112"/>
    <n v="540531.74371646112"/>
    <n v="540531.74371646112"/>
    <n v="540531.74371646112"/>
    <n v="540531.74371646112"/>
    <n v="329232.97117275355"/>
    <n v="329232.97117275355"/>
    <n v="274360.80931062798"/>
    <n v="274360.80931062798"/>
    <n v="384105.13303487917"/>
    <n v="384105.13303487917"/>
    <n v="384105.13303487917"/>
    <n v="384105.13303487917"/>
    <n v="384105.13303487917"/>
    <n v="384105.13303487917"/>
    <n v="3809929.8057105718"/>
    <n v="3809929.8057105718"/>
    <n v="0.58150000000000013"/>
  </r>
  <r>
    <x v="18"/>
    <x v="6"/>
    <s v="69. Gender Equality and Wome Empowerment"/>
    <n v="9657134.6473268196"/>
    <n v="637370.88672357018"/>
    <n v="637370.88672357018"/>
    <n v="796713.60840446269"/>
    <n v="796713.60840446269"/>
    <n v="796713.60840446269"/>
    <n v="796713.60840446269"/>
    <n v="796713.60840446269"/>
    <n v="796713.60840446269"/>
    <n v="485271.01602817251"/>
    <n v="485271.01602817251"/>
    <n v="404392.51335681044"/>
    <n v="404392.51335681044"/>
    <n v="566149.51869953459"/>
    <n v="566149.51869953459"/>
    <n v="566149.51869953459"/>
    <n v="566149.51869953459"/>
    <n v="566149.51869953459"/>
    <n v="566149.51869953459"/>
    <n v="5615623.7974205445"/>
    <n v="5615623.7974205445"/>
    <n v="0.58149999999999991"/>
  </r>
  <r>
    <x v="18"/>
    <x v="7"/>
    <s v="20. Management and Administration"/>
    <n v="109487320.28773442"/>
    <n v="7232932.0492099393"/>
    <n v="7232932.0492099393"/>
    <n v="9041165.0615124237"/>
    <n v="9041165.0615124237"/>
    <n v="9041165.0615124237"/>
    <n v="9041165.0615124237"/>
    <n v="9041165.0615124237"/>
    <n v="9041165.0615124237"/>
    <n v="5673033.8165891031"/>
    <n v="5673033.8165891031"/>
    <n v="4613251.5030578459"/>
    <n v="4613251.5030578459"/>
    <n v="6386760.3249844145"/>
    <n v="6386760.3249844145"/>
    <n v="6386760.3249844145"/>
    <n v="6386760.3249844145"/>
    <n v="6386760.3249844145"/>
    <n v="6386760.3249844145"/>
    <n v="63802993.528347403"/>
    <n v="63802993.528347403"/>
    <n v="0.58274321958626918"/>
  </r>
  <r>
    <x v="18"/>
    <x v="17"/>
    <s v="65. Primary Health Care"/>
    <n v="278817952.00531834"/>
    <n v="23002481.040438764"/>
    <n v="23002481.040438764"/>
    <n v="23002481.040438764"/>
    <n v="23002481.040438764"/>
    <n v="23002481.040438764"/>
    <n v="23002481.040438764"/>
    <n v="23002481.040438764"/>
    <n v="23002481.040438764"/>
    <n v="25676025.838244945"/>
    <n v="25676025.838244945"/>
    <n v="23779150"/>
    <n v="23779150"/>
    <n v="24419150"/>
    <n v="24419150"/>
    <n v="23129150"/>
    <n v="23129150"/>
    <n v="22877102"/>
    <n v="22877102"/>
    <n v="211890502.00000003"/>
    <n v="211890502.00000003"/>
    <n v="0.75996004014819785"/>
  </r>
  <r>
    <x v="18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8"/>
    <x v="8"/>
    <s v="60. Local Development"/>
    <n v="11415625.887323899"/>
    <n v="0"/>
    <n v="0"/>
    <n v="751704.92883579014"/>
    <n v="751704.92883579014"/>
    <n v="0"/>
    <n v="0"/>
    <n v="0"/>
    <n v="0"/>
    <n v="5331960.4792440543"/>
    <n v="5331960.4792440543"/>
    <n v="0"/>
    <n v="0"/>
    <n v="0"/>
    <n v="0"/>
    <n v="5331960.4792440543"/>
    <n v="5331960.4792440543"/>
    <n v="0"/>
    <n v="0"/>
    <n v="11415625.887323899"/>
    <n v="11415625.887323899"/>
    <n v="1"/>
  </r>
  <r>
    <x v="18"/>
    <x v="19"/>
    <s v="76. Immigration Services"/>
    <n v="8820616.5220532715"/>
    <n v="582160.69045551599"/>
    <n v="582160.69045551599"/>
    <n v="727700.86306939495"/>
    <n v="727700.86306939495"/>
    <n v="727700.86306939495"/>
    <n v="727700.86306939495"/>
    <n v="727700.86306939495"/>
    <n v="727700.86306939495"/>
    <n v="443235.98023317684"/>
    <n v="443235.98023317684"/>
    <n v="369363.3168609807"/>
    <n v="369363.3168609807"/>
    <n v="517108.64360537293"/>
    <n v="517108.64360537293"/>
    <n v="517108.64360537293"/>
    <n v="517108.64360537293"/>
    <n v="517108.64360537293"/>
    <n v="517108.64360537293"/>
    <n v="5129188.5075739771"/>
    <n v="5129188.5075739771"/>
    <n v="0.58150000000000002"/>
  </r>
  <r>
    <x v="18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18"/>
    <x v="21"/>
    <s v="18. Labour Employment and Manpower Development"/>
    <n v="7205029.771153843"/>
    <n v="475531.96489615366"/>
    <n v="475531.96489615366"/>
    <n v="594414.95612019207"/>
    <n v="594414.95612019207"/>
    <n v="594414.95612019207"/>
    <n v="594414.95612019207"/>
    <n v="594414.95612019207"/>
    <n v="594414.95612019207"/>
    <n v="362052.74600048061"/>
    <n v="362052.74600048061"/>
    <n v="301710.62166706717"/>
    <n v="301710.62166706717"/>
    <n v="422394.87033389404"/>
    <n v="422394.87033389404"/>
    <n v="422394.87033389404"/>
    <n v="422394.87033389404"/>
    <n v="422394.87033389404"/>
    <n v="422394.87033389404"/>
    <n v="4189724.8119259598"/>
    <n v="4189724.8119259598"/>
    <n v="0.58150000000000002"/>
  </r>
  <r>
    <x v="18"/>
    <x v="22"/>
    <s v="15. Security Services"/>
    <n v="8441602.2226682659"/>
    <n v="557145.74669610558"/>
    <n v="557145.74669610558"/>
    <n v="696432.183370132"/>
    <n v="696432.183370132"/>
    <n v="696432.183370132"/>
    <n v="696432.183370132"/>
    <n v="696432.183370132"/>
    <n v="696432.183370132"/>
    <n v="424190.51168908033"/>
    <n v="424190.51168908033"/>
    <n v="353492.09307423362"/>
    <n v="353492.09307423362"/>
    <n v="494888.93030392705"/>
    <n v="494888.93030392705"/>
    <n v="494888.93030392705"/>
    <n v="494888.93030392705"/>
    <n v="494888.93030392705"/>
    <n v="494888.93030392705"/>
    <n v="4908791.692481596"/>
    <n v="4908791.692481596"/>
    <n v="0.58149999999999991"/>
  </r>
  <r>
    <x v="18"/>
    <x v="9"/>
    <s v="95. Sports and Culture"/>
    <n v="6256585.4502259959"/>
    <n v="412934.63971491577"/>
    <n v="412934.63971491577"/>
    <n v="516168.29964364466"/>
    <n v="516168.29964364466"/>
    <n v="516168.29964364466"/>
    <n v="516168.29964364466"/>
    <n v="516168.29964364466"/>
    <n v="516168.29964364466"/>
    <n v="314393.41887385619"/>
    <n v="314393.41887385619"/>
    <n v="261994.5157282135"/>
    <n v="261994.5157282135"/>
    <n v="366792.32201949891"/>
    <n v="366792.32201949891"/>
    <n v="366792.32201949891"/>
    <n v="366792.32201949891"/>
    <n v="366792.32201949891"/>
    <n v="366792.32201949891"/>
    <n v="3638204.4393064161"/>
    <n v="3638204.4393064161"/>
    <n v="0.58149999999999991"/>
  </r>
  <r>
    <x v="18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18"/>
    <x v="23"/>
    <s v="04. Water Resources Development Management and Supply"/>
    <n v="8326840.2335215565"/>
    <n v="549571.45541242277"/>
    <n v="549571.45541242277"/>
    <n v="686964.31926552847"/>
    <n v="686964.31926552847"/>
    <n v="686964.31926552847"/>
    <n v="686964.31926552847"/>
    <n v="686964.31926552847"/>
    <n v="686964.31926552847"/>
    <n v="418423.72173445817"/>
    <n v="418423.72173445817"/>
    <n v="348686.43477871513"/>
    <n v="348686.43477871513"/>
    <n v="488161.00869020115"/>
    <n v="488161.00869020115"/>
    <n v="488161.00869020115"/>
    <n v="488161.00869020115"/>
    <n v="488161.00869020115"/>
    <n v="488161.00869020115"/>
    <n v="4842057.5957927853"/>
    <n v="4842057.5957927853"/>
    <n v="0.58150000000000002"/>
  </r>
  <r>
    <x v="18"/>
    <x v="10"/>
    <s v="83. Youth Development"/>
    <n v="6569414.7227372956"/>
    <n v="433581.37170066155"/>
    <n v="433581.37170066155"/>
    <n v="541976.71462582692"/>
    <n v="541976.71462582692"/>
    <n v="541976.71462582692"/>
    <n v="541976.71462582692"/>
    <n v="541976.71462582692"/>
    <n v="541976.71462582692"/>
    <n v="330113.08981754904"/>
    <n v="330113.08981754904"/>
    <n v="275094.24151462421"/>
    <n v="275094.24151462421"/>
    <n v="385131.93812047387"/>
    <n v="385131.93812047387"/>
    <n v="385131.93812047387"/>
    <n v="385131.93812047387"/>
    <n v="385131.93812047387"/>
    <n v="385131.93812047387"/>
    <n v="3820114.6612717379"/>
    <n v="3820114.6612717379"/>
    <n v="0.58150000000000013"/>
  </r>
  <r>
    <x v="19"/>
    <x v="12"/>
    <s v="49. Agricultural Productivity and Risk Management"/>
    <n v="53922771"/>
    <n v="4799514.3264088389"/>
    <n v="4799514.3264088389"/>
    <n v="5999392.9080110481"/>
    <n v="5999392.9080110481"/>
    <n v="5999392.9080110481"/>
    <n v="5999392.9080110481"/>
    <n v="5999392.9080110481"/>
    <n v="5999392.9080110481"/>
    <n v="3740649.9209944755"/>
    <n v="3740649.9209944755"/>
    <n v="3740649.9209944755"/>
    <n v="3740649.9209944755"/>
    <n v="3740649.9209944755"/>
    <n v="3740649.9209944755"/>
    <n v="3740649.9209944755"/>
    <n v="3740649.9209944755"/>
    <n v="3740649.9209944755"/>
    <n v="3740649.9209944755"/>
    <n v="41500942.655414365"/>
    <n v="41500942.655414365"/>
    <n v="0.76963668383092487"/>
  </r>
  <r>
    <x v="19"/>
    <x v="12"/>
    <s v="49. Agricultural Productivity and Risk Management"/>
    <n v="18797143"/>
    <n v="0"/>
    <n v="0"/>
    <n v="0"/>
    <n v="0"/>
    <n v="0"/>
    <n v="0"/>
    <n v="0"/>
    <n v="0"/>
    <n v="9398571.5"/>
    <n v="9398571.5"/>
    <n v="9398571.5"/>
    <n v="9398571.5"/>
    <n v="0"/>
    <n v="0"/>
    <n v="0"/>
    <n v="0"/>
    <n v="0"/>
    <n v="0"/>
    <n v="18797143"/>
    <n v="18797143"/>
    <n v="1"/>
  </r>
  <r>
    <x v="19"/>
    <x v="0"/>
    <s v="60. Local Development"/>
    <n v="144000000"/>
    <n v="0"/>
    <n v="0"/>
    <n v="28800000"/>
    <n v="28800000"/>
    <n v="0"/>
    <n v="0"/>
    <n v="0"/>
    <n v="0"/>
    <n v="0"/>
    <n v="0"/>
    <n v="43200000"/>
    <n v="43200000"/>
    <n v="0"/>
    <n v="0"/>
    <n v="43200000"/>
    <n v="43200000"/>
    <n v="28800000"/>
    <n v="28800000"/>
    <n v="144000000"/>
    <n v="144000000"/>
    <n v="1"/>
  </r>
  <r>
    <x v="19"/>
    <x v="1"/>
    <s v="60. Local Development"/>
    <n v="360000000"/>
    <n v="0"/>
    <n v="0"/>
    <n v="99000000"/>
    <n v="99000000"/>
    <n v="0"/>
    <n v="0"/>
    <n v="0"/>
    <n v="0"/>
    <n v="0"/>
    <n v="0"/>
    <n v="87000000"/>
    <n v="87000000"/>
    <n v="0"/>
    <n v="0"/>
    <n v="87000000"/>
    <n v="87000000"/>
    <n v="87000000"/>
    <n v="87000000"/>
    <n v="360000000"/>
    <n v="360000000"/>
    <n v="1"/>
  </r>
  <r>
    <x v="19"/>
    <x v="3"/>
    <s v="70. Community Development"/>
    <n v="10396557.126573715"/>
    <n v="686172.77035386534"/>
    <n v="686172.77035386534"/>
    <n v="857715.96294233156"/>
    <n v="857715.96294233156"/>
    <n v="857715.96294233156"/>
    <n v="857715.96294233156"/>
    <n v="857715.96294233156"/>
    <n v="857715.96294233156"/>
    <n v="522426.99561032903"/>
    <n v="522426.99561032903"/>
    <n v="435355.8296752742"/>
    <n v="435355.8296752742"/>
    <n v="609498.16154538386"/>
    <n v="609498.16154538386"/>
    <n v="609498.16154538386"/>
    <n v="609498.16154538386"/>
    <n v="609498.16154538386"/>
    <n v="609498.16154538386"/>
    <n v="6045597.9691026155"/>
    <n v="6045597.9691026155"/>
    <n v="0.58150000000000002"/>
  </r>
  <r>
    <x v="19"/>
    <x v="13"/>
    <s v="60. Local Development"/>
    <n v="182635955"/>
    <n v="0"/>
    <n v="0"/>
    <n v="14610876.39833579"/>
    <n v="14610876.39833579"/>
    <n v="0"/>
    <n v="0"/>
    <n v="0"/>
    <n v="0"/>
    <n v="42006269.650416054"/>
    <n v="42006269.650416054"/>
    <n v="0"/>
    <n v="0"/>
    <n v="0"/>
    <n v="0"/>
    <n v="63009404.475624084"/>
    <n v="63009404.475624084"/>
    <n v="0"/>
    <n v="0"/>
    <n v="119626550.52437592"/>
    <n v="119626550.52437592"/>
    <n v="0.65499999999658287"/>
  </r>
  <r>
    <x v="19"/>
    <x v="14"/>
    <s v="Disaster Risk Management"/>
    <n v="45642857"/>
    <n v="19359999.999120001"/>
    <n v="19359999.999120001"/>
    <n v="0"/>
    <n v="0"/>
    <n v="0"/>
    <n v="0"/>
    <n v="0"/>
    <n v="0"/>
    <n v="1608214.2857967855"/>
    <n v="1608214.2857967855"/>
    <n v="1340178.5714973214"/>
    <n v="1340178.5714973214"/>
    <n v="1876250.0000962499"/>
    <n v="1876250.0000962499"/>
    <n v="1876250.0000962499"/>
    <n v="1876250.0000962499"/>
    <n v="1876250.0000962499"/>
    <n v="1876250.0000962499"/>
    <n v="27937142.856702857"/>
    <n v="27937142.856702857"/>
    <n v="0.61208137905790727"/>
  </r>
  <r>
    <x v="19"/>
    <x v="4"/>
    <s v="23. Basic Education"/>
    <n v="193387110"/>
    <n v="19691152.564161453"/>
    <n v="19691152.564161453"/>
    <n v="21482447"/>
    <n v="21482447"/>
    <n v="17213908"/>
    <n v="17213908"/>
    <n v="15029533.037316401"/>
    <n v="15029533.037316401"/>
    <n v="49240551.216986522"/>
    <n v="49240551.216986522"/>
    <n v="28222832.650089376"/>
    <n v="28222832.650089376"/>
    <n v="16900202.737956569"/>
    <n v="16900202.737956569"/>
    <n v="5198309.9291782994"/>
    <n v="5198309.9291782994"/>
    <n v="4628630.9273015978"/>
    <n v="4628630.9273015978"/>
    <n v="177607568.06299022"/>
    <n v="177607568.06299022"/>
    <n v="0.91840437588105128"/>
  </r>
  <r>
    <x v="19"/>
    <x v="4"/>
    <s v="23. Basic Education"/>
    <n v="221281418"/>
    <n v="0"/>
    <n v="0"/>
    <n v="0"/>
    <n v="0"/>
    <n v="51281418"/>
    <n v="51281418"/>
    <n v="0"/>
    <n v="0"/>
    <n v="63750000"/>
    <n v="63750000"/>
    <n v="42500000"/>
    <n v="42500000"/>
    <n v="63750000"/>
    <n v="63750000"/>
    <n v="0"/>
    <n v="0"/>
    <n v="0"/>
    <n v="0"/>
    <n v="221281418"/>
    <n v="221281418"/>
    <n v="1"/>
  </r>
  <r>
    <x v="19"/>
    <x v="4"/>
    <s v="23. Basic Education"/>
    <n v="62898740"/>
    <n v="0"/>
    <n v="0"/>
    <n v="32898740"/>
    <n v="32898740"/>
    <n v="0"/>
    <n v="0"/>
    <n v="0"/>
    <n v="0"/>
    <n v="11250000"/>
    <n v="11250000"/>
    <n v="7500000"/>
    <n v="7500000"/>
    <n v="11250000"/>
    <n v="11250000"/>
    <n v="0"/>
    <n v="0"/>
    <n v="0"/>
    <n v="0"/>
    <n v="62898740"/>
    <n v="62898740"/>
    <n v="1"/>
  </r>
  <r>
    <x v="19"/>
    <x v="5"/>
    <s v="92. Environment and Climate Change Management"/>
    <n v="4180087"/>
    <n v="242814.5726648519"/>
    <n v="242814.5726648519"/>
    <n v="303518.21583106485"/>
    <n v="303518.21583106485"/>
    <n v="303518.21583106485"/>
    <n v="303518.21583106485"/>
    <n v="303518.21583106485"/>
    <n v="303518.21583106485"/>
    <n v="225688.42808184447"/>
    <n v="225688.42808184447"/>
    <n v="188073.69006820372"/>
    <n v="188073.69006820372"/>
    <n v="233087.73300462257"/>
    <n v="233087.73300462257"/>
    <n v="263303.16609548521"/>
    <n v="263303.16609548521"/>
    <n v="263303.16609548521"/>
    <n v="263303.16609548521"/>
    <n v="2326825.4035036876"/>
    <n v="2326825.4035036876"/>
    <n v="0.55664520941877227"/>
  </r>
  <r>
    <x v="19"/>
    <x v="15"/>
    <s v="96. Sustainable Rural Development"/>
    <n v="18658103.644845013"/>
    <n v="1231434.8405597711"/>
    <n v="1231434.8405597711"/>
    <n v="1539293.5506997136"/>
    <n v="1539293.5506997136"/>
    <n v="1539293.5506997136"/>
    <n v="1539293.5506997136"/>
    <n v="1539293.5506997136"/>
    <n v="1539293.5506997136"/>
    <n v="937569.7081534618"/>
    <n v="937569.7081534618"/>
    <n v="781308.09012788488"/>
    <n v="781308.09012788488"/>
    <n v="1093831.3261790387"/>
    <n v="1093831.3261790387"/>
    <n v="1093831.3261790387"/>
    <n v="1093831.3261790387"/>
    <n v="1093831.3261790387"/>
    <n v="1093831.3261790387"/>
    <n v="10849687.269477375"/>
    <n v="10849687.269477375"/>
    <n v="0.58150000000000002"/>
  </r>
  <r>
    <x v="19"/>
    <x v="16"/>
    <s v="92. Environment and Climate Change Management"/>
    <n v="8445270.789711576"/>
    <n v="557387.87212096411"/>
    <n v="557387.87212096411"/>
    <n v="696734.84015120508"/>
    <n v="696734.84015120508"/>
    <n v="696734.84015120508"/>
    <n v="696734.84015120508"/>
    <n v="696734.84015120508"/>
    <n v="696734.84015120508"/>
    <n v="424374.85718300665"/>
    <n v="424374.85718300665"/>
    <n v="353645.7143191722"/>
    <n v="353645.7143191722"/>
    <n v="495104.00004684104"/>
    <n v="495104.00004684104"/>
    <n v="495104.00004684104"/>
    <n v="495104.00004684104"/>
    <n v="495104.00004684104"/>
    <n v="495104.00004684104"/>
    <n v="4910924.9642172819"/>
    <n v="4910924.9642172819"/>
    <n v="0.58150000000000002"/>
  </r>
  <r>
    <x v="19"/>
    <x v="6"/>
    <s v="69. Gender Equality and Wome Empowerment"/>
    <n v="10396557.126573715"/>
    <n v="686172.77035386534"/>
    <n v="686172.77035386534"/>
    <n v="857715.96294233156"/>
    <n v="857715.96294233156"/>
    <n v="857715.96294233156"/>
    <n v="857715.96294233156"/>
    <n v="857715.96294233156"/>
    <n v="857715.96294233156"/>
    <n v="522426.99561032903"/>
    <n v="522426.99561032903"/>
    <n v="435355.8296752742"/>
    <n v="435355.8296752742"/>
    <n v="609498.16154538386"/>
    <n v="609498.16154538386"/>
    <n v="609498.16154538386"/>
    <n v="609498.16154538386"/>
    <n v="609498.16154538386"/>
    <n v="609498.16154538386"/>
    <n v="6045597.9691026155"/>
    <n v="6045597.9691026155"/>
    <n v="0.58150000000000002"/>
  </r>
  <r>
    <x v="19"/>
    <x v="7"/>
    <s v="20. Management and Administration"/>
    <n v="152006372.65269536"/>
    <n v="10041818.238188745"/>
    <n v="10041818.238188745"/>
    <n v="12552272.797735931"/>
    <n v="12552272.797735931"/>
    <n v="12552272.797735931"/>
    <n v="12552272.797735931"/>
    <n v="12552272.797735931"/>
    <n v="12552272.797735931"/>
    <n v="7876138.4812827865"/>
    <n v="7876138.4812827865"/>
    <n v="6404793.0722393775"/>
    <n v="6404793.0722393775"/>
    <n v="8867038.4123647716"/>
    <n v="8867038.4123647716"/>
    <n v="8867038.4123647716"/>
    <n v="8867038.4123647716"/>
    <n v="8867038.4123647716"/>
    <n v="8867038.4123647716"/>
    <n v="88580683.422013015"/>
    <n v="88580683.422013015"/>
    <n v="0.58274322238056719"/>
  </r>
  <r>
    <x v="19"/>
    <x v="17"/>
    <s v="65. Primary Health Care"/>
    <n v="461688427.48108041"/>
    <n v="38089295.267189138"/>
    <n v="38089295.267189138"/>
    <n v="38089295.267189138"/>
    <n v="38089295.267189138"/>
    <n v="38089295.267189138"/>
    <n v="38089295.267189138"/>
    <n v="38089295.267189138"/>
    <n v="38089295.267189138"/>
    <n v="40012996.847910129"/>
    <n v="40012996.847910129"/>
    <n v="38474035.583333336"/>
    <n v="38474035.583333336"/>
    <n v="38474035.583333336"/>
    <n v="38474035.583333336"/>
    <n v="38474035.583333336"/>
    <n v="38474035.583333336"/>
    <n v="38474035.583333336"/>
    <n v="38474035.583333336"/>
    <n v="346266320.25000006"/>
    <n v="346266320.25000006"/>
    <n v="0.74999999921849836"/>
  </r>
  <r>
    <x v="19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19"/>
    <x v="19"/>
    <s v="76. Immigration Services"/>
    <n v="13522418.482223812"/>
    <n v="892479.61982677178"/>
    <n v="892479.61982677178"/>
    <n v="1115599.5247834646"/>
    <n v="1115599.5247834646"/>
    <n v="1115599.5247834646"/>
    <n v="1115599.5247834646"/>
    <n v="1115599.5247834646"/>
    <n v="1115599.5247834646"/>
    <n v="679501.52873174648"/>
    <n v="679501.52873174648"/>
    <n v="566251.27394312213"/>
    <n v="566251.27394312213"/>
    <n v="792751.78352037095"/>
    <n v="792751.78352037095"/>
    <n v="792751.78352037095"/>
    <n v="792751.78352037095"/>
    <n v="792751.78352037095"/>
    <n v="792751.78352037095"/>
    <n v="7863286.3474131469"/>
    <n v="7863286.3474131469"/>
    <n v="0.58150000000000002"/>
  </r>
  <r>
    <x v="19"/>
    <x v="20"/>
    <s v="96. Sustainable Rural Development"/>
    <n v="9646875.0213281233"/>
    <n v="636693.75140765624"/>
    <n v="636693.75140765624"/>
    <n v="795867.18925957021"/>
    <n v="795867.18925957021"/>
    <n v="795867.18925957021"/>
    <n v="795867.18925957021"/>
    <n v="795867.18925957021"/>
    <n v="795867.18925957021"/>
    <n v="484755.4698217382"/>
    <n v="484755.4698217382"/>
    <n v="403962.89151811518"/>
    <n v="403962.89151811518"/>
    <n v="565548.04812536121"/>
    <n v="565548.04812536121"/>
    <n v="565548.04812536121"/>
    <n v="565548.04812536121"/>
    <n v="565548.04812536121"/>
    <n v="565548.04812536121"/>
    <n v="5609657.8249023035"/>
    <n v="5609657.8249023035"/>
    <n v="0.58150000000000002"/>
  </r>
  <r>
    <x v="19"/>
    <x v="21"/>
    <s v="18. Labour Employment and Manpower Development"/>
    <n v="6845890.9211538434"/>
    <n v="451828.80079615372"/>
    <n v="451828.80079615372"/>
    <n v="564786.00099519209"/>
    <n v="564786.00099519209"/>
    <n v="564786.00099519209"/>
    <n v="564786.00099519209"/>
    <n v="564786.00099519209"/>
    <n v="564786.00099519209"/>
    <n v="344006.0187879806"/>
    <n v="344006.0187879806"/>
    <n v="286671.68232331716"/>
    <n v="286671.68232331716"/>
    <n v="401340.35525264399"/>
    <n v="401340.35525264399"/>
    <n v="401340.35525264399"/>
    <n v="401340.35525264399"/>
    <n v="401340.35525264399"/>
    <n v="401340.35525264399"/>
    <n v="3980885.5706509603"/>
    <n v="3980885.5706509603"/>
    <n v="0.58150000000000002"/>
  </r>
  <r>
    <x v="19"/>
    <x v="22"/>
    <s v="15. Security Services"/>
    <n v="12689634.087924575"/>
    <n v="837515.84980302211"/>
    <n v="837515.84980302211"/>
    <n v="1046894.8122537775"/>
    <n v="1046894.8122537775"/>
    <n v="1046894.8122537775"/>
    <n v="1046894.8122537775"/>
    <n v="1046894.8122537775"/>
    <n v="1046894.8122537775"/>
    <n v="637654.11291820987"/>
    <n v="637654.11291820987"/>
    <n v="531378.42743184161"/>
    <n v="531378.42743184161"/>
    <n v="743929.79840457824"/>
    <n v="743929.79840457824"/>
    <n v="743929.79840457824"/>
    <n v="743929.79840457824"/>
    <n v="743929.79840457824"/>
    <n v="743929.79840457824"/>
    <n v="7379022.2221281417"/>
    <n v="7379022.2221281417"/>
    <n v="0.58150000000000013"/>
  </r>
  <r>
    <x v="19"/>
    <x v="9"/>
    <s v="95. Sports and Culture"/>
    <n v="7238492.2910656044"/>
    <n v="477740.49121032993"/>
    <n v="477740.49121032993"/>
    <n v="597175.61401291238"/>
    <n v="597175.61401291238"/>
    <n v="597175.61401291238"/>
    <n v="597175.61401291238"/>
    <n v="597175.61401291238"/>
    <n v="597175.61401291238"/>
    <n v="363734.2376260467"/>
    <n v="363734.2376260467"/>
    <n v="303111.86468837224"/>
    <n v="303111.86468837224"/>
    <n v="424356.6105637211"/>
    <n v="424356.6105637211"/>
    <n v="424356.6105637211"/>
    <n v="424356.6105637211"/>
    <n v="424356.6105637211"/>
    <n v="424356.6105637211"/>
    <n v="4209183.2672546497"/>
    <n v="4209183.2672546497"/>
    <n v="0.58150000000000013"/>
  </r>
  <r>
    <x v="19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19"/>
    <x v="23"/>
    <s v="04. Water Resources Development Management and Supply"/>
    <n v="7926492.4951663185"/>
    <n v="523148.50468097703"/>
    <n v="523148.50468097703"/>
    <n v="653935.63085122127"/>
    <n v="653935.63085122127"/>
    <n v="653935.63085122127"/>
    <n v="653935.63085122127"/>
    <n v="653935.63085122127"/>
    <n v="653935.63085122127"/>
    <n v="398306.24788210751"/>
    <n v="398306.24788210751"/>
    <n v="331921.87323508959"/>
    <n v="331921.87323508959"/>
    <n v="464690.62252912536"/>
    <n v="464690.62252912536"/>
    <n v="464690.62252912536"/>
    <n v="464690.62252912536"/>
    <n v="464690.62252912536"/>
    <n v="464690.62252912536"/>
    <n v="4609255.3859392144"/>
    <n v="4609255.3859392144"/>
    <n v="0.58150000000000002"/>
  </r>
  <r>
    <x v="19"/>
    <x v="10"/>
    <s v="83. Youth Development"/>
    <n v="7600416.9056188837"/>
    <n v="501627.51577084634"/>
    <n v="501627.51577084634"/>
    <n v="627034.39471355791"/>
    <n v="627034.39471355791"/>
    <n v="627034.39471355791"/>
    <n v="627034.39471355791"/>
    <n v="627034.39471355791"/>
    <n v="627034.39471355791"/>
    <n v="381920.94950734894"/>
    <n v="381920.94950734894"/>
    <n v="318267.45792279078"/>
    <n v="318267.45792279078"/>
    <n v="445574.44109190709"/>
    <n v="445574.44109190709"/>
    <n v="445574.44109190709"/>
    <n v="445574.44109190709"/>
    <n v="445574.44109190709"/>
    <n v="445574.44109190709"/>
    <n v="4419642.4306173809"/>
    <n v="4419642.4306173809"/>
    <n v="0.58150000000000002"/>
  </r>
  <r>
    <x v="20"/>
    <x v="12"/>
    <s v="49. Agricultural Productivity and Risk Management"/>
    <n v="38958953.120000005"/>
    <n v="4271680.5728799049"/>
    <n v="4271680.5728799049"/>
    <n v="5339600.7160998806"/>
    <n v="5339600.7160998806"/>
    <n v="5339600.7160998806"/>
    <n v="5339600.7160998806"/>
    <n v="5339600.7160998806"/>
    <n v="5339600.7160998806"/>
    <n v="2200068.7819500603"/>
    <n v="2200068.7819500603"/>
    <n v="2200068.7819500603"/>
    <n v="2200068.7819500603"/>
    <n v="2200068.7819500603"/>
    <n v="2200068.7819500603"/>
    <n v="2200068.7819500603"/>
    <n v="2200068.7819500603"/>
    <n v="2200068.7819500603"/>
    <n v="2200068.7819500603"/>
    <n v="31290826.63092985"/>
    <n v="31290826.63092985"/>
    <n v="0.80317421606655959"/>
  </r>
  <r>
    <x v="20"/>
    <x v="12"/>
    <s v="49. Agricultural Productivity and Risk Management"/>
    <n v="25763479.879999999"/>
    <n v="0"/>
    <n v="0"/>
    <n v="0"/>
    <n v="0"/>
    <n v="0"/>
    <n v="0"/>
    <n v="0"/>
    <n v="0"/>
    <n v="12881739.939999999"/>
    <n v="12881739.939999999"/>
    <n v="12881739.939999999"/>
    <n v="12881739.939999999"/>
    <n v="0"/>
    <n v="0"/>
    <n v="0"/>
    <n v="0"/>
    <n v="0"/>
    <n v="0"/>
    <n v="25763479.879999999"/>
    <n v="25763479.879999999"/>
    <n v="1"/>
  </r>
  <r>
    <x v="20"/>
    <x v="0"/>
    <s v="60. Local Development"/>
    <n v="72000000"/>
    <n v="0"/>
    <n v="0"/>
    <n v="14400000"/>
    <n v="14400000"/>
    <n v="0"/>
    <n v="0"/>
    <n v="0"/>
    <n v="0"/>
    <n v="0"/>
    <n v="0"/>
    <n v="21600000"/>
    <n v="21600000"/>
    <n v="0"/>
    <n v="0"/>
    <n v="21600000"/>
    <n v="21600000"/>
    <n v="14400000"/>
    <n v="14400000"/>
    <n v="72000000"/>
    <n v="72000000"/>
    <n v="1"/>
  </r>
  <r>
    <x v="20"/>
    <x v="1"/>
    <s v="60. Local Development"/>
    <n v="180000000"/>
    <n v="0"/>
    <n v="0"/>
    <n v="49500000"/>
    <n v="49500000"/>
    <n v="0"/>
    <n v="0"/>
    <n v="0"/>
    <n v="0"/>
    <n v="0"/>
    <n v="0"/>
    <n v="43500000"/>
    <n v="43500000"/>
    <n v="0"/>
    <n v="0"/>
    <n v="43500000"/>
    <n v="43500000"/>
    <n v="43500000"/>
    <n v="43500000"/>
    <n v="180000000"/>
    <n v="180000000"/>
    <n v="1"/>
  </r>
  <r>
    <x v="20"/>
    <x v="3"/>
    <s v="70. Community Development"/>
    <n v="8323668.0433047041"/>
    <n v="549362.09085811058"/>
    <n v="549362.09085811058"/>
    <n v="686702.61357263813"/>
    <n v="686702.61357263813"/>
    <n v="686702.61357263813"/>
    <n v="686702.61357263813"/>
    <n v="686702.61357263813"/>
    <n v="686702.61357263813"/>
    <n v="418264.31917606125"/>
    <n v="418264.31917606125"/>
    <n v="348553.59931338439"/>
    <n v="348553.59931338439"/>
    <n v="487975.03903873812"/>
    <n v="487975.03903873812"/>
    <n v="487975.03903873812"/>
    <n v="487975.03903873812"/>
    <n v="487975.03903873812"/>
    <n v="487975.03903873812"/>
    <n v="4840212.9671816844"/>
    <n v="4840212.9671816844"/>
    <n v="0.58149999999999991"/>
  </r>
  <r>
    <x v="20"/>
    <x v="13"/>
    <s v="60. Local Development"/>
    <n v="122695098"/>
    <n v="0"/>
    <n v="0"/>
    <n v="9815607.8388819825"/>
    <n v="9815607.8388819825"/>
    <n v="0"/>
    <n v="0"/>
    <n v="0"/>
    <n v="0"/>
    <n v="28219872.540279504"/>
    <n v="28219872.540279504"/>
    <n v="0"/>
    <n v="0"/>
    <n v="0"/>
    <n v="0"/>
    <n v="42329808.810419254"/>
    <n v="42329808.810419254"/>
    <n v="0"/>
    <n v="0"/>
    <n v="80365289.189580739"/>
    <n v="80365289.189580739"/>
    <n v="0.65499999999658287"/>
  </r>
  <r>
    <x v="20"/>
    <x v="14"/>
    <s v="Disaster Risk Management"/>
    <n v="26642857"/>
    <n v="0"/>
    <n v="0"/>
    <n v="0"/>
    <n v="0"/>
    <n v="0"/>
    <n v="0"/>
    <n v="0"/>
    <n v="0"/>
    <n v="1998214.2857142854"/>
    <n v="1998214.2857142854"/>
    <n v="1665178.5714285714"/>
    <n v="1665178.5714285714"/>
    <n v="2331249.9999999995"/>
    <n v="2331249.9999999995"/>
    <n v="2331249.9999999995"/>
    <n v="2331249.9999999995"/>
    <n v="2331249.9999999995"/>
    <n v="2331249.9999999995"/>
    <n v="10657142.857142854"/>
    <n v="10657142.857142854"/>
    <n v="0.40000000214477205"/>
  </r>
  <r>
    <x v="20"/>
    <x v="4"/>
    <s v="23. Basic Education"/>
    <n v="154340809"/>
    <n v="12096481.007991999"/>
    <n v="12096481.007991999"/>
    <n v="15839068"/>
    <n v="15839068"/>
    <n v="12031994.012262633"/>
    <n v="12031994.012262633"/>
    <n v="15285085"/>
    <n v="15285085"/>
    <n v="31499999.999999993"/>
    <n v="31499999.999999993"/>
    <n v="28475827.005078152"/>
    <n v="28475827.005078152"/>
    <n v="12823290.011619443"/>
    <n v="12823290.011619443"/>
    <n v="8620503.0007636566"/>
    <n v="8620503.0007636566"/>
    <n v="4983256.9512485303"/>
    <n v="4983256.9512485303"/>
    <n v="141655504.98896438"/>
    <n v="141655504.98896438"/>
    <n v="0.91780978671016544"/>
  </r>
  <r>
    <x v="20"/>
    <x v="4"/>
    <s v="23. Basic Education"/>
    <n v="151613253"/>
    <n v="0"/>
    <n v="0"/>
    <n v="0"/>
    <n v="0"/>
    <n v="38026067.496329501"/>
    <n v="38026067.496329501"/>
    <n v="0"/>
    <n v="0"/>
    <n v="42595194.563876435"/>
    <n v="42595194.563876435"/>
    <n v="28396796.375917625"/>
    <n v="28396796.375917625"/>
    <n v="42595194.563876435"/>
    <n v="42595194.563876435"/>
    <n v="0"/>
    <n v="0"/>
    <n v="0"/>
    <n v="0"/>
    <n v="151613253"/>
    <n v="151613253"/>
    <n v="1"/>
  </r>
  <r>
    <x v="20"/>
    <x v="4"/>
    <s v="23. Basic Education"/>
    <n v="39830067"/>
    <n v="20830067"/>
    <n v="20830067"/>
    <n v="0"/>
    <n v="0"/>
    <n v="0"/>
    <n v="0"/>
    <n v="0"/>
    <n v="0"/>
    <n v="7125000"/>
    <n v="7125000"/>
    <n v="4750000"/>
    <n v="4750000"/>
    <n v="7125000"/>
    <n v="7125000"/>
    <n v="0"/>
    <n v="0"/>
    <n v="0"/>
    <n v="0"/>
    <n v="39830067"/>
    <n v="39830067"/>
    <n v="1"/>
  </r>
  <r>
    <x v="20"/>
    <x v="5"/>
    <s v="92. Environment and Climate Change Management"/>
    <n v="5972123"/>
    <n v="346911.08941924229"/>
    <n v="346911.08941924229"/>
    <n v="433638.86177405284"/>
    <n v="433638.86177405284"/>
    <n v="433638.86177405284"/>
    <n v="433638.86177405284"/>
    <n v="433638.86177405284"/>
    <n v="433638.86177405284"/>
    <n v="322442.83197637845"/>
    <n v="322442.83197637845"/>
    <n v="268702.35998031538"/>
    <n v="268702.35998031538"/>
    <n v="333014.1592255623"/>
    <n v="333014.1592255623"/>
    <n v="376183.30397244153"/>
    <n v="376183.30397244153"/>
    <n v="376183.30397244153"/>
    <n v="376183.30397244153"/>
    <n v="3324353.6338685406"/>
    <n v="3324353.6338685406"/>
    <n v="0.55664520537647011"/>
  </r>
  <r>
    <x v="20"/>
    <x v="15"/>
    <s v="96. Sustainable Rural Development"/>
    <n v="5626914.0819133446"/>
    <n v="371376.32940628077"/>
    <n v="371376.32940628077"/>
    <n v="464220.41175785096"/>
    <n v="464220.41175785096"/>
    <n v="464220.41175785096"/>
    <n v="464220.41175785096"/>
    <n v="464220.41175785096"/>
    <n v="464220.41175785096"/>
    <n v="282752.43261614552"/>
    <n v="282752.43261614552"/>
    <n v="235627.02718012128"/>
    <n v="235627.02718012128"/>
    <n v="329877.83805216977"/>
    <n v="329877.83805216977"/>
    <n v="329877.83805216977"/>
    <n v="329877.83805216977"/>
    <n v="329877.83805216977"/>
    <n v="329877.83805216977"/>
    <n v="3272050.5386326099"/>
    <n v="3272050.5386326099"/>
    <n v="0.58150000000000002"/>
  </r>
  <r>
    <x v="20"/>
    <x v="16"/>
    <s v="92. Environment and Climate Change Management"/>
    <n v="5881318.482322379"/>
    <n v="388167.01983327704"/>
    <n v="388167.01983327704"/>
    <n v="485208.77479159628"/>
    <n v="485208.77479159628"/>
    <n v="485208.77479159628"/>
    <n v="485208.77479159628"/>
    <n v="485208.77479159628"/>
    <n v="485208.77479159628"/>
    <n v="295536.25373669952"/>
    <n v="295536.25373669952"/>
    <n v="246280.21144724963"/>
    <n v="246280.21144724963"/>
    <n v="344792.29602614947"/>
    <n v="344792.29602614947"/>
    <n v="344792.29602614947"/>
    <n v="344792.29602614947"/>
    <n v="344792.29602614947"/>
    <n v="344792.29602614947"/>
    <n v="3419986.6974704633"/>
    <n v="3419986.6974704633"/>
    <n v="0.58150000000000002"/>
  </r>
  <r>
    <x v="20"/>
    <x v="6"/>
    <s v="69. Gender Equality and Wome Empowerment"/>
    <n v="8323668.0433047041"/>
    <n v="549362.09085811058"/>
    <n v="549362.09085811058"/>
    <n v="686702.61357263813"/>
    <n v="686702.61357263813"/>
    <n v="686702.61357263813"/>
    <n v="686702.61357263813"/>
    <n v="686702.61357263813"/>
    <n v="686702.61357263813"/>
    <n v="418264.31917606125"/>
    <n v="418264.31917606125"/>
    <n v="348553.59931338439"/>
    <n v="348553.59931338439"/>
    <n v="487975.03903873812"/>
    <n v="487975.03903873812"/>
    <n v="487975.03903873812"/>
    <n v="487975.03903873812"/>
    <n v="487975.03903873812"/>
    <n v="487975.03903873812"/>
    <n v="4840212.9671816844"/>
    <n v="4840212.9671816844"/>
    <n v="0.58149999999999991"/>
  </r>
  <r>
    <x v="20"/>
    <x v="7"/>
    <s v="20. Management and Administration"/>
    <n v="91180433.863948688"/>
    <n v="6023545.7748404276"/>
    <n v="6023545.7748404276"/>
    <n v="7529432.218550534"/>
    <n v="7529432.218550534"/>
    <n v="7529432.218550534"/>
    <n v="7529432.218550534"/>
    <n v="7529432.218550534"/>
    <n v="7529432.218550534"/>
    <n v="4724471.1610659715"/>
    <n v="4724471.1610659715"/>
    <n v="3841890.3164665722"/>
    <n v="3841890.3164665722"/>
    <n v="5318858.6466370253"/>
    <n v="5318858.6466370253"/>
    <n v="5318858.6466370253"/>
    <n v="5318858.6466370253"/>
    <n v="5318858.6466370253"/>
    <n v="5318858.6466370253"/>
    <n v="53134779.847935647"/>
    <n v="53134779.847935647"/>
    <n v="0.58274322238056719"/>
  </r>
  <r>
    <x v="20"/>
    <x v="17"/>
    <s v="65. Primary Health Care"/>
    <n v="288839439.17101151"/>
    <n v="23829253.73160845"/>
    <n v="23829253.73160845"/>
    <n v="23829253.73160845"/>
    <n v="23829253.73160845"/>
    <n v="23829253.73160845"/>
    <n v="23829253.73160845"/>
    <n v="23829253.73160845"/>
    <n v="23829253.73160845"/>
    <n v="25248525.906899538"/>
    <n v="25248525.906899538"/>
    <n v="24113108.166666668"/>
    <n v="24113108.166666668"/>
    <n v="24113108.166666668"/>
    <n v="24113108.166666668"/>
    <n v="24113108.166666668"/>
    <n v="24113108.166666668"/>
    <n v="24113108.166666668"/>
    <n v="24113108.166666668"/>
    <n v="217017973.5"/>
    <n v="217017973.5"/>
    <n v="0.75134467136086436"/>
  </r>
  <r>
    <x v="20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0"/>
    <x v="19"/>
    <s v="76. Immigration Services"/>
    <n v="8218719.8248512559"/>
    <n v="542435.50844018289"/>
    <n v="542435.50844018289"/>
    <n v="678044.38555022865"/>
    <n v="678044.38555022865"/>
    <n v="678044.38555022865"/>
    <n v="678044.38555022865"/>
    <n v="678044.38555022865"/>
    <n v="678044.38555022865"/>
    <n v="412990.67119877558"/>
    <n v="412990.67119877558"/>
    <n v="344158.89266564633"/>
    <n v="344158.89266564633"/>
    <n v="481822.44973190484"/>
    <n v="481822.44973190484"/>
    <n v="481822.44973190484"/>
    <n v="481822.44973190484"/>
    <n v="481822.44973190484"/>
    <n v="481822.44973190484"/>
    <n v="4779185.5781510053"/>
    <n v="4779185.5781510053"/>
    <n v="0.58150000000000002"/>
  </r>
  <r>
    <x v="20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20"/>
    <x v="21"/>
    <s v="18. Labour Employment and Manpower Development"/>
    <n v="7159463.9711538423"/>
    <n v="472524.62209615367"/>
    <n v="472524.62209615367"/>
    <n v="590655.77762019204"/>
    <n v="590655.77762019204"/>
    <n v="590655.77762019204"/>
    <n v="590655.77762019204"/>
    <n v="590655.77762019204"/>
    <n v="590655.77762019204"/>
    <n v="359763.06455048051"/>
    <n v="359763.06455048051"/>
    <n v="299802.5537920671"/>
    <n v="299802.5537920671"/>
    <n v="419723.57530889392"/>
    <n v="419723.57530889392"/>
    <n v="419723.57530889392"/>
    <n v="419723.57530889392"/>
    <n v="419723.57530889392"/>
    <n v="419723.57530889392"/>
    <n v="4163228.2992259599"/>
    <n v="4163228.2992259599"/>
    <n v="0.58150000000000013"/>
  </r>
  <r>
    <x v="20"/>
    <x v="22"/>
    <s v="15. Security Services"/>
    <n v="7981928.015009556"/>
    <n v="526807.24899063073"/>
    <n v="526807.24899063073"/>
    <n v="658509.06123828841"/>
    <n v="658509.06123828841"/>
    <n v="658509.06123828841"/>
    <n v="658509.06123828841"/>
    <n v="658509.06123828841"/>
    <n v="658509.06123828841"/>
    <n v="401091.88275423017"/>
    <n v="401091.88275423017"/>
    <n v="334243.23562852514"/>
    <n v="334243.23562852514"/>
    <n v="467940.52987993514"/>
    <n v="467940.52987993514"/>
    <n v="467940.52987993514"/>
    <n v="467940.52987993514"/>
    <n v="467940.52987993514"/>
    <n v="467940.52987993514"/>
    <n v="4641491.1407280564"/>
    <n v="4641491.1407280564"/>
    <n v="0.58149999999999991"/>
  </r>
  <r>
    <x v="20"/>
    <x v="9"/>
    <s v="95. Sports and Culture"/>
    <n v="5461302.7304711919"/>
    <n v="360445.98021109868"/>
    <n v="360445.98021109868"/>
    <n v="450557.47526387335"/>
    <n v="450557.47526387335"/>
    <n v="450557.47526387335"/>
    <n v="450557.47526387335"/>
    <n v="450557.47526387335"/>
    <n v="450557.47526387335"/>
    <n v="274430.46220617747"/>
    <n v="274430.46220617747"/>
    <n v="228692.05183848122"/>
    <n v="228692.05183848122"/>
    <n v="320168.87257387367"/>
    <n v="320168.87257387367"/>
    <n v="320168.87257387367"/>
    <n v="320168.87257387367"/>
    <n v="320168.87257387367"/>
    <n v="320168.87257387367"/>
    <n v="3175747.5377689982"/>
    <n v="3175747.5377689982"/>
    <n v="0.58150000000000002"/>
  </r>
  <r>
    <x v="20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20"/>
    <x v="23"/>
    <s v="04. Water Resources Development Management and Supply"/>
    <n v="5940301.0640891325"/>
    <n v="392059.87022988277"/>
    <n v="392059.87022988277"/>
    <n v="490074.83778735343"/>
    <n v="490074.83778735343"/>
    <n v="490074.83778735343"/>
    <n v="490074.83778735343"/>
    <n v="490074.83778735343"/>
    <n v="490074.83778735343"/>
    <n v="298500.12847047887"/>
    <n v="298500.12847047887"/>
    <n v="248750.10705873242"/>
    <n v="248750.10705873242"/>
    <n v="348250.14988222538"/>
    <n v="348250.14988222538"/>
    <n v="348250.14988222538"/>
    <n v="348250.14988222538"/>
    <n v="348250.14988222538"/>
    <n v="348250.14988222538"/>
    <n v="3454285.0687678303"/>
    <n v="3454285.0687678303"/>
    <n v="0.58149999999999991"/>
  </r>
  <r>
    <x v="20"/>
    <x v="10"/>
    <s v="83. Youth Development"/>
    <n v="5734367.8669947507"/>
    <n v="378468.27922165359"/>
    <n v="378468.27922165359"/>
    <n v="473085.34902706696"/>
    <n v="473085.34902706696"/>
    <n v="473085.34902706696"/>
    <n v="473085.34902706696"/>
    <n v="473085.34902706696"/>
    <n v="473085.34902706696"/>
    <n v="288151.98531648621"/>
    <n v="288151.98531648621"/>
    <n v="240126.65443040518"/>
    <n v="240126.65443040518"/>
    <n v="336177.31620256725"/>
    <n v="336177.31620256725"/>
    <n v="336177.31620256725"/>
    <n v="336177.31620256725"/>
    <n v="336177.31620256725"/>
    <n v="336177.31620256725"/>
    <n v="3334534.9146574475"/>
    <n v="3334534.9146574475"/>
    <n v="0.58150000000000002"/>
  </r>
  <r>
    <x v="21"/>
    <x v="12"/>
    <s v="49. Agricultural Productivity and Risk Management"/>
    <n v="40083728.003333338"/>
    <n v="2645526.0586532424"/>
    <n v="2645526.0586532424"/>
    <n v="3306907.5733165527"/>
    <n v="3306907.5733165527"/>
    <n v="3306907.5733165527"/>
    <n v="3306907.5733165527"/>
    <n v="3306907.5733165527"/>
    <n v="3306907.5733165527"/>
    <n v="3357012.2137583913"/>
    <n v="3357012.2137583913"/>
    <n v="3357012.2137583913"/>
    <n v="3357012.2137583913"/>
    <n v="7857012.2137583904"/>
    <n v="7857012.2137583904"/>
    <n v="7857012.2137583904"/>
    <n v="7857012.2137583904"/>
    <n v="3357012.2137583913"/>
    <n v="3357012.2137583913"/>
    <n v="38351309.847394854"/>
    <n v="38351309.847394854"/>
    <n v="0.95678001417945913"/>
  </r>
  <r>
    <x v="21"/>
    <x v="12"/>
    <s v="49. Agricultural Productivity and Risk Management"/>
    <n v="50558675"/>
    <n v="3336872.5419848245"/>
    <n v="3336872.5419848245"/>
    <n v="4171090.6774810306"/>
    <n v="4171090.6774810306"/>
    <n v="4171090.6774810306"/>
    <n v="4171090.6774810306"/>
    <n v="4171090.6774810306"/>
    <n v="4171090.6774810306"/>
    <n v="4234289.0362594835"/>
    <n v="4234289.0362594835"/>
    <n v="4234289.0362594835"/>
    <n v="4234289.0362594835"/>
    <n v="9234289.0362594798"/>
    <n v="9234289.0362594798"/>
    <n v="9234289.0362594798"/>
    <n v="9234289.0362594798"/>
    <n v="4234289.0362594835"/>
    <n v="4234289.0362594835"/>
    <n v="47021589.755725332"/>
    <n v="47021589.755725332"/>
    <n v="0.93003999324992859"/>
  </r>
  <r>
    <x v="21"/>
    <x v="0"/>
    <s v="60. Local Development"/>
    <n v="132000000"/>
    <n v="0"/>
    <n v="0"/>
    <n v="26400000"/>
    <n v="26400000"/>
    <n v="0"/>
    <n v="0"/>
    <n v="0"/>
    <n v="0"/>
    <n v="0"/>
    <n v="0"/>
    <n v="39600000"/>
    <n v="39600000"/>
    <n v="0"/>
    <n v="0"/>
    <n v="39600000"/>
    <n v="39600000"/>
    <n v="26400000"/>
    <n v="26400000"/>
    <n v="132000000"/>
    <n v="132000000"/>
    <n v="1"/>
  </r>
  <r>
    <x v="21"/>
    <x v="1"/>
    <s v="60. Local Development"/>
    <n v="330000000"/>
    <n v="0"/>
    <n v="0"/>
    <n v="90750000"/>
    <n v="90750000"/>
    <n v="0"/>
    <n v="0"/>
    <n v="0"/>
    <n v="0"/>
    <n v="0"/>
    <n v="0"/>
    <n v="79750000"/>
    <n v="79750000"/>
    <n v="0"/>
    <n v="0"/>
    <n v="79750000"/>
    <n v="79750000"/>
    <n v="79750000"/>
    <n v="79750000"/>
    <n v="330000000"/>
    <n v="330000000"/>
    <n v="1"/>
  </r>
  <r>
    <x v="21"/>
    <x v="3"/>
    <s v="70. Community Development"/>
    <n v="11434502.200064346"/>
    <n v="754677.14520424698"/>
    <n v="754677.14520424698"/>
    <n v="943346.4315053086"/>
    <n v="943346.4315053086"/>
    <n v="943346.4315053086"/>
    <n v="943346.4315053086"/>
    <n v="943346.4315053086"/>
    <n v="943346.4315053086"/>
    <n v="574583.73555323319"/>
    <n v="574583.73555323319"/>
    <n v="478819.77962769434"/>
    <n v="478819.77962769434"/>
    <n v="670347.69147877209"/>
    <n v="670347.69147877209"/>
    <n v="670347.69147877209"/>
    <n v="670347.69147877209"/>
    <n v="670347.69147877209"/>
    <n v="670347.69147877209"/>
    <n v="6649163.0293374164"/>
    <n v="6649163.0293374164"/>
    <n v="0.58149999999999991"/>
  </r>
  <r>
    <x v="21"/>
    <x v="13"/>
    <s v="60. Local Development"/>
    <n v="154598927"/>
    <n v="0"/>
    <n v="0"/>
    <n v="12367914.158591269"/>
    <n v="12367914.158591269"/>
    <n v="0"/>
    <n v="0"/>
    <n v="0"/>
    <n v="0"/>
    <n v="35557753.210352182"/>
    <n v="35557753.210352182"/>
    <n v="0"/>
    <n v="0"/>
    <n v="0"/>
    <n v="0"/>
    <n v="53336629.815528274"/>
    <n v="53336629.815528274"/>
    <n v="0"/>
    <n v="0"/>
    <n v="101262297.18447173"/>
    <n v="101262297.18447173"/>
    <n v="0.65499999999658298"/>
  </r>
  <r>
    <x v="21"/>
    <x v="14"/>
    <s v="Disaster Risk Management"/>
    <n v="44142857"/>
    <n v="0"/>
    <n v="0"/>
    <n v="0"/>
    <n v="0"/>
    <n v="0"/>
    <n v="0"/>
    <n v="0"/>
    <n v="0"/>
    <n v="3310714.2857142854"/>
    <n v="3310714.2857142854"/>
    <n v="2758928.5714285714"/>
    <n v="2758928.5714285714"/>
    <n v="3862499.9999999995"/>
    <n v="3862499.9999999995"/>
    <n v="3862499.9999999995"/>
    <n v="3862499.9999999995"/>
    <n v="3862499.9999999995"/>
    <n v="3862499.9999999995"/>
    <n v="17657142.857142854"/>
    <n v="17657142.857142854"/>
    <n v="0.40000000129449831"/>
  </r>
  <r>
    <x v="21"/>
    <x v="4"/>
    <s v="23. Basic Education"/>
    <n v="390282209"/>
    <n v="32198282.216032006"/>
    <n v="32198282.216032006"/>
    <n v="32198282.216032006"/>
    <n v="32198282.216032006"/>
    <n v="32198282.216032006"/>
    <n v="32198282.216032006"/>
    <n v="32198282.216032006"/>
    <n v="32198282.216032006"/>
    <n v="60000000"/>
    <n v="60000000"/>
    <n v="83530209.283968002"/>
    <n v="83530209.283968002"/>
    <n v="30058386.212975964"/>
    <n v="30058386.212975964"/>
    <n v="55217102.638927862"/>
    <n v="55217102.638927862"/>
    <n v="5325492"/>
    <n v="5325492"/>
    <n v="362924318.99999988"/>
    <n v="362924318.99999988"/>
    <n v="0.92990228770586847"/>
  </r>
  <r>
    <x v="21"/>
    <x v="4"/>
    <s v="23. Basic Education"/>
    <n v="460644755"/>
    <n v="38003192.263751768"/>
    <n v="38003192.263751768"/>
    <n v="38003192.263751768"/>
    <n v="38003192.263751768"/>
    <n v="38003192.263751768"/>
    <n v="38003192.263751768"/>
    <n v="38003192.263751768"/>
    <n v="38003192.263751768"/>
    <n v="70000000"/>
    <n v="70000000"/>
    <n v="133817656.23624828"/>
    <n v="133817656.23624828"/>
    <n v="24906173.177186176"/>
    <n v="24906173.177186176"/>
    <n v="68364185.531558439"/>
    <n v="68364185.531558439"/>
    <n v="4987500"/>
    <n v="4987500"/>
    <n v="454088283.99999988"/>
    <n v="454088283.99999988"/>
    <n v="0.98576675208208953"/>
  </r>
  <r>
    <x v="21"/>
    <x v="5"/>
    <s v="92. Environment and Climate Change Management"/>
    <n v="7102089"/>
    <n v="412549.01498708915"/>
    <n v="412549.01498708915"/>
    <n v="515686.26873386139"/>
    <n v="515686.26873386139"/>
    <n v="515686.26873386139"/>
    <n v="515686.26873386139"/>
    <n v="515686.26873386139"/>
    <n v="515686.26873386139"/>
    <n v="383451.19766622229"/>
    <n v="383451.19766622229"/>
    <n v="319542.66472185194"/>
    <n v="319542.66472185194"/>
    <n v="396022.63327104039"/>
    <n v="396022.63327104039"/>
    <n v="447359.7306105927"/>
    <n v="447359.7306105927"/>
    <n v="447359.7306105927"/>
    <n v="447359.7306105927"/>
    <n v="3953343.7780689732"/>
    <n v="3953343.7780689732"/>
    <n v="0.55664520369555681"/>
  </r>
  <r>
    <x v="21"/>
    <x v="15"/>
    <s v="96. Sustainable Rural Development"/>
    <n v="7145736.7195929913"/>
    <n v="471618.62349313754"/>
    <n v="471618.62349313754"/>
    <n v="589523.27936642186"/>
    <n v="589523.27936642186"/>
    <n v="589523.27936642186"/>
    <n v="589523.27936642186"/>
    <n v="589523.27936642186"/>
    <n v="589523.27936642186"/>
    <n v="359073.2701595478"/>
    <n v="359073.2701595478"/>
    <n v="299227.72513295652"/>
    <n v="299227.72513295652"/>
    <n v="418918.81518613908"/>
    <n v="418918.81518613908"/>
    <n v="418918.81518613908"/>
    <n v="418918.81518613908"/>
    <n v="418918.81518613908"/>
    <n v="418918.81518613908"/>
    <n v="4155245.9024433251"/>
    <n v="4155245.9024433251"/>
    <n v="0.58150000000000013"/>
  </r>
  <r>
    <x v="21"/>
    <x v="16"/>
    <s v="92. Environment and Climate Change Management"/>
    <n v="12387052.413270088"/>
    <n v="817545.45927582588"/>
    <n v="817545.45927582588"/>
    <n v="1021931.8240947824"/>
    <n v="1021931.8240947824"/>
    <n v="1021931.8240947824"/>
    <n v="1021931.8240947824"/>
    <n v="1021931.8240947824"/>
    <n v="1021931.8240947824"/>
    <n v="622449.38376682182"/>
    <n v="622449.38376682182"/>
    <n v="518707.81980568491"/>
    <n v="518707.81980568491"/>
    <n v="726190.94772795879"/>
    <n v="726190.94772795879"/>
    <n v="726190.94772795879"/>
    <n v="726190.94772795879"/>
    <n v="726190.94772795879"/>
    <n v="726190.94772795879"/>
    <n v="7203070.9783165567"/>
    <n v="7203070.9783165567"/>
    <n v="0.58150000000000002"/>
  </r>
  <r>
    <x v="21"/>
    <x v="6"/>
    <s v="69. Gender Equality and Wome Empowerment"/>
    <n v="11434502.200064346"/>
    <n v="754677.14520424698"/>
    <n v="754677.14520424698"/>
    <n v="943346.4315053086"/>
    <n v="943346.4315053086"/>
    <n v="943346.4315053086"/>
    <n v="943346.4315053086"/>
    <n v="943346.4315053086"/>
    <n v="943346.4315053086"/>
    <n v="574583.73555323319"/>
    <n v="574583.73555323319"/>
    <n v="478819.77962769434"/>
    <n v="478819.77962769434"/>
    <n v="670347.69147877209"/>
    <n v="670347.69147877209"/>
    <n v="670347.69147877209"/>
    <n v="670347.69147877209"/>
    <n v="670347.69147877209"/>
    <n v="670347.69147877209"/>
    <n v="6649163.0293374164"/>
    <n v="6649163.0293374164"/>
    <n v="0.58149999999999991"/>
  </r>
  <r>
    <x v="21"/>
    <x v="7"/>
    <s v="20. Management and Administration"/>
    <n v="141677849.86056554"/>
    <n v="9359497.1832384337"/>
    <n v="9359497.1832384337"/>
    <n v="11699371.479048042"/>
    <n v="11699371.479048042"/>
    <n v="11699371.479048042"/>
    <n v="11699371.479048042"/>
    <n v="11699371.479048042"/>
    <n v="11699371.479048042"/>
    <n v="7340970.9458810547"/>
    <n v="7340970.9458810547"/>
    <n v="5969600.4545151005"/>
    <n v="5969600.4545151005"/>
    <n v="8264541.248972482"/>
    <n v="8264541.248972482"/>
    <n v="8264541.248972482"/>
    <n v="8264541.248972482"/>
    <n v="8264541.248972482"/>
    <n v="8264541.248972482"/>
    <n v="82561806.767696157"/>
    <n v="82561806.767696157"/>
    <n v="0.58274322238056719"/>
  </r>
  <r>
    <x v="21"/>
    <x v="17"/>
    <s v="65. Primary Health Care"/>
    <n v="158383072.61084571"/>
    <n v="13066603.490394773"/>
    <n v="13066603.490394773"/>
    <n v="13066603.490394773"/>
    <n v="13066603.490394773"/>
    <n v="23066603.490394801"/>
    <n v="23066603.490394801"/>
    <n v="3066603.4903948"/>
    <n v="3066603.4903948"/>
    <n v="27408036.278420899"/>
    <n v="27408036.278420899"/>
    <n v="14371086.25"/>
    <n v="14371086.25"/>
    <n v="12036464.58"/>
    <n v="12036464.58"/>
    <n v="13040649.83"/>
    <n v="13040649.83"/>
    <n v="12295909.08"/>
    <n v="12295909.08"/>
    <n v="131418559.98000005"/>
    <n v="131418559.98000005"/>
    <n v="0.82975129736813047"/>
  </r>
  <r>
    <x v="21"/>
    <x v="17"/>
    <s v="65. Primary Health Care"/>
    <n v="310995753.07757747"/>
    <n v="25657149.628900144"/>
    <n v="25657149.628900144"/>
    <n v="25657149.628900144"/>
    <n v="25657149.628900144"/>
    <n v="35657149.628900103"/>
    <n v="35657149.628900103"/>
    <n v="15657149.6289001"/>
    <n v="15657149.6289001"/>
    <n v="45211296.484399401"/>
    <n v="45211296.484399401"/>
    <n v="25350878"/>
    <n v="25350878"/>
    <n v="25337080"/>
    <n v="25337080"/>
    <n v="26944150"/>
    <n v="26944150"/>
    <n v="24261750"/>
    <n v="24261750"/>
    <n v="249733752.99999991"/>
    <n v="249733752.99999991"/>
    <n v="0.80301338693105617"/>
  </r>
  <r>
    <x v="21"/>
    <x v="18"/>
    <s v="48. Housing Management and Urban Development"/>
    <n v="11061752.304765295"/>
    <n v="730075.6521145096"/>
    <n v="730075.6521145096"/>
    <n v="912594.56514313689"/>
    <n v="912594.56514313689"/>
    <n v="912594.56514313689"/>
    <n v="912594.56514313689"/>
    <n v="912594.56514313689"/>
    <n v="912594.56514313689"/>
    <n v="575211.11984779511"/>
    <n v="575211.11984779511"/>
    <n v="460906.34603188728"/>
    <n v="460906.34603188728"/>
    <n v="645268.88444464211"/>
    <n v="645268.88444464211"/>
    <n v="645268.88444464211"/>
    <n v="645268.88444464211"/>
    <n v="645268.88444464211"/>
    <n v="645268.88444464211"/>
    <n v="6439783.4667575294"/>
    <n v="6439783.4667575294"/>
    <n v="0.58216666666666672"/>
  </r>
  <r>
    <x v="21"/>
    <x v="19"/>
    <s v="76. Immigration Services"/>
    <n v="18047887.837086983"/>
    <n v="1191160.597247741"/>
    <n v="1191160.597247741"/>
    <n v="1488950.7465596762"/>
    <n v="1488950.7465596762"/>
    <n v="1488950.7465596762"/>
    <n v="1488950.7465596762"/>
    <n v="1488950.7465596762"/>
    <n v="1488950.7465596762"/>
    <n v="906906.36381362088"/>
    <n v="906906.36381362088"/>
    <n v="755755.30317801738"/>
    <n v="755755.30317801738"/>
    <n v="1058057.4244492243"/>
    <n v="1058057.4244492243"/>
    <n v="1058057.4244492243"/>
    <n v="1058057.4244492243"/>
    <n v="1058057.4244492243"/>
    <n v="1058057.4244492243"/>
    <n v="10494846.77726608"/>
    <n v="10494846.77726608"/>
    <n v="0.58149999999999991"/>
  </r>
  <r>
    <x v="21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21"/>
    <x v="21"/>
    <s v="18. Labour Employment and Manpower Development"/>
    <n v="7923132.242307689"/>
    <n v="522926.72799230751"/>
    <n v="522926.72799230751"/>
    <n v="653658.40999038436"/>
    <n v="653658.40999038436"/>
    <n v="653658.40999038436"/>
    <n v="653658.40999038436"/>
    <n v="653658.40999038436"/>
    <n v="653658.40999038436"/>
    <n v="398137.39517596137"/>
    <n v="398137.39517596137"/>
    <n v="331781.1626466345"/>
    <n v="331781.1626466345"/>
    <n v="464493.62770528829"/>
    <n v="464493.62770528829"/>
    <n v="464493.62770528829"/>
    <n v="464493.62770528829"/>
    <n v="464493.62770528829"/>
    <n v="464493.62770528829"/>
    <n v="4607301.3989019208"/>
    <n v="4607301.3989019208"/>
    <n v="0.58149999999999991"/>
  </r>
  <r>
    <x v="21"/>
    <x v="22"/>
    <s v="15. Security Services"/>
    <n v="13980385.439206261"/>
    <n v="922705.43898761331"/>
    <n v="922705.43898761331"/>
    <n v="1153381.7987345166"/>
    <n v="1153381.7987345166"/>
    <n v="1153381.7987345166"/>
    <n v="1153381.7987345166"/>
    <n v="1153381.7987345166"/>
    <n v="1153381.7987345166"/>
    <n v="702514.36832011456"/>
    <n v="702514.36832011456"/>
    <n v="585428.64026676212"/>
    <n v="585428.64026676212"/>
    <n v="819600.09637346689"/>
    <n v="819600.09637346689"/>
    <n v="819600.09637346689"/>
    <n v="819600.09637346689"/>
    <n v="819600.09637346689"/>
    <n v="819600.09637346689"/>
    <n v="8129594.1328984415"/>
    <n v="8129594.1328984415"/>
    <n v="0.58150000000000002"/>
  </r>
  <r>
    <x v="21"/>
    <x v="9"/>
    <s v="95. Sports and Culture"/>
    <n v="8060786.4190023541"/>
    <n v="532011.90365415544"/>
    <n v="532011.90365415544"/>
    <n v="665014.87956769427"/>
    <n v="665014.87956769427"/>
    <n v="665014.87956769427"/>
    <n v="665014.87956769427"/>
    <n v="665014.87956769427"/>
    <n v="665014.87956769427"/>
    <n v="405054.51755486836"/>
    <n v="405054.51755486836"/>
    <n v="337545.43129572365"/>
    <n v="337545.43129572365"/>
    <n v="472563.60381401307"/>
    <n v="472563.60381401307"/>
    <n v="472563.60381401307"/>
    <n v="472563.60381401307"/>
    <n v="472563.60381401307"/>
    <n v="472563.60381401307"/>
    <n v="4687347.3026498696"/>
    <n v="4687347.3026498696"/>
    <n v="0.58150000000000013"/>
  </r>
  <r>
    <x v="21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21"/>
    <x v="23"/>
    <s v="04. Water Resources Development Management and Supply"/>
    <n v="8324784.2064751815"/>
    <n v="549435.75762736204"/>
    <n v="549435.75762736204"/>
    <n v="686794.69703420252"/>
    <n v="686794.69703420252"/>
    <n v="686794.69703420252"/>
    <n v="686794.69703420252"/>
    <n v="686794.69703420252"/>
    <n v="686794.69703420252"/>
    <n v="418320.40637537785"/>
    <n v="418320.40637537785"/>
    <n v="348600.33864614822"/>
    <n v="348600.33864614822"/>
    <n v="488040.47410460748"/>
    <n v="488040.47410460748"/>
    <n v="488040.47410460748"/>
    <n v="488040.47410460748"/>
    <n v="488040.47410460748"/>
    <n v="488040.47410460748"/>
    <n v="4840862.0160653181"/>
    <n v="4840862.0160653181"/>
    <n v="0.58150000000000002"/>
  </r>
  <r>
    <x v="21"/>
    <x v="10"/>
    <s v="83. Youth Development"/>
    <n v="8463825.7399524692"/>
    <n v="558612.49883686309"/>
    <n v="558612.49883686309"/>
    <n v="698265.6235460788"/>
    <n v="698265.6235460788"/>
    <n v="698265.6235460788"/>
    <n v="698265.6235460788"/>
    <n v="698265.6235460788"/>
    <n v="698265.6235460788"/>
    <n v="425307.24343261152"/>
    <n v="425307.24343261152"/>
    <n v="354422.70286050963"/>
    <n v="354422.70286050963"/>
    <n v="496191.78400471347"/>
    <n v="496191.78400471347"/>
    <n v="496191.78400471347"/>
    <n v="496191.78400471347"/>
    <n v="496191.78400471347"/>
    <n v="496191.78400471347"/>
    <n v="4921714.6677823616"/>
    <n v="4921714.6677823616"/>
    <n v="0.58150000000000013"/>
  </r>
  <r>
    <x v="22"/>
    <x v="12"/>
    <s v="49. Agricultural Productivity and Risk Management"/>
    <n v="35101944.600000001"/>
    <n v="3388898.3517532707"/>
    <n v="3388898.3517532707"/>
    <n v="4236122.9396915883"/>
    <n v="4236122.9396915883"/>
    <n v="4236122.9396915883"/>
    <n v="4236122.9396915883"/>
    <n v="4236122.9396915883"/>
    <n v="4236122.9396915883"/>
    <n v="2269681.605154206"/>
    <n v="2269681.605154206"/>
    <n v="2269681.605154206"/>
    <n v="2269681.605154206"/>
    <n v="2269681.605154206"/>
    <n v="2269681.605154206"/>
    <n v="2269681.605154206"/>
    <n v="2269681.605154206"/>
    <n v="2269681.605154206"/>
    <n v="2269681.605154206"/>
    <n v="27445675.196599066"/>
    <n v="27445675.196599066"/>
    <n v="0.78188475052744133"/>
  </r>
  <r>
    <x v="22"/>
    <x v="12"/>
    <s v="49. Agricultural Productivity and Risk Management"/>
    <n v="16245000"/>
    <n v="0"/>
    <n v="0"/>
    <n v="0"/>
    <n v="0"/>
    <n v="0"/>
    <n v="0"/>
    <n v="0"/>
    <n v="0"/>
    <n v="8122500"/>
    <n v="8122500"/>
    <n v="8122500"/>
    <n v="8122500"/>
    <n v="0"/>
    <n v="0"/>
    <n v="0"/>
    <n v="0"/>
    <n v="0"/>
    <n v="0"/>
    <n v="16245000"/>
    <n v="16245000"/>
    <n v="1"/>
  </r>
  <r>
    <x v="22"/>
    <x v="0"/>
    <s v="60. Local Development"/>
    <n v="108000000"/>
    <n v="0"/>
    <n v="0"/>
    <n v="21600000"/>
    <n v="21600000"/>
    <n v="0"/>
    <n v="0"/>
    <n v="0"/>
    <n v="0"/>
    <n v="0"/>
    <n v="0"/>
    <n v="32400000"/>
    <n v="32400000"/>
    <n v="0"/>
    <n v="0"/>
    <n v="32400000"/>
    <n v="32400000"/>
    <n v="21600000"/>
    <n v="21600000"/>
    <n v="108000000"/>
    <n v="108000000"/>
    <n v="1"/>
  </r>
  <r>
    <x v="22"/>
    <x v="1"/>
    <s v="60. Local Development"/>
    <n v="270000000"/>
    <n v="0"/>
    <n v="0"/>
    <n v="74250000"/>
    <n v="74250000"/>
    <n v="0"/>
    <n v="0"/>
    <n v="0"/>
    <n v="0"/>
    <n v="0"/>
    <n v="0"/>
    <n v="65250000"/>
    <n v="65250000"/>
    <n v="0"/>
    <n v="0"/>
    <n v="65250000"/>
    <n v="65250000"/>
    <n v="65250000"/>
    <n v="65250000"/>
    <n v="270000000"/>
    <n v="270000000"/>
    <n v="1"/>
  </r>
  <r>
    <x v="22"/>
    <x v="3"/>
    <s v="70. Community Development"/>
    <n v="9132298.4133879058"/>
    <n v="602731.69528360188"/>
    <n v="602731.69528360188"/>
    <n v="753414.61910450226"/>
    <n v="753414.61910450226"/>
    <n v="753414.61910450226"/>
    <n v="753414.61910450226"/>
    <n v="753414.61910450226"/>
    <n v="753414.61910450226"/>
    <n v="458897.99527274212"/>
    <n v="458897.99527274212"/>
    <n v="382414.99606061843"/>
    <n v="382414.99606061843"/>
    <n v="535380.99448486581"/>
    <n v="535380.99448486581"/>
    <n v="535380.99448486581"/>
    <n v="535380.99448486581"/>
    <n v="535380.99448486581"/>
    <n v="535380.99448486581"/>
    <n v="5310431.5273850663"/>
    <n v="5310431.5273850663"/>
    <n v="0.58149999999999991"/>
  </r>
  <r>
    <x v="22"/>
    <x v="13"/>
    <s v="60. Local Development"/>
    <n v="136455799"/>
    <n v="0"/>
    <n v="0"/>
    <n v="10916463.918756593"/>
    <n v="10916463.918756593"/>
    <n v="0"/>
    <n v="0"/>
    <n v="0"/>
    <n v="0"/>
    <n v="31384833.770310853"/>
    <n v="31384833.770310853"/>
    <n v="0"/>
    <n v="0"/>
    <n v="0"/>
    <n v="0"/>
    <n v="47077250.655466281"/>
    <n v="47077250.655466281"/>
    <n v="0"/>
    <n v="0"/>
    <n v="89378548.344533727"/>
    <n v="89378548.344533727"/>
    <n v="0.65499999999658298"/>
  </r>
  <r>
    <x v="22"/>
    <x v="14"/>
    <s v="Disaster Risk Management"/>
    <n v="32142857"/>
    <n v="0"/>
    <n v="0"/>
    <n v="0"/>
    <n v="0"/>
    <n v="0"/>
    <n v="0"/>
    <n v="0"/>
    <n v="0"/>
    <n v="2410714.2857142854"/>
    <n v="2410714.2857142854"/>
    <n v="2008928.5714285714"/>
    <n v="2008928.5714285714"/>
    <n v="2812499.9999999995"/>
    <n v="2812499.9999999995"/>
    <n v="2812499.9999999995"/>
    <n v="2812499.9999999995"/>
    <n v="2812499.9999999995"/>
    <n v="2812499.9999999995"/>
    <n v="12857142.857142854"/>
    <n v="12857142.857142854"/>
    <n v="0.40000000177777773"/>
  </r>
  <r>
    <x v="22"/>
    <x v="4"/>
    <s v="23. Basic Education"/>
    <n v="151958085"/>
    <n v="17233053.5666667"/>
    <n v="17233053.5666667"/>
    <n v="23346951.166666701"/>
    <n v="23346951.166666701"/>
    <n v="7073341.5666666627"/>
    <n v="7073341.5666666627"/>
    <n v="15707696.566666666"/>
    <n v="15707696.566666666"/>
    <n v="11999999.99999995"/>
    <n v="11999999.99999995"/>
    <n v="31185553.733333319"/>
    <n v="31185553.733333319"/>
    <n v="6945880.5666666673"/>
    <n v="6945880.5666666673"/>
    <n v="11203341.566666666"/>
    <n v="11203341.566666666"/>
    <n v="8671124.5666666664"/>
    <n v="8671124.5666666664"/>
    <n v="133366943.30000001"/>
    <n v="133366943.30000001"/>
    <n v="0.87765612010706773"/>
  </r>
  <r>
    <x v="22"/>
    <x v="4"/>
    <s v="23. Basic Education"/>
    <n v="45919009"/>
    <n v="0"/>
    <n v="0"/>
    <n v="15635687.443828613"/>
    <n v="15635687.443828613"/>
    <n v="0"/>
    <n v="0"/>
    <n v="0"/>
    <n v="0"/>
    <n v="11356245.58356427"/>
    <n v="11356245.58356427"/>
    <n v="7570830.3890428469"/>
    <n v="7570830.3890428469"/>
    <n v="11356245.58356427"/>
    <n v="11356245.58356427"/>
    <n v="0"/>
    <n v="0"/>
    <n v="0"/>
    <n v="0"/>
    <n v="45919009"/>
    <n v="45919009"/>
    <n v="1"/>
  </r>
  <r>
    <x v="22"/>
    <x v="4"/>
    <s v="23. Basic Education"/>
    <n v="158660762.25299197"/>
    <n v="0"/>
    <n v="0"/>
    <n v="4648795"/>
    <n v="4648795"/>
    <n v="34011967.252991997"/>
    <n v="34011967.252991997"/>
    <n v="0"/>
    <n v="0"/>
    <n v="44999999.999999985"/>
    <n v="44999999.999999985"/>
    <n v="29999999.999999993"/>
    <n v="29999999.999999993"/>
    <n v="44999999.999999985"/>
    <n v="44999999.999999985"/>
    <n v="0"/>
    <n v="0"/>
    <n v="0"/>
    <n v="0"/>
    <n v="158660762.25299194"/>
    <n v="158660762.25299194"/>
    <n v="0.99999999999999978"/>
  </r>
  <r>
    <x v="22"/>
    <x v="5"/>
    <s v="92. Environment and Climate Change Management"/>
    <n v="4626233"/>
    <n v="268730.477439849"/>
    <n v="268730.477439849"/>
    <n v="335913.09679981123"/>
    <n v="335913.09679981123"/>
    <n v="335913.09679981123"/>
    <n v="335913.09679981123"/>
    <n v="335913.09679981123"/>
    <n v="335913.09679981123"/>
    <n v="249776.43790265894"/>
    <n v="249776.43790265894"/>
    <n v="208147.03158554912"/>
    <n v="208147.03158554912"/>
    <n v="257965.51942214681"/>
    <n v="257965.51942214681"/>
    <n v="291405.84421976877"/>
    <n v="291405.84421976877"/>
    <n v="291405.84421976877"/>
    <n v="291405.84421976877"/>
    <n v="2575170.4451891757"/>
    <n v="2575170.4451891757"/>
    <n v="0.55664521116622867"/>
  </r>
  <r>
    <x v="22"/>
    <x v="15"/>
    <s v="96. Sustainable Rural Development"/>
    <n v="5238913.3615314132"/>
    <n v="345768.28186107334"/>
    <n v="345768.28186107334"/>
    <n v="432210.35232634161"/>
    <n v="432210.35232634161"/>
    <n v="432210.35232634161"/>
    <n v="432210.35232634161"/>
    <n v="432210.35232634161"/>
    <n v="432210.35232634161"/>
    <n v="263255.39641695347"/>
    <n v="263255.39641695347"/>
    <n v="219379.4970141279"/>
    <n v="219379.4970141279"/>
    <n v="307131.29581977904"/>
    <n v="307131.29581977904"/>
    <n v="307131.29581977904"/>
    <n v="307131.29581977904"/>
    <n v="307131.29581977904"/>
    <n v="307131.29581977904"/>
    <n v="3046428.1197305163"/>
    <n v="3046428.1197305163"/>
    <n v="0.58149999999999991"/>
  </r>
  <r>
    <x v="22"/>
    <x v="16"/>
    <s v="92. Environment and Climate Change Management"/>
    <n v="5047121.4988431269"/>
    <n v="333110.01892364642"/>
    <n v="333110.01892364642"/>
    <n v="416387.523654558"/>
    <n v="416387.523654558"/>
    <n v="416387.523654558"/>
    <n v="416387.523654558"/>
    <n v="416387.523654558"/>
    <n v="416387.523654558"/>
    <n v="253617.85531686712"/>
    <n v="253617.85531686712"/>
    <n v="211348.21276405593"/>
    <n v="211348.21276405593"/>
    <n v="295887.49786967831"/>
    <n v="295887.49786967831"/>
    <n v="295887.49786967831"/>
    <n v="295887.49786967831"/>
    <n v="295887.49786967831"/>
    <n v="295887.49786967831"/>
    <n v="2934901.1515772785"/>
    <n v="2934901.1515772785"/>
    <n v="0.58150000000000002"/>
  </r>
  <r>
    <x v="22"/>
    <x v="6"/>
    <s v="69. Gender Equality and Wome Empowerment"/>
    <n v="9132298.4133879058"/>
    <n v="602731.69528360188"/>
    <n v="602731.69528360188"/>
    <n v="753414.61910450226"/>
    <n v="753414.61910450226"/>
    <n v="753414.61910450226"/>
    <n v="753414.61910450226"/>
    <n v="753414.61910450226"/>
    <n v="753414.61910450226"/>
    <n v="458897.99527274212"/>
    <n v="458897.99527274212"/>
    <n v="382414.99606061843"/>
    <n v="382414.99606061843"/>
    <n v="535380.99448486581"/>
    <n v="535380.99448486581"/>
    <n v="535380.99448486581"/>
    <n v="535380.99448486581"/>
    <n v="535380.99448486581"/>
    <n v="535380.99448486581"/>
    <n v="5310431.5273850663"/>
    <n v="5310431.5273850663"/>
    <n v="0.58149999999999991"/>
  </r>
  <r>
    <x v="22"/>
    <x v="7"/>
    <s v="20. Management and Administration"/>
    <n v="111973873.21931852"/>
    <n v="7397198.3060438409"/>
    <n v="7397198.3060438409"/>
    <n v="9246497.8825548012"/>
    <n v="9246497.8825548012"/>
    <n v="9246497.8825548012"/>
    <n v="9246497.8825548012"/>
    <n v="9246497.8825548012"/>
    <n v="9246497.8825548012"/>
    <n v="5801873.4107679315"/>
    <n v="5801873.4107679315"/>
    <n v="4718022.5075529758"/>
    <n v="4718022.5075529758"/>
    <n v="6531809.2767432053"/>
    <n v="6531809.2767432053"/>
    <n v="6531809.2767432053"/>
    <n v="6531809.2767432053"/>
    <n v="6531809.2767432053"/>
    <n v="6531809.2767432053"/>
    <n v="65252015.702258766"/>
    <n v="65252015.702258766"/>
    <n v="0.58274322238056708"/>
  </r>
  <r>
    <x v="22"/>
    <x v="17"/>
    <s v="65. Primary Health Care"/>
    <n v="348894655.25883234"/>
    <n v="28783809.058853667"/>
    <n v="28783809.058853667"/>
    <n v="28783809.058853667"/>
    <n v="28783809.058853667"/>
    <n v="28783809.058853667"/>
    <n v="28783809.058853667"/>
    <n v="28783809.058853667"/>
    <n v="28783809.058853667"/>
    <n v="35590370.134585299"/>
    <n v="35590370.134585299"/>
    <n v="29366721.249999993"/>
    <n v="29366721.249999993"/>
    <n v="28084221.249999996"/>
    <n v="28084221.249999996"/>
    <n v="28661721.249999996"/>
    <n v="28661721.249999996"/>
    <n v="27959221.248832401"/>
    <n v="27959221.248832401"/>
    <n v="264797491.36883229"/>
    <n v="264797491.36883229"/>
    <n v="0.75896115740835468"/>
  </r>
  <r>
    <x v="22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2"/>
    <x v="19"/>
    <s v="76. Immigration Services"/>
    <n v="7417303.5764385499"/>
    <n v="489542.03604494437"/>
    <n v="489542.03604494437"/>
    <n v="611927.54505618045"/>
    <n v="611927.54505618045"/>
    <n v="611927.54505618045"/>
    <n v="611927.54505618045"/>
    <n v="611927.54505618045"/>
    <n v="611927.54505618045"/>
    <n v="372719.50471603707"/>
    <n v="372719.50471603707"/>
    <n v="310599.58726336423"/>
    <n v="310599.58726336423"/>
    <n v="434839.42216870992"/>
    <n v="434839.42216870992"/>
    <n v="434839.42216870992"/>
    <n v="434839.42216870992"/>
    <n v="434839.42216870992"/>
    <n v="434839.42216870992"/>
    <n v="4313162.0296990173"/>
    <n v="4313162.0296990173"/>
    <n v="0.58150000000000002"/>
  </r>
  <r>
    <x v="22"/>
    <x v="20"/>
    <s v="96. Sustainable Rural Development"/>
    <n v="9646874.9064843766"/>
    <n v="636693.74382796895"/>
    <n v="636693.74382796895"/>
    <n v="795867.17978496116"/>
    <n v="795867.17978496116"/>
    <n v="795867.17978496116"/>
    <n v="795867.17978496116"/>
    <n v="795867.17978496116"/>
    <n v="795867.17978496116"/>
    <n v="484755.46405083989"/>
    <n v="484755.46405083989"/>
    <n v="403962.88670903328"/>
    <n v="403962.88670903328"/>
    <n v="565548.0413926465"/>
    <n v="565548.0413926465"/>
    <n v="565548.0413926465"/>
    <n v="565548.0413926465"/>
    <n v="565548.0413926465"/>
    <n v="565548.0413926465"/>
    <n v="5609657.7581206644"/>
    <n v="5609657.7581206644"/>
    <n v="0.58149999999999991"/>
  </r>
  <r>
    <x v="22"/>
    <x v="21"/>
    <s v="18. Labour Employment and Manpower Development"/>
    <n v="7294051.9211538434"/>
    <n v="481407.42679615365"/>
    <n v="481407.42679615365"/>
    <n v="601759.28349519207"/>
    <n v="601759.28349519207"/>
    <n v="601759.28349519207"/>
    <n v="601759.28349519207"/>
    <n v="601759.28349519207"/>
    <n v="601759.28349519207"/>
    <n v="366526.10903798067"/>
    <n v="366526.10903798067"/>
    <n v="305438.42419831723"/>
    <n v="305438.42419831723"/>
    <n v="427613.79387764412"/>
    <n v="427613.79387764412"/>
    <n v="427613.79387764412"/>
    <n v="427613.79387764412"/>
    <n v="427613.79387764412"/>
    <n v="427613.79387764412"/>
    <n v="4241491.1921509597"/>
    <n v="4241491.1921509597"/>
    <n v="0.58150000000000002"/>
  </r>
  <r>
    <x v="22"/>
    <x v="22"/>
    <s v="15. Security Services"/>
    <n v="8750800.6731646769"/>
    <n v="577552.84442886873"/>
    <n v="577552.84442886873"/>
    <n v="721941.05553608586"/>
    <n v="721941.05553608586"/>
    <n v="721941.05553608586"/>
    <n v="721941.05553608586"/>
    <n v="721941.05553608586"/>
    <n v="721941.05553608586"/>
    <n v="439727.73382652504"/>
    <n v="439727.73382652504"/>
    <n v="366439.77818877087"/>
    <n v="366439.77818877087"/>
    <n v="513015.68946427916"/>
    <n v="513015.68946427916"/>
    <n v="513015.68946427916"/>
    <n v="513015.68946427916"/>
    <n v="513015.68946427916"/>
    <n v="513015.68946427916"/>
    <n v="5088590.5914452597"/>
    <n v="5088590.5914452597"/>
    <n v="0.58150000000000002"/>
  </r>
  <r>
    <x v="22"/>
    <x v="9"/>
    <s v="95. Sports and Culture"/>
    <n v="5559222.0792183829"/>
    <n v="366908.65722841327"/>
    <n v="366908.65722841327"/>
    <n v="458635.82153551659"/>
    <n v="458635.82153551659"/>
    <n v="458635.82153551659"/>
    <n v="458635.82153551659"/>
    <n v="458635.82153551659"/>
    <n v="458635.82153551659"/>
    <n v="279350.90948072373"/>
    <n v="279350.90948072373"/>
    <n v="232792.4245672698"/>
    <n v="232792.4245672698"/>
    <n v="325909.39439417771"/>
    <n v="325909.39439417771"/>
    <n v="325909.39439417771"/>
    <n v="325909.39439417771"/>
    <n v="325909.39439417771"/>
    <n v="325909.39439417771"/>
    <n v="3232687.6390654901"/>
    <n v="3232687.6390654901"/>
    <n v="0.58150000000000013"/>
  </r>
  <r>
    <x v="22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22"/>
    <x v="23"/>
    <s v="04. Water Resources Development Management and Supply"/>
    <n v="8254809.9826160539"/>
    <n v="544817.45885265956"/>
    <n v="544817.45885265956"/>
    <n v="681021.82356582442"/>
    <n v="681021.82356582442"/>
    <n v="681021.82356582442"/>
    <n v="681021.82356582442"/>
    <n v="681021.82356582442"/>
    <n v="681021.82356582442"/>
    <n v="414804.20162645669"/>
    <n v="414804.20162645669"/>
    <n v="345670.16802204726"/>
    <n v="345670.16802204726"/>
    <n v="483938.23523086612"/>
    <n v="483938.23523086612"/>
    <n v="483938.23523086612"/>
    <n v="483938.23523086612"/>
    <n v="483938.23523086612"/>
    <n v="483938.23523086612"/>
    <n v="4800172.0048912354"/>
    <n v="4800172.0048912354"/>
    <n v="0.58150000000000002"/>
  </r>
  <r>
    <x v="22"/>
    <x v="10"/>
    <s v="83. Youth Development"/>
    <n v="5837183.1831793012"/>
    <n v="385254.09008983389"/>
    <n v="385254.09008983389"/>
    <n v="481567.61261229235"/>
    <n v="481567.61261229235"/>
    <n v="481567.61261229235"/>
    <n v="481567.61261229235"/>
    <n v="481567.61261229235"/>
    <n v="481567.61261229235"/>
    <n v="293318.45495475986"/>
    <n v="293318.45495475986"/>
    <n v="244432.04579563322"/>
    <n v="244432.04579563322"/>
    <n v="342204.86411388649"/>
    <n v="342204.86411388649"/>
    <n v="342204.86411388649"/>
    <n v="342204.86411388649"/>
    <n v="342204.86411388649"/>
    <n v="342204.86411388649"/>
    <n v="3394322.0210187631"/>
    <n v="3394322.0210187631"/>
    <n v="0.58149999999999991"/>
  </r>
  <r>
    <x v="23"/>
    <x v="12"/>
    <s v="49. Agricultural Productivity and Risk Management"/>
    <n v="31440432.579455975"/>
    <n v="2577254.3292840943"/>
    <n v="2577254.3292840943"/>
    <n v="3221567.9116051178"/>
    <n v="3221567.9116051178"/>
    <n v="3221567.9116051178"/>
    <n v="3221567.9116051178"/>
    <n v="3221567.9116051178"/>
    <n v="3221567.9116051178"/>
    <n v="2319270.1166294375"/>
    <n v="2319270.1166294375"/>
    <n v="2319270.1166294375"/>
    <n v="2319270.1166294375"/>
    <n v="2319270.1166294375"/>
    <n v="2319270.1166294375"/>
    <n v="2319270.1166294375"/>
    <n v="2319270.1166294375"/>
    <n v="2319270.1166294375"/>
    <n v="2319270.1166294375"/>
    <n v="23838308.647246636"/>
    <n v="23838308.647246636"/>
    <n v="0.75820549182975394"/>
  </r>
  <r>
    <x v="23"/>
    <x v="12"/>
    <s v="49. Agricultural Productivity and Risk Management"/>
    <n v="7608875.4400000004"/>
    <n v="0"/>
    <n v="0"/>
    <n v="0"/>
    <n v="0"/>
    <n v="0"/>
    <n v="0"/>
    <n v="0"/>
    <n v="0"/>
    <n v="3804437.72"/>
    <n v="3804437.72"/>
    <n v="3804437.72"/>
    <n v="3804437.72"/>
    <n v="0"/>
    <n v="0"/>
    <n v="0"/>
    <n v="0"/>
    <n v="0"/>
    <n v="0"/>
    <n v="7608875.4400000004"/>
    <n v="7608875.4400000004"/>
    <n v="1"/>
  </r>
  <r>
    <x v="23"/>
    <x v="0"/>
    <s v="60. Local Development"/>
    <n v="24000000"/>
    <n v="0"/>
    <n v="0"/>
    <n v="4800000"/>
    <n v="4800000"/>
    <n v="0"/>
    <n v="0"/>
    <n v="0"/>
    <n v="0"/>
    <n v="0"/>
    <n v="0"/>
    <n v="7200000"/>
    <n v="7200000"/>
    <n v="0"/>
    <n v="0"/>
    <n v="7200000"/>
    <n v="7200000"/>
    <n v="4800000"/>
    <n v="4800000"/>
    <n v="24000000"/>
    <n v="24000000"/>
    <n v="1"/>
  </r>
  <r>
    <x v="23"/>
    <x v="1"/>
    <s v="60. Local Development"/>
    <n v="60000000"/>
    <n v="0"/>
    <n v="0"/>
    <n v="16500000"/>
    <n v="16500000"/>
    <n v="0"/>
    <n v="0"/>
    <n v="0"/>
    <n v="0"/>
    <n v="0"/>
    <n v="0"/>
    <n v="14500000"/>
    <n v="14500000"/>
    <n v="0"/>
    <n v="0"/>
    <n v="14500000"/>
    <n v="14500000"/>
    <n v="14500000"/>
    <n v="14500000"/>
    <n v="60000000"/>
    <n v="60000000"/>
    <n v="1"/>
  </r>
  <r>
    <x v="23"/>
    <x v="3"/>
    <s v="70. Community Development"/>
    <n v="6299513.2448365418"/>
    <n v="415767.87415921176"/>
    <n v="415767.87415921176"/>
    <n v="519709.8426990147"/>
    <n v="519709.8426990147"/>
    <n v="519709.8426990147"/>
    <n v="519709.8426990147"/>
    <n v="519709.8426990147"/>
    <n v="519709.8426990147"/>
    <n v="316550.54055303626"/>
    <n v="316550.54055303626"/>
    <n v="263792.11712753022"/>
    <n v="263792.11712753022"/>
    <n v="369308.96397854231"/>
    <n v="369308.96397854231"/>
    <n v="369308.96397854231"/>
    <n v="369308.96397854231"/>
    <n v="369308.96397854231"/>
    <n v="369308.96397854231"/>
    <n v="3663166.9518724489"/>
    <n v="3663166.9518724489"/>
    <n v="0.58150000000000002"/>
  </r>
  <r>
    <x v="23"/>
    <x v="13"/>
    <s v="60. Local Development"/>
    <n v="80895287"/>
    <n v="0"/>
    <n v="0"/>
    <n v="6471622.9592628693"/>
    <n v="6471622.9592628693"/>
    <n v="0"/>
    <n v="0"/>
    <n v="0"/>
    <n v="0"/>
    <n v="18605916.010184284"/>
    <n v="18605916.010184284"/>
    <n v="0"/>
    <n v="0"/>
    <n v="0"/>
    <n v="0"/>
    <n v="27908874.015276425"/>
    <n v="27908874.015276425"/>
    <n v="0"/>
    <n v="0"/>
    <n v="52986412.984723575"/>
    <n v="52986412.984723575"/>
    <n v="0.65499999999658298"/>
  </r>
  <r>
    <x v="23"/>
    <x v="14"/>
    <s v="Disaster Risk Management"/>
    <n v="22142857"/>
    <n v="0"/>
    <n v="0"/>
    <n v="0"/>
    <n v="0"/>
    <n v="0"/>
    <n v="0"/>
    <n v="0"/>
    <n v="0"/>
    <n v="1660714.2857142857"/>
    <n v="1660714.2857142857"/>
    <n v="1383928.5714285714"/>
    <n v="1383928.5714285714"/>
    <n v="1937499.9999999998"/>
    <n v="1937499.9999999998"/>
    <n v="1937499.9999999998"/>
    <n v="1937499.9999999998"/>
    <n v="1937499.9999999998"/>
    <n v="1937499.9999999998"/>
    <n v="8857142.8571428563"/>
    <n v="8857142.8571428563"/>
    <n v="0.40000000258064516"/>
  </r>
  <r>
    <x v="23"/>
    <x v="4"/>
    <s v="23. Basic Education"/>
    <n v="36953904"/>
    <n v="1889000"/>
    <n v="1889000"/>
    <n v="9956874"/>
    <n v="9956874"/>
    <n v="3222262"/>
    <n v="3222262"/>
    <n v="2690884"/>
    <n v="2690884"/>
    <n v="0"/>
    <n v="0"/>
    <n v="7363335"/>
    <n v="7363335"/>
    <n v="1566457"/>
    <n v="1566457"/>
    <n v="3912370"/>
    <n v="3912370"/>
    <n v="3081025"/>
    <n v="3081025"/>
    <n v="33682207"/>
    <n v="33682207"/>
    <n v="0.91146545707322291"/>
  </r>
  <r>
    <x v="23"/>
    <x v="4"/>
    <s v="23. Basic Education"/>
    <n v="47369339"/>
    <n v="0"/>
    <n v="0"/>
    <n v="0"/>
    <n v="0"/>
    <n v="10115850.677937254"/>
    <n v="10115850.677937254"/>
    <n v="0"/>
    <n v="0"/>
    <n v="12865968.12077353"/>
    <n v="12865968.12077353"/>
    <n v="10049432.080515686"/>
    <n v="10049432.080515686"/>
    <n v="12865968.12077353"/>
    <n v="12865968.12077353"/>
    <n v="1472120"/>
    <n v="1472120"/>
    <n v="0"/>
    <n v="0"/>
    <n v="47369339"/>
    <n v="47369339"/>
    <n v="1"/>
  </r>
  <r>
    <x v="23"/>
    <x v="4"/>
    <s v="23. Basic Education"/>
    <n v="9236971"/>
    <n v="0"/>
    <n v="0"/>
    <n v="3000000"/>
    <n v="3000000"/>
    <n v="0"/>
    <n v="0"/>
    <n v="0"/>
    <n v="0"/>
    <n v="2338864.125"/>
    <n v="2338864.125"/>
    <n v="1559242.75"/>
    <n v="1559242.75"/>
    <n v="2338864.125"/>
    <n v="2338864.125"/>
    <n v="0"/>
    <n v="0"/>
    <n v="0"/>
    <n v="0"/>
    <n v="9236971"/>
    <n v="9236971"/>
    <n v="1"/>
  </r>
  <r>
    <x v="23"/>
    <x v="5"/>
    <s v="92. Environment and Climate Change Management"/>
    <n v="4580499"/>
    <n v="266073.87959672045"/>
    <n v="266073.87959672045"/>
    <n v="332592.34949590056"/>
    <n v="332592.34949590056"/>
    <n v="332592.34949590056"/>
    <n v="332592.34949590056"/>
    <n v="332592.34949590056"/>
    <n v="332592.34949590056"/>
    <n v="247307.2146403103"/>
    <n v="247307.2146403103"/>
    <n v="206089.34553359193"/>
    <n v="206089.34553359193"/>
    <n v="255415.13518227686"/>
    <n v="255415.13518227686"/>
    <n v="288525.08374702866"/>
    <n v="288525.08374702866"/>
    <n v="288525.08374702866"/>
    <n v="288525.08374702866"/>
    <n v="2549712.7909346586"/>
    <n v="2549712.7909346586"/>
    <n v="0.55664520196045419"/>
  </r>
  <r>
    <x v="23"/>
    <x v="15"/>
    <s v="96. Sustainable Rural Development"/>
    <n v="4069662.2087626597"/>
    <n v="268597.70577833557"/>
    <n v="268597.70577833557"/>
    <n v="335747.13222291943"/>
    <n v="335747.13222291943"/>
    <n v="335747.13222291943"/>
    <n v="335747.13222291943"/>
    <n v="335747.13222291943"/>
    <n v="335747.13222291943"/>
    <n v="204500.52599032363"/>
    <n v="204500.52599032363"/>
    <n v="170417.10499193636"/>
    <n v="170417.10499193636"/>
    <n v="238583.94698871087"/>
    <n v="238583.94698871087"/>
    <n v="238583.94698871087"/>
    <n v="238583.94698871087"/>
    <n v="238583.94698871087"/>
    <n v="238583.94698871087"/>
    <n v="2366508.5743954866"/>
    <n v="2366508.5743954866"/>
    <n v="0.58150000000000002"/>
  </r>
  <r>
    <x v="23"/>
    <x v="16"/>
    <s v="92. Environment and Climate Change Management"/>
    <n v="2730241.2898628335"/>
    <n v="180195.92513094703"/>
    <n v="180195.92513094703"/>
    <n v="225244.90641368378"/>
    <n v="225244.90641368378"/>
    <n v="225244.90641368378"/>
    <n v="225244.90641368378"/>
    <n v="225244.90641368378"/>
    <n v="225244.90641368378"/>
    <n v="137194.62481560736"/>
    <n v="137194.62481560736"/>
    <n v="114328.85401300614"/>
    <n v="114328.85401300614"/>
    <n v="160060.3956182086"/>
    <n v="160060.3956182086"/>
    <n v="160060.3956182086"/>
    <n v="160060.3956182086"/>
    <n v="160060.3956182086"/>
    <n v="160060.3956182086"/>
    <n v="1587635.3100552377"/>
    <n v="1587635.3100552377"/>
    <n v="0.58150000000000002"/>
  </r>
  <r>
    <x v="23"/>
    <x v="6"/>
    <s v="69. Gender Equality and Wome Empowerment"/>
    <n v="6299513.2448365418"/>
    <n v="415767.87415921176"/>
    <n v="415767.87415921176"/>
    <n v="519709.8426990147"/>
    <n v="519709.8426990147"/>
    <n v="519709.8426990147"/>
    <n v="519709.8426990147"/>
    <n v="519709.8426990147"/>
    <n v="519709.8426990147"/>
    <n v="316550.54055303626"/>
    <n v="316550.54055303626"/>
    <n v="263792.11712753022"/>
    <n v="263792.11712753022"/>
    <n v="369308.96397854231"/>
    <n v="369308.96397854231"/>
    <n v="369308.96397854231"/>
    <n v="369308.96397854231"/>
    <n v="369308.96397854231"/>
    <n v="369308.96397854231"/>
    <n v="3663166.9518724489"/>
    <n v="3663166.9518724489"/>
    <n v="0.58150000000000002"/>
  </r>
  <r>
    <x v="23"/>
    <x v="7"/>
    <s v="20. Management and Administration"/>
    <n v="32468869.423103288"/>
    <n v="2144952.7375489674"/>
    <n v="2144952.7375489674"/>
    <n v="2681190.9219362093"/>
    <n v="2681190.9219362093"/>
    <n v="2681190.9219362093"/>
    <n v="2681190.9219362093"/>
    <n v="2681190.9219362093"/>
    <n v="2681190.9219362093"/>
    <n v="1682359.1501084042"/>
    <n v="1682359.1501084042"/>
    <n v="1368076.7872783605"/>
    <n v="1368076.7872783605"/>
    <n v="1894017.3846429046"/>
    <n v="1894017.3846429046"/>
    <n v="1894017.3846429046"/>
    <n v="1894017.3846429046"/>
    <n v="1894017.3846429046"/>
    <n v="1894017.3846429046"/>
    <n v="18921013.594673075"/>
    <n v="18921013.594673075"/>
    <n v="0.58274322238056708"/>
  </r>
  <r>
    <x v="23"/>
    <x v="17"/>
    <s v="65. Primary Health Care"/>
    <n v="163755521.13893533"/>
    <n v="13509830.493962165"/>
    <n v="13509830.493962165"/>
    <n v="13509830.493962165"/>
    <n v="13509830.493962165"/>
    <n v="13509830.493962165"/>
    <n v="13509830.493962165"/>
    <n v="13509830.493962165"/>
    <n v="13509830.493962165"/>
    <n v="15460678.02415134"/>
    <n v="15460678.02415134"/>
    <n v="14000000"/>
    <n v="14000000"/>
    <n v="14000000"/>
    <n v="14000000"/>
    <n v="13375920"/>
    <n v="13375920"/>
    <n v="13375920"/>
    <n v="13375920"/>
    <n v="124251840.00000001"/>
    <n v="124251840.00000001"/>
    <n v="0.75876427943202507"/>
  </r>
  <r>
    <x v="23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3"/>
    <x v="19"/>
    <s v="76. Immigration Services"/>
    <n v="3142728.1783098094"/>
    <n v="207420.05976844742"/>
    <n v="207420.05976844742"/>
    <n v="259275.07471055927"/>
    <n v="259275.07471055927"/>
    <n v="259275.07471055927"/>
    <n v="259275.07471055927"/>
    <n v="259275.07471055927"/>
    <n v="259275.07471055927"/>
    <n v="157922.0909600679"/>
    <n v="157922.0909600679"/>
    <n v="131601.74246672326"/>
    <n v="131601.74246672326"/>
    <n v="184242.43945341255"/>
    <n v="184242.43945341255"/>
    <n v="184242.43945341255"/>
    <n v="184242.43945341255"/>
    <n v="184242.43945341255"/>
    <n v="184242.43945341255"/>
    <n v="1827496.4356871543"/>
    <n v="1827496.4356871543"/>
    <n v="0.58150000000000002"/>
  </r>
  <r>
    <x v="23"/>
    <x v="20"/>
    <s v="96. Sustainable Rural Development"/>
    <n v="6890625.0152343744"/>
    <n v="454781.25100546872"/>
    <n v="454781.25100546872"/>
    <n v="568476.56375683588"/>
    <n v="568476.56375683588"/>
    <n v="568476.56375683588"/>
    <n v="568476.56375683588"/>
    <n v="568476.56375683588"/>
    <n v="568476.56375683588"/>
    <n v="346253.90701552731"/>
    <n v="346253.90701552731"/>
    <n v="288544.92251293943"/>
    <n v="288544.92251293943"/>
    <n v="403962.89151811518"/>
    <n v="403962.89151811518"/>
    <n v="403962.89151811518"/>
    <n v="403962.89151811518"/>
    <n v="403962.89151811518"/>
    <n v="403962.89151811518"/>
    <n v="4006898.4463587888"/>
    <n v="4006898.4463587888"/>
    <n v="0.58150000000000002"/>
  </r>
  <r>
    <x v="23"/>
    <x v="21"/>
    <s v="18. Labour Employment and Manpower Development"/>
    <n v="7024559.9711538432"/>
    <n v="463620.95809615368"/>
    <n v="463620.95809615368"/>
    <n v="579526.19762019208"/>
    <n v="579526.19762019208"/>
    <n v="579526.19762019208"/>
    <n v="579526.19762019208"/>
    <n v="579526.19762019208"/>
    <n v="579526.19762019208"/>
    <n v="352984.13855048059"/>
    <n v="352984.13855048059"/>
    <n v="294153.44879206718"/>
    <n v="294153.44879206718"/>
    <n v="411814.82830889401"/>
    <n v="411814.82830889401"/>
    <n v="411814.82830889401"/>
    <n v="411814.82830889401"/>
    <n v="411814.82830889401"/>
    <n v="411814.82830889401"/>
    <n v="4084781.6232259595"/>
    <n v="4084781.6232259595"/>
    <n v="0.58149999999999991"/>
  </r>
  <r>
    <x v="23"/>
    <x v="22"/>
    <s v="15. Security Services"/>
    <n v="3121371.0027940893"/>
    <n v="206010.48618440991"/>
    <n v="206010.48618440991"/>
    <n v="257513.10773051236"/>
    <n v="257513.10773051236"/>
    <n v="257513.10773051236"/>
    <n v="257513.10773051236"/>
    <n v="257513.10773051236"/>
    <n v="257513.10773051236"/>
    <n v="156848.89289040296"/>
    <n v="156848.89289040296"/>
    <n v="130707.41074200248"/>
    <n v="130707.41074200248"/>
    <n v="182990.37503880347"/>
    <n v="182990.37503880347"/>
    <n v="182990.37503880347"/>
    <n v="182990.37503880347"/>
    <n v="182990.37503880347"/>
    <n v="182990.37503880347"/>
    <n v="1815077.2381247627"/>
    <n v="1815077.2381247627"/>
    <n v="0.58149999999999991"/>
  </r>
  <r>
    <x v="23"/>
    <x v="9"/>
    <s v="95. Sports and Culture"/>
    <n v="3194784.8504143921"/>
    <n v="210855.80012734991"/>
    <n v="210855.80012734991"/>
    <n v="263569.75015918736"/>
    <n v="263569.75015918736"/>
    <n v="263569.75015918736"/>
    <n v="263569.75015918736"/>
    <n v="263569.75015918736"/>
    <n v="263569.75015918736"/>
    <n v="160537.93873332322"/>
    <n v="160537.93873332322"/>
    <n v="133781.61561110269"/>
    <n v="133781.61561110269"/>
    <n v="187294.26185554377"/>
    <n v="187294.26185554377"/>
    <n v="187294.26185554377"/>
    <n v="187294.26185554377"/>
    <n v="187294.26185554377"/>
    <n v="187294.26185554377"/>
    <n v="1857767.3905159687"/>
    <n v="1857767.3905159687"/>
    <n v="0.58149999999999991"/>
  </r>
  <r>
    <x v="23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23"/>
    <x v="23"/>
    <s v="04. Water Resources Development Management and Supply"/>
    <n v="7986648.6123432843"/>
    <n v="527118.80841465679"/>
    <n v="527118.80841465679"/>
    <n v="658898.51051832095"/>
    <n v="658898.51051832095"/>
    <n v="658898.51051832095"/>
    <n v="658898.51051832095"/>
    <n v="658898.51051832095"/>
    <n v="658898.51051832095"/>
    <n v="401329.09277024999"/>
    <n v="401329.09277024999"/>
    <n v="334440.910641875"/>
    <n v="334440.910641875"/>
    <n v="468217.27489862498"/>
    <n v="468217.27489862498"/>
    <n v="468217.27489862498"/>
    <n v="468217.27489862498"/>
    <n v="468217.27489862498"/>
    <n v="468217.27489862498"/>
    <n v="4644236.1680776197"/>
    <n v="4644236.1680776197"/>
    <n v="0.58150000000000002"/>
  </r>
  <r>
    <x v="23"/>
    <x v="10"/>
    <s v="83. Youth Development"/>
    <n v="3354524.0929351109"/>
    <n v="221398.59013371734"/>
    <n v="221398.59013371734"/>
    <n v="276748.23766714666"/>
    <n v="276748.23766714666"/>
    <n v="276748.23766714666"/>
    <n v="276748.23766714666"/>
    <n v="276748.23766714666"/>
    <n v="276748.23766714666"/>
    <n v="168564.83566998929"/>
    <n v="168564.83566998929"/>
    <n v="140470.69639165775"/>
    <n v="140470.69639165775"/>
    <n v="196658.97494832083"/>
    <n v="196658.97494832083"/>
    <n v="196658.97494832083"/>
    <n v="196658.97494832083"/>
    <n v="196658.97494832083"/>
    <n v="196658.97494832083"/>
    <n v="1950655.7600417666"/>
    <n v="1950655.7600417666"/>
    <n v="0.58149999999999991"/>
  </r>
  <r>
    <x v="24"/>
    <x v="12"/>
    <s v="49. Agricultural Productivity and Risk Management"/>
    <n v="35113563.308771722"/>
    <n v="2834966.726378934"/>
    <n v="2834966.726378934"/>
    <n v="3543708.4079736671"/>
    <n v="3543708.4079736671"/>
    <n v="3543708.4079736671"/>
    <n v="3543708.4079736671"/>
    <n v="3543708.4079736671"/>
    <n v="3543708.4079736671"/>
    <n v="2617341.2096096324"/>
    <n v="2617341.2096096324"/>
    <n v="2617341.2096096324"/>
    <n v="2617341.2096096324"/>
    <n v="2617341.2096096324"/>
    <n v="2617341.2096096324"/>
    <n v="2617341.2096096324"/>
    <n v="2617341.2096096324"/>
    <n v="2617341.2096096324"/>
    <n v="2617341.2096096324"/>
    <n v="26552797.998348095"/>
    <n v="26552797.998348095"/>
    <n v="0.75619776223949731"/>
  </r>
  <r>
    <x v="24"/>
    <x v="12"/>
    <s v="49. Agricultural Productivity and Risk Management"/>
    <n v="7840478"/>
    <n v="0"/>
    <n v="0"/>
    <n v="0"/>
    <n v="0"/>
    <n v="0"/>
    <n v="0"/>
    <n v="0"/>
    <n v="0"/>
    <n v="3920239"/>
    <n v="3920239"/>
    <n v="3920239"/>
    <n v="3920239"/>
    <n v="0"/>
    <n v="0"/>
    <n v="0"/>
    <n v="0"/>
    <n v="0"/>
    <n v="0"/>
    <n v="7840478"/>
    <n v="7840478"/>
    <n v="1"/>
  </r>
  <r>
    <x v="24"/>
    <x v="0"/>
    <s v="60. Local Development"/>
    <n v="24000000"/>
    <n v="0"/>
    <n v="0"/>
    <n v="4800000"/>
    <n v="4800000"/>
    <n v="0"/>
    <n v="0"/>
    <n v="0"/>
    <n v="0"/>
    <n v="0"/>
    <n v="0"/>
    <n v="7200000"/>
    <n v="7200000"/>
    <n v="0"/>
    <n v="0"/>
    <n v="7200000"/>
    <n v="7200000"/>
    <n v="4800000"/>
    <n v="4800000"/>
    <n v="24000000"/>
    <n v="24000000"/>
    <n v="1"/>
  </r>
  <r>
    <x v="24"/>
    <x v="1"/>
    <s v="60. Local Development"/>
    <n v="60000000"/>
    <n v="0"/>
    <n v="0"/>
    <n v="16500000"/>
    <n v="16500000"/>
    <n v="0"/>
    <n v="0"/>
    <n v="0"/>
    <n v="0"/>
    <n v="0"/>
    <n v="0"/>
    <n v="14500000"/>
    <n v="14500000"/>
    <n v="0"/>
    <n v="0"/>
    <n v="14500000"/>
    <n v="14500000"/>
    <n v="14500000"/>
    <n v="14500000"/>
    <n v="60000000"/>
    <n v="60000000"/>
    <n v="1"/>
  </r>
  <r>
    <x v="24"/>
    <x v="3"/>
    <s v="70. Community Development"/>
    <n v="6075658.9166306909"/>
    <n v="400993.48849762563"/>
    <n v="400993.48849762563"/>
    <n v="501241.86062203202"/>
    <n v="501241.86062203202"/>
    <n v="501241.86062203202"/>
    <n v="501241.86062203202"/>
    <n v="501241.86062203202"/>
    <n v="501241.86062203202"/>
    <n v="305301.86056069226"/>
    <n v="305301.86056069226"/>
    <n v="254418.21713391025"/>
    <n v="254418.21713391025"/>
    <n v="356185.50398747431"/>
    <n v="356185.50398747431"/>
    <n v="356185.50398747431"/>
    <n v="356185.50398747431"/>
    <n v="356185.50398747431"/>
    <n v="356185.50398747431"/>
    <n v="3532995.6600207472"/>
    <n v="3532995.6600207472"/>
    <n v="0.58150000000000013"/>
  </r>
  <r>
    <x v="24"/>
    <x v="13"/>
    <s v="60. Local Development"/>
    <n v="102408094"/>
    <n v="0"/>
    <n v="0"/>
    <n v="8192647.5190668404"/>
    <n v="8192647.5190668404"/>
    <n v="0"/>
    <n v="0"/>
    <n v="0"/>
    <n v="0"/>
    <n v="23553861.62023329"/>
    <n v="23553861.62023329"/>
    <n v="0"/>
    <n v="0"/>
    <n v="0"/>
    <n v="0"/>
    <n v="35330792.430349931"/>
    <n v="35330792.430349931"/>
    <n v="0"/>
    <n v="0"/>
    <n v="67077301.569650061"/>
    <n v="67077301.569650061"/>
    <n v="0.65499999999658287"/>
  </r>
  <r>
    <x v="24"/>
    <x v="14"/>
    <s v="Disaster Risk Management"/>
    <n v="18142857"/>
    <n v="0"/>
    <n v="0"/>
    <n v="0"/>
    <n v="0"/>
    <n v="0"/>
    <n v="0"/>
    <n v="0"/>
    <n v="0"/>
    <n v="1360714.2857142857"/>
    <n v="1360714.2857142857"/>
    <n v="1133928.5714285714"/>
    <n v="1133928.5714285714"/>
    <n v="1587499.9999999998"/>
    <n v="1587499.9999999998"/>
    <n v="1587499.9999999998"/>
    <n v="1587499.9999999998"/>
    <n v="1587499.9999999998"/>
    <n v="1587499.9999999998"/>
    <n v="7257142.8571428563"/>
    <n v="7257142.8571428563"/>
    <n v="0.40000000314960626"/>
  </r>
  <r>
    <x v="24"/>
    <x v="4"/>
    <s v="23. Basic Education"/>
    <n v="47424310"/>
    <n v="9189446.8333333004"/>
    <n v="9189446.8333333004"/>
    <n v="5854999.8333333004"/>
    <n v="5854999.8333333004"/>
    <n v="4170516.5"/>
    <n v="4170516.5"/>
    <n v="4140228"/>
    <n v="4140228"/>
    <n v="0"/>
    <n v="0"/>
    <n v="7691034"/>
    <n v="7691034"/>
    <n v="3284198.5"/>
    <n v="3284198.5"/>
    <n v="4520981.833333334"/>
    <n v="4520981.833333334"/>
    <n v="2695189.9966666698"/>
    <n v="2695189.9966666698"/>
    <n v="41546595.496666603"/>
    <n v="41546595.496666603"/>
    <n v="0.87606114873714769"/>
  </r>
  <r>
    <x v="24"/>
    <x v="4"/>
    <s v="23. Basic Education"/>
    <n v="65552102"/>
    <n v="0"/>
    <n v="0"/>
    <n v="0"/>
    <n v="0"/>
    <n v="14673178.387767218"/>
    <n v="14673178.387767218"/>
    <n v="0"/>
    <n v="0"/>
    <n v="19079596.354587294"/>
    <n v="19079596.354587294"/>
    <n v="12719730.903058195"/>
    <n v="12719730.903058195"/>
    <n v="19079596.354587294"/>
    <n v="19079596.354587294"/>
    <n v="0"/>
    <n v="0"/>
    <n v="0"/>
    <n v="0"/>
    <n v="65552102"/>
    <n v="65552102"/>
    <n v="1"/>
  </r>
  <r>
    <x v="24"/>
    <x v="4"/>
    <s v="23. Basic Education"/>
    <n v="9334099"/>
    <n v="0"/>
    <n v="0"/>
    <n v="2334099"/>
    <n v="2334099"/>
    <n v="0"/>
    <n v="0"/>
    <n v="0"/>
    <n v="0"/>
    <n v="2625000"/>
    <n v="2625000"/>
    <n v="1750000"/>
    <n v="1750000"/>
    <n v="2625000"/>
    <n v="2625000"/>
    <n v="0"/>
    <n v="0"/>
    <n v="0"/>
    <n v="0"/>
    <n v="9334099"/>
    <n v="9334099"/>
    <n v="1"/>
  </r>
  <r>
    <x v="24"/>
    <x v="5"/>
    <s v="92. Environment and Climate Change Management"/>
    <n v="7683590"/>
    <n v="446327.45861505787"/>
    <n v="446327.45861505787"/>
    <n v="557909.32326882228"/>
    <n v="557909.32326882228"/>
    <n v="557909.32326882228"/>
    <n v="557909.32326882228"/>
    <n v="557909.32326882228"/>
    <n v="557909.32326882228"/>
    <n v="414847.1874611582"/>
    <n v="414847.1874611582"/>
    <n v="345705.9895509652"/>
    <n v="345705.9895509652"/>
    <n v="428448.19724783831"/>
    <n v="428448.19724783831"/>
    <n v="483988.38537135127"/>
    <n v="483988.38537135127"/>
    <n v="483988.38537135127"/>
    <n v="483988.38537135127"/>
    <n v="4277033.5734241894"/>
    <n v="4277033.5734241894"/>
    <n v="0.55664521056227489"/>
  </r>
  <r>
    <x v="24"/>
    <x v="15"/>
    <s v="96. Sustainable Rural Development"/>
    <n v="3999818.0300128879"/>
    <n v="263987.9899808506"/>
    <n v="263987.9899808506"/>
    <n v="329984.98747606325"/>
    <n v="329984.98747606325"/>
    <n v="329984.98747606325"/>
    <n v="329984.98747606325"/>
    <n v="329984.98747606325"/>
    <n v="329984.98747606325"/>
    <n v="200990.85600814762"/>
    <n v="200990.85600814762"/>
    <n v="167492.3800067897"/>
    <n v="167492.3800067897"/>
    <n v="234489.33200950557"/>
    <n v="234489.33200950557"/>
    <n v="234489.33200950557"/>
    <n v="234489.33200950557"/>
    <n v="234489.33200950557"/>
    <n v="234489.33200950557"/>
    <n v="2325894.1844524941"/>
    <n v="2325894.1844524941"/>
    <n v="0.58149999999999991"/>
  </r>
  <r>
    <x v="24"/>
    <x v="16"/>
    <s v="92. Environment and Climate Change Management"/>
    <n v="4953664.1125588492"/>
    <n v="326941.83142888406"/>
    <n v="326941.83142888406"/>
    <n v="408677.28928610508"/>
    <n v="408677.28928610508"/>
    <n v="408677.28928610508"/>
    <n v="408677.28928610508"/>
    <n v="408677.28928610508"/>
    <n v="408677.28928610508"/>
    <n v="248921.62165608216"/>
    <n v="248921.62165608216"/>
    <n v="207434.6847134018"/>
    <n v="207434.6847134018"/>
    <n v="290408.55859876249"/>
    <n v="290408.55859876249"/>
    <n v="290408.55859876249"/>
    <n v="290408.55859876249"/>
    <n v="290408.55859876249"/>
    <n v="290408.55859876249"/>
    <n v="2880555.6814529705"/>
    <n v="2880555.6814529705"/>
    <n v="0.58149999999999991"/>
  </r>
  <r>
    <x v="24"/>
    <x v="6"/>
    <s v="69. Gender Equality and Wome Empowerment"/>
    <n v="6075658.9166306909"/>
    <n v="400993.48849762563"/>
    <n v="400993.48849762563"/>
    <n v="501241.86062203202"/>
    <n v="501241.86062203202"/>
    <n v="501241.86062203202"/>
    <n v="501241.86062203202"/>
    <n v="501241.86062203202"/>
    <n v="501241.86062203202"/>
    <n v="305301.86056069226"/>
    <n v="305301.86056069226"/>
    <n v="254418.21713391025"/>
    <n v="254418.21713391025"/>
    <n v="356185.50398747431"/>
    <n v="356185.50398747431"/>
    <n v="356185.50398747431"/>
    <n v="356185.50398747431"/>
    <n v="356185.50398747431"/>
    <n v="356185.50398747431"/>
    <n v="3532995.6600207472"/>
    <n v="3532995.6600207472"/>
    <n v="0.58150000000000013"/>
  </r>
  <r>
    <x v="24"/>
    <x v="7"/>
    <s v="20. Management and Administration"/>
    <n v="34638863.897797018"/>
    <n v="2288306.5306332605"/>
    <n v="2288306.5306332605"/>
    <n v="2860383.1632915754"/>
    <n v="2860383.1632915754"/>
    <n v="2860383.1632915754"/>
    <n v="2860383.1632915754"/>
    <n v="2860383.1632915754"/>
    <n v="2860383.1632915754"/>
    <n v="1794796.3899954199"/>
    <n v="1794796.3899954199"/>
    <n v="1459509.5695740841"/>
    <n v="1459509.5695740841"/>
    <n v="2020600.3957755468"/>
    <n v="2020600.3957755468"/>
    <n v="2020600.3957755468"/>
    <n v="2020600.3957755468"/>
    <n v="2020600.3957755468"/>
    <n v="2020600.3957755468"/>
    <n v="20185563.16740413"/>
    <n v="20185563.16740413"/>
    <n v="0.58274322238056719"/>
  </r>
  <r>
    <x v="24"/>
    <x v="17"/>
    <s v="65. Primary Health Care"/>
    <n v="189561349.15439266"/>
    <n v="15638811.305237396"/>
    <n v="15638811.305237396"/>
    <n v="15638811.305237396"/>
    <n v="15638811.305237396"/>
    <n v="15638811.305237396"/>
    <n v="15638811.305237396"/>
    <n v="15638811.305237396"/>
    <n v="15638811.305237396"/>
    <n v="22558105.779050417"/>
    <n v="22558105.779050417"/>
    <n v="14678000"/>
    <n v="14678000"/>
    <n v="17458000"/>
    <n v="17458000"/>
    <n v="16086996"/>
    <n v="16086996"/>
    <n v="16353000"/>
    <n v="16353000"/>
    <n v="149689347"/>
    <n v="149689347"/>
    <n v="0.78966175155296037"/>
  </r>
  <r>
    <x v="24"/>
    <x v="18"/>
    <s v="48. Housing Management and Urban Development"/>
    <n v="1972248.5732405321"/>
    <n v="130168.40583387513"/>
    <n v="130168.40583387513"/>
    <n v="162710.50729234391"/>
    <n v="162710.50729234391"/>
    <n v="162710.50729234391"/>
    <n v="162710.50729234391"/>
    <n v="162710.50729234391"/>
    <n v="162710.50729234391"/>
    <n v="102556.92580850759"/>
    <n v="102556.92580850759"/>
    <n v="82177.023885022165"/>
    <n v="82177.023885022165"/>
    <n v="115047.83343903102"/>
    <n v="115047.83343903102"/>
    <n v="115047.83343903102"/>
    <n v="115047.83343903102"/>
    <n v="115047.83343903102"/>
    <n v="115047.83343903102"/>
    <n v="1148177.3777215295"/>
    <n v="1148177.3777215295"/>
    <n v="0.5821666666666665"/>
  </r>
  <r>
    <x v="24"/>
    <x v="19"/>
    <s v="76. Immigration Services"/>
    <n v="3882772.1895227386"/>
    <n v="256262.96450850077"/>
    <n v="256262.96450850077"/>
    <n v="320328.70563562593"/>
    <n v="320328.70563562593"/>
    <n v="320328.70563562593"/>
    <n v="320328.70563562593"/>
    <n v="320328.70563562593"/>
    <n v="320328.70563562593"/>
    <n v="195109.30252351763"/>
    <n v="195109.30252351763"/>
    <n v="162591.08543626469"/>
    <n v="162591.08543626469"/>
    <n v="227627.51961077057"/>
    <n v="227627.51961077057"/>
    <n v="227627.51961077057"/>
    <n v="227627.51961077057"/>
    <n v="227627.51961077057"/>
    <n v="227627.51961077057"/>
    <n v="2257832.0282074725"/>
    <n v="2257832.0282074725"/>
    <n v="0.58150000000000002"/>
  </r>
  <r>
    <x v="24"/>
    <x v="20"/>
    <s v="96. Sustainable Rural Development"/>
    <n v="6890625.0152343744"/>
    <n v="454781.25100546872"/>
    <n v="454781.25100546872"/>
    <n v="568476.56375683588"/>
    <n v="568476.56375683588"/>
    <n v="568476.56375683588"/>
    <n v="568476.56375683588"/>
    <n v="568476.56375683588"/>
    <n v="568476.56375683588"/>
    <n v="346253.90701552731"/>
    <n v="346253.90701552731"/>
    <n v="288544.92251293943"/>
    <n v="288544.92251293943"/>
    <n v="403962.89151811518"/>
    <n v="403962.89151811518"/>
    <n v="403962.89151811518"/>
    <n v="403962.89151811518"/>
    <n v="403962.89151811518"/>
    <n v="403962.89151811518"/>
    <n v="4006898.4463587888"/>
    <n v="4006898.4463587888"/>
    <n v="0.58150000000000002"/>
  </r>
  <r>
    <x v="24"/>
    <x v="21"/>
    <s v="18. Labour Employment and Manpower Development"/>
    <n v="5650303.171153849"/>
    <n v="372920.00929615408"/>
    <n v="372920.00929615408"/>
    <n v="466150.01162019256"/>
    <n v="466150.01162019256"/>
    <n v="466150.01162019256"/>
    <n v="466150.01162019256"/>
    <n v="466150.01162019256"/>
    <n v="466150.01162019256"/>
    <n v="283927.7343504809"/>
    <n v="283927.7343504809"/>
    <n v="236606.44529206742"/>
    <n v="236606.44529206742"/>
    <n v="331249.02340889437"/>
    <n v="331249.02340889437"/>
    <n v="331249.02340889437"/>
    <n v="331249.02340889437"/>
    <n v="331249.02340889437"/>
    <n v="331249.02340889437"/>
    <n v="3285651.2940259636"/>
    <n v="3285651.2940259636"/>
    <n v="0.58150000000000013"/>
  </r>
  <r>
    <x v="24"/>
    <x v="22"/>
    <s v="15. Security Services"/>
    <n v="3347532.0662567806"/>
    <n v="220937.11637294755"/>
    <n v="220937.11637294755"/>
    <n v="276171.39546618442"/>
    <n v="276171.39546618442"/>
    <n v="276171.39546618442"/>
    <n v="276171.39546618442"/>
    <n v="276171.39546618442"/>
    <n v="276171.39546618442"/>
    <n v="168213.48632940324"/>
    <n v="168213.48632940324"/>
    <n v="140177.9052745027"/>
    <n v="140177.9052745027"/>
    <n v="196249.06738430378"/>
    <n v="196249.06738430378"/>
    <n v="196249.06738430378"/>
    <n v="196249.06738430378"/>
    <n v="196249.06738430378"/>
    <n v="196249.06738430378"/>
    <n v="1946589.8965283183"/>
    <n v="1946589.8965283183"/>
    <n v="0.58150000000000013"/>
  </r>
  <r>
    <x v="24"/>
    <x v="9"/>
    <s v="95. Sports and Culture"/>
    <n v="3379397.8345841826"/>
    <n v="223040.25708255605"/>
    <n v="223040.25708255605"/>
    <n v="278800.32135319506"/>
    <n v="278800.32135319506"/>
    <n v="278800.32135319506"/>
    <n v="278800.32135319506"/>
    <n v="278800.32135319506"/>
    <n v="278800.32135319506"/>
    <n v="169814.74118785511"/>
    <n v="169814.74118785511"/>
    <n v="141512.2843232126"/>
    <n v="141512.2843232126"/>
    <n v="198117.19805249764"/>
    <n v="198117.19805249764"/>
    <n v="198117.19805249764"/>
    <n v="198117.19805249764"/>
    <n v="198117.19805249764"/>
    <n v="198117.19805249764"/>
    <n v="1965119.8408107019"/>
    <n v="1965119.8408107019"/>
    <n v="0.58149999999999991"/>
  </r>
  <r>
    <x v="24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24"/>
    <x v="23"/>
    <s v="04. Water Resources Development Management and Supply"/>
    <n v="8099799.4041761942"/>
    <n v="534586.7606756289"/>
    <n v="534586.7606756289"/>
    <n v="668233.45084453607"/>
    <n v="668233.45084453607"/>
    <n v="668233.45084453607"/>
    <n v="668233.45084453607"/>
    <n v="668233.45084453607"/>
    <n v="668233.45084453607"/>
    <n v="407014.92005985376"/>
    <n v="407014.92005985376"/>
    <n v="339179.10004987812"/>
    <n v="339179.10004987812"/>
    <n v="474850.74006982933"/>
    <n v="474850.74006982933"/>
    <n v="474850.74006982933"/>
    <n v="474850.74006982933"/>
    <n v="474850.74006982933"/>
    <n v="474850.74006982933"/>
    <n v="4710033.3535284568"/>
    <n v="4710033.3535284568"/>
    <n v="0.58150000000000002"/>
  </r>
  <r>
    <x v="24"/>
    <x v="10"/>
    <s v="83. Youth Development"/>
    <n v="3548367.7263133903"/>
    <n v="234192.26993668379"/>
    <n v="234192.26993668379"/>
    <n v="292740.33742085472"/>
    <n v="292740.33742085472"/>
    <n v="292740.33742085472"/>
    <n v="292740.33742085472"/>
    <n v="292740.33742085472"/>
    <n v="292740.33742085472"/>
    <n v="178305.47824724784"/>
    <n v="178305.47824724784"/>
    <n v="148587.89853937321"/>
    <n v="148587.89853937321"/>
    <n v="208023.05795512249"/>
    <n v="208023.05795512249"/>
    <n v="208023.05795512249"/>
    <n v="208023.05795512249"/>
    <n v="208023.05795512249"/>
    <n v="208023.05795512249"/>
    <n v="2063375.8328512365"/>
    <n v="2063375.8328512365"/>
    <n v="0.58150000000000002"/>
  </r>
  <r>
    <x v="25"/>
    <x v="12"/>
    <s v="49. Agricultural Productivity and Risk Management"/>
    <n v="35575124.00333333"/>
    <n v="3315305.9937398229"/>
    <n v="3315305.9937398229"/>
    <n v="4144132.4921747786"/>
    <n v="4144132.4921747786"/>
    <n v="4144132.4921747786"/>
    <n v="4144132.4921747786"/>
    <n v="4144132.4921747786"/>
    <n v="4144132.4921747786"/>
    <n v="2374824.2543292772"/>
    <n v="2374824.2543292772"/>
    <n v="2374824.2543292772"/>
    <n v="2374824.2543292772"/>
    <n v="2374824.2543292772"/>
    <n v="2374824.2543292772"/>
    <n v="2374824.2543292772"/>
    <n v="2374824.2543292772"/>
    <n v="2374824.2543292772"/>
    <n v="2374824.2543292772"/>
    <n v="27621824.741910547"/>
    <n v="27621824.741910547"/>
    <n v="0.77643649926061897"/>
  </r>
  <r>
    <x v="25"/>
    <x v="12"/>
    <s v="49. Agricultural Productivity and Risk Management"/>
    <n v="14656784"/>
    <n v="0"/>
    <n v="0"/>
    <n v="0"/>
    <n v="0"/>
    <n v="0"/>
    <n v="0"/>
    <n v="0"/>
    <n v="0"/>
    <n v="7328392"/>
    <n v="7328392"/>
    <n v="7328392"/>
    <n v="7328392"/>
    <n v="0"/>
    <n v="0"/>
    <n v="0"/>
    <n v="0"/>
    <n v="0"/>
    <n v="0"/>
    <n v="14656784"/>
    <n v="14656784"/>
    <n v="1"/>
  </r>
  <r>
    <x v="25"/>
    <x v="0"/>
    <s v="60. Local Development"/>
    <n v="72000000"/>
    <n v="0"/>
    <n v="0"/>
    <n v="14400000"/>
    <n v="14400000"/>
    <n v="0"/>
    <n v="0"/>
    <n v="0"/>
    <n v="0"/>
    <n v="0"/>
    <n v="0"/>
    <n v="21600000"/>
    <n v="21600000"/>
    <n v="0"/>
    <n v="0"/>
    <n v="21600000"/>
    <n v="21600000"/>
    <n v="14400000"/>
    <n v="14400000"/>
    <n v="72000000"/>
    <n v="72000000"/>
    <n v="1"/>
  </r>
  <r>
    <x v="25"/>
    <x v="1"/>
    <s v="60. Local Development"/>
    <n v="180000000"/>
    <n v="0"/>
    <n v="0"/>
    <n v="49500000"/>
    <n v="49500000"/>
    <n v="0"/>
    <n v="0"/>
    <n v="0"/>
    <n v="0"/>
    <n v="0"/>
    <n v="0"/>
    <n v="43500000"/>
    <n v="43500000"/>
    <n v="0"/>
    <n v="0"/>
    <n v="43500000"/>
    <n v="43500000"/>
    <n v="43500000"/>
    <n v="43500000"/>
    <n v="180000000"/>
    <n v="180000000"/>
    <n v="1"/>
  </r>
  <r>
    <x v="25"/>
    <x v="3"/>
    <s v="70. Community Development"/>
    <n v="8217546.83985529"/>
    <n v="542358.09143044928"/>
    <n v="542358.09143044928"/>
    <n v="677947.61428806151"/>
    <n v="677947.61428806151"/>
    <n v="677947.61428806151"/>
    <n v="677947.61428806151"/>
    <n v="677947.61428806151"/>
    <n v="677947.61428806151"/>
    <n v="412931.72870272817"/>
    <n v="412931.72870272817"/>
    <n v="344109.77391894016"/>
    <n v="344109.77391894016"/>
    <n v="481753.68348651618"/>
    <n v="481753.68348651618"/>
    <n v="481753.68348651618"/>
    <n v="481753.68348651618"/>
    <n v="481753.68348651618"/>
    <n v="481753.68348651618"/>
    <n v="4778503.4873758508"/>
    <n v="4778503.4873758508"/>
    <n v="0.58149999999999991"/>
  </r>
  <r>
    <x v="25"/>
    <x v="13"/>
    <s v="60. Local Development"/>
    <n v="75053025"/>
    <n v="0"/>
    <n v="0"/>
    <n v="6004241.9993161038"/>
    <n v="6004241.9993161038"/>
    <n v="0"/>
    <n v="0"/>
    <n v="0"/>
    <n v="0"/>
    <n v="17262195.750170976"/>
    <n v="17262195.750170976"/>
    <n v="0"/>
    <n v="0"/>
    <n v="0"/>
    <n v="0"/>
    <n v="25893293.625256464"/>
    <n v="25893293.625256464"/>
    <n v="0"/>
    <n v="0"/>
    <n v="49159731.374743544"/>
    <n v="49159731.374743544"/>
    <n v="0.65499999999658298"/>
  </r>
  <r>
    <x v="25"/>
    <x v="14"/>
    <s v="Disaster Risk Management"/>
    <n v="26142857"/>
    <n v="14079999.999120001"/>
    <n v="14079999.999120001"/>
    <n v="0"/>
    <n v="0"/>
    <n v="0"/>
    <n v="0"/>
    <n v="0"/>
    <n v="0"/>
    <n v="640714.28579678561"/>
    <n v="640714.28579678561"/>
    <n v="533928.57149732136"/>
    <n v="533928.57149732136"/>
    <n v="747500.00009624986"/>
    <n v="747500.00009624986"/>
    <n v="747500.00009624986"/>
    <n v="747500.00009624986"/>
    <n v="747500.00009624986"/>
    <n v="747500.00009624986"/>
    <n v="17497142.856702857"/>
    <n v="17497142.856702857"/>
    <n v="0.66928962112682855"/>
  </r>
  <r>
    <x v="25"/>
    <x v="4"/>
    <s v="23. Basic Education"/>
    <n v="110561433.7214313"/>
    <n v="5906603.2075000014"/>
    <n v="5906603.2075000014"/>
    <n v="12061027.457500011"/>
    <n v="12061027.457500011"/>
    <n v="9615631.2908333316"/>
    <n v="9615631.2908333316"/>
    <n v="14883843.318611113"/>
    <n v="14883843.318611113"/>
    <n v="0"/>
    <n v="0"/>
    <n v="22363080.4965882"/>
    <n v="22363080.4965882"/>
    <n v="11297674.151944444"/>
    <n v="11297674.151944444"/>
    <n v="8012420.2908333354"/>
    <n v="8012420.2908333354"/>
    <n v="9715633.1990882047"/>
    <n v="9715633.1990882047"/>
    <n v="93855913.412898645"/>
    <n v="93855913.412898645"/>
    <n v="0.84890282491611313"/>
  </r>
  <r>
    <x v="25"/>
    <x v="4"/>
    <s v="23. Basic Education"/>
    <n v="175320884.59999993"/>
    <n v="0"/>
    <n v="0"/>
    <n v="43966250.499054253"/>
    <n v="43966250.499054253"/>
    <n v="0"/>
    <n v="0"/>
    <n v="0"/>
    <n v="0"/>
    <n v="45428097.537854642"/>
    <n v="45428097.537854642"/>
    <n v="32838658.525236432"/>
    <n v="32838658.525236432"/>
    <n v="47981357.704521306"/>
    <n v="47981357.704521306"/>
    <n v="2553260.1666666665"/>
    <n v="2553260.1666666665"/>
    <n v="0"/>
    <n v="0"/>
    <n v="172767624.43333328"/>
    <n v="172767624.43333328"/>
    <n v="0.98543664565409872"/>
  </r>
  <r>
    <x v="25"/>
    <x v="4"/>
    <s v="23. Basic Education"/>
    <n v="23742999"/>
    <n v="0"/>
    <n v="0"/>
    <n v="0"/>
    <n v="0"/>
    <n v="15742999"/>
    <n v="15742999"/>
    <n v="0"/>
    <n v="0"/>
    <n v="3000000"/>
    <n v="3000000"/>
    <n v="2000000"/>
    <n v="2000000"/>
    <n v="3000000"/>
    <n v="3000000"/>
    <n v="0"/>
    <n v="0"/>
    <n v="0"/>
    <n v="0"/>
    <n v="23742999"/>
    <n v="23742999"/>
    <n v="1"/>
  </r>
  <r>
    <x v="25"/>
    <x v="5"/>
    <s v="92. Environment and Climate Change Management"/>
    <n v="8468288"/>
    <n v="491909.31148473057"/>
    <n v="491909.31148473057"/>
    <n v="614886.63935591315"/>
    <n v="614886.63935591315"/>
    <n v="614886.63935591315"/>
    <n v="614886.63935591315"/>
    <n v="614886.63935591315"/>
    <n v="614886.63935591315"/>
    <n v="457214.07100654399"/>
    <n v="457214.07100654399"/>
    <n v="381011.72583878669"/>
    <n v="381011.72583878669"/>
    <n v="472204.09658333455"/>
    <n v="472204.09658333455"/>
    <n v="533416.4161743013"/>
    <n v="533416.4161743013"/>
    <n v="533416.4161743013"/>
    <n v="533416.4161743013"/>
    <n v="4713831.9553297386"/>
    <n v="4713831.9553297386"/>
    <n v="0.55664521038133552"/>
  </r>
  <r>
    <x v="25"/>
    <x v="15"/>
    <s v="96. Sustainable Rural Development"/>
    <n v="10307256.715883119"/>
    <n v="680278.94324828591"/>
    <n v="680278.94324828591"/>
    <n v="850348.67906035739"/>
    <n v="850348.67906035739"/>
    <n v="850348.67906035739"/>
    <n v="850348.67906035739"/>
    <n v="850348.67906035739"/>
    <n v="850348.67906035739"/>
    <n v="517939.64997312671"/>
    <n v="517939.64997312671"/>
    <n v="431616.37497760559"/>
    <n v="431616.37497760559"/>
    <n v="604262.92496864777"/>
    <n v="604262.92496864777"/>
    <n v="604262.92496864777"/>
    <n v="604262.92496864777"/>
    <n v="604262.92496864777"/>
    <n v="604262.92496864777"/>
    <n v="5993669.7802860336"/>
    <n v="5993669.7802860336"/>
    <n v="0.58150000000000002"/>
  </r>
  <r>
    <x v="25"/>
    <x v="16"/>
    <s v="92. Environment and Climate Change Management"/>
    <n v="6260892.9759038519"/>
    <n v="413218.93640965427"/>
    <n v="413218.93640965427"/>
    <n v="516523.67051206779"/>
    <n v="516523.67051206779"/>
    <n v="516523.67051206779"/>
    <n v="516523.67051206779"/>
    <n v="516523.67051206779"/>
    <n v="516523.67051206779"/>
    <n v="314609.87203916855"/>
    <n v="314609.87203916855"/>
    <n v="262174.89336597378"/>
    <n v="262174.89336597378"/>
    <n v="367044.85071236326"/>
    <n v="367044.85071236326"/>
    <n v="367044.85071236326"/>
    <n v="367044.85071236326"/>
    <n v="367044.85071236326"/>
    <n v="367044.85071236326"/>
    <n v="3640709.2654880895"/>
    <n v="3640709.2654880895"/>
    <n v="0.58149999999999991"/>
  </r>
  <r>
    <x v="25"/>
    <x v="6"/>
    <s v="69. Gender Equality and Wome Empowerment"/>
    <n v="8217546.83985529"/>
    <n v="542358.09143044928"/>
    <n v="542358.09143044928"/>
    <n v="677947.61428806151"/>
    <n v="677947.61428806151"/>
    <n v="677947.61428806151"/>
    <n v="677947.61428806151"/>
    <n v="677947.61428806151"/>
    <n v="677947.61428806151"/>
    <n v="412931.72870272817"/>
    <n v="412931.72870272817"/>
    <n v="344109.77391894016"/>
    <n v="344109.77391894016"/>
    <n v="481753.68348651618"/>
    <n v="481753.68348651618"/>
    <n v="481753.68348651618"/>
    <n v="481753.68348651618"/>
    <n v="481753.68348651618"/>
    <n v="481753.68348651618"/>
    <n v="4778503.4873758508"/>
    <n v="4778503.4873758508"/>
    <n v="0.58149999999999991"/>
  </r>
  <r>
    <x v="25"/>
    <x v="7"/>
    <s v="20. Management and Administration"/>
    <n v="60386895.803382836"/>
    <n v="3989268.4829175198"/>
    <n v="3989268.4829175198"/>
    <n v="4986585.6036468996"/>
    <n v="4986585.6036468996"/>
    <n v="4986585.6036468996"/>
    <n v="4986585.6036468996"/>
    <n v="4986585.6036468996"/>
    <n v="4986585.6036468996"/>
    <n v="3128918.5150738754"/>
    <n v="3128918.5150738754"/>
    <n v="2544403.6664122669"/>
    <n v="2544403.6664122669"/>
    <n v="3522568.9248928344"/>
    <n v="3522568.9248928344"/>
    <n v="3522568.9248928344"/>
    <n v="3522568.9248928344"/>
    <n v="3522568.9248928344"/>
    <n v="3522568.9248928344"/>
    <n v="35190054.250022866"/>
    <n v="35190054.250022866"/>
    <n v="0.58274322238056719"/>
  </r>
  <r>
    <x v="25"/>
    <x v="17"/>
    <s v="65. Primary Health Care"/>
    <n v="306931615.3736344"/>
    <n v="25321858.268324841"/>
    <n v="25321858.268324841"/>
    <n v="25321858.268324841"/>
    <n v="25321858.268324841"/>
    <n v="25321858.268324841"/>
    <n v="25321858.268324841"/>
    <n v="25321858.268324841"/>
    <n v="25321858.268324841"/>
    <n v="36023109.926700637"/>
    <n v="36023109.926700637"/>
    <n v="25577634"/>
    <n v="25577634"/>
    <n v="25000000"/>
    <n v="25000000"/>
    <n v="25000000"/>
    <n v="25000000"/>
    <n v="25000000"/>
    <n v="25000000"/>
    <n v="237888177.00000006"/>
    <n v="237888177.00000006"/>
    <n v="0.77505269931353837"/>
  </r>
  <r>
    <x v="25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5"/>
    <x v="19"/>
    <s v="76. Immigration Services"/>
    <n v="7207231.8363225814"/>
    <n v="475677.30119729042"/>
    <n v="475677.30119729042"/>
    <n v="594596.62649661303"/>
    <n v="594596.62649661303"/>
    <n v="594596.62649661303"/>
    <n v="594596.62649661303"/>
    <n v="594596.62649661303"/>
    <n v="594596.62649661303"/>
    <n v="362163.39977520966"/>
    <n v="362163.39977520966"/>
    <n v="301802.83314600808"/>
    <n v="301802.83314600808"/>
    <n v="422523.9664044113"/>
    <n v="422523.9664044113"/>
    <n v="422523.9664044113"/>
    <n v="422523.9664044113"/>
    <n v="422523.9664044113"/>
    <n v="422523.9664044113"/>
    <n v="4191005.312821581"/>
    <n v="4191005.312821581"/>
    <n v="0.58150000000000002"/>
  </r>
  <r>
    <x v="25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25"/>
    <x v="21"/>
    <s v="18. Labour Employment and Manpower Development"/>
    <n v="7593845.8211538428"/>
    <n v="501193.82419615373"/>
    <n v="501193.82419615373"/>
    <n v="626492.28024519212"/>
    <n v="626492.28024519212"/>
    <n v="626492.28024519212"/>
    <n v="626492.28024519212"/>
    <n v="626492.28024519212"/>
    <n v="626492.28024519212"/>
    <n v="381590.75251298054"/>
    <n v="381590.75251298054"/>
    <n v="317992.29376081715"/>
    <n v="317992.29376081715"/>
    <n v="445189.211265144"/>
    <n v="445189.211265144"/>
    <n v="445189.211265144"/>
    <n v="445189.211265144"/>
    <n v="445189.211265144"/>
    <n v="445189.211265144"/>
    <n v="4415821.3450009599"/>
    <n v="4415821.3450009599"/>
    <n v="0.58150000000000002"/>
  </r>
  <r>
    <x v="25"/>
    <x v="22"/>
    <s v="15. Security Services"/>
    <n v="5080583.8749789661"/>
    <n v="335318.53574861179"/>
    <n v="335318.53574861179"/>
    <n v="419148.1696857647"/>
    <n v="419148.1696857647"/>
    <n v="419148.1696857647"/>
    <n v="419148.1696857647"/>
    <n v="419148.1696857647"/>
    <n v="419148.1696857647"/>
    <n v="255299.33971769304"/>
    <n v="255299.33971769304"/>
    <n v="212749.4497647442"/>
    <n v="212749.4497647442"/>
    <n v="297849.22967064189"/>
    <n v="297849.22967064189"/>
    <n v="297849.22967064189"/>
    <n v="297849.22967064189"/>
    <n v="297849.22967064189"/>
    <n v="297849.22967064189"/>
    <n v="2954359.5233002687"/>
    <n v="2954359.5233002687"/>
    <n v="0.58150000000000002"/>
  </r>
  <r>
    <x v="25"/>
    <x v="9"/>
    <s v="95. Sports and Culture"/>
    <n v="4378888.1555991862"/>
    <n v="289006.61826954631"/>
    <n v="289006.61826954631"/>
    <n v="361258.27283693285"/>
    <n v="361258.27283693285"/>
    <n v="361258.27283693285"/>
    <n v="361258.27283693285"/>
    <n v="361258.27283693285"/>
    <n v="361258.27283693285"/>
    <n v="220039.12981885907"/>
    <n v="220039.12981885907"/>
    <n v="183365.94151571591"/>
    <n v="183365.94151571591"/>
    <n v="256712.31812200227"/>
    <n v="256712.31812200227"/>
    <n v="256712.31812200227"/>
    <n v="256712.31812200227"/>
    <n v="256712.31812200227"/>
    <n v="256712.31812200227"/>
    <n v="2546323.4624809269"/>
    <n v="2546323.4624809269"/>
    <n v="0.58150000000000002"/>
  </r>
  <r>
    <x v="25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25"/>
    <x v="23"/>
    <s v="04. Water Resources Development Management and Supply"/>
    <n v="8247209.6129727503"/>
    <n v="544315.83445620153"/>
    <n v="544315.83445620153"/>
    <n v="680394.79307025194"/>
    <n v="680394.79307025194"/>
    <n v="680394.79307025194"/>
    <n v="680394.79307025194"/>
    <n v="680394.79307025194"/>
    <n v="680394.79307025194"/>
    <n v="414422.28305188072"/>
    <n v="414422.28305188072"/>
    <n v="345351.90254323394"/>
    <n v="345351.90254323394"/>
    <n v="483492.66356052749"/>
    <n v="483492.66356052749"/>
    <n v="483492.66356052749"/>
    <n v="483492.66356052749"/>
    <n v="483492.66356052749"/>
    <n v="483492.66356052749"/>
    <n v="4795752.3899436546"/>
    <n v="4795752.3899436546"/>
    <n v="0.58150000000000002"/>
  </r>
  <r>
    <x v="25"/>
    <x v="10"/>
    <s v="83. Youth Development"/>
    <n v="4597832.5633791462"/>
    <n v="303456.94918302371"/>
    <n v="303456.94918302371"/>
    <n v="379321.18647877959"/>
    <n v="379321.18647877959"/>
    <n v="379321.18647877959"/>
    <n v="379321.18647877959"/>
    <n v="379321.18647877959"/>
    <n v="379321.18647877959"/>
    <n v="231041.08630980205"/>
    <n v="231041.08630980205"/>
    <n v="192534.23859150172"/>
    <n v="192534.23859150172"/>
    <n v="269547.93402810238"/>
    <n v="269547.93402810238"/>
    <n v="269547.93402810238"/>
    <n v="269547.93402810238"/>
    <n v="269547.93402810238"/>
    <n v="269547.93402810238"/>
    <n v="2673639.6356049734"/>
    <n v="2673639.6356049734"/>
    <n v="0.58150000000000002"/>
  </r>
  <r>
    <x v="26"/>
    <x v="12"/>
    <s v="49. Agricultural Productivity and Risk Management"/>
    <n v="38679285"/>
    <n v="3810367.4891579226"/>
    <n v="3810367.4891579226"/>
    <n v="4762959.3614474032"/>
    <n v="4762959.3614474032"/>
    <n v="4762959.3614474032"/>
    <n v="4762959.3614474032"/>
    <n v="4762959.3614474032"/>
    <n v="4762959.3614474032"/>
    <n v="2453430.9442762993"/>
    <n v="2453430.9442762993"/>
    <n v="2453430.9442762993"/>
    <n v="2453430.9442762993"/>
    <n v="2453430.9442762993"/>
    <n v="2453430.9442762993"/>
    <n v="2453430.9442762993"/>
    <n v="2453430.9442762993"/>
    <n v="2453430.9442762993"/>
    <n v="2453430.9442762993"/>
    <n v="30366400.294881627"/>
    <n v="30366400.294881627"/>
    <n v="0.7850817380642281"/>
  </r>
  <r>
    <x v="26"/>
    <x v="12"/>
    <s v="49. Agricultural Productivity and Risk Management"/>
    <n v="19053556"/>
    <n v="0"/>
    <n v="0"/>
    <n v="0"/>
    <n v="0"/>
    <n v="0"/>
    <n v="0"/>
    <n v="0"/>
    <n v="0"/>
    <n v="9526778"/>
    <n v="9526778"/>
    <n v="9526778"/>
    <n v="9526778"/>
    <n v="0"/>
    <n v="0"/>
    <n v="0"/>
    <n v="0"/>
    <n v="0"/>
    <n v="0"/>
    <n v="19053556"/>
    <n v="19053556"/>
    <n v="1"/>
  </r>
  <r>
    <x v="26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26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26"/>
    <x v="3"/>
    <s v="70. Community Development"/>
    <n v="7680232.3130681198"/>
    <n v="506895.33266249602"/>
    <n v="506895.33266249602"/>
    <n v="633619.16582811996"/>
    <n v="633619.16582811996"/>
    <n v="633619.16582811996"/>
    <n v="633619.16582811996"/>
    <n v="633619.16582811996"/>
    <n v="633619.16582811996"/>
    <n v="385931.67373167299"/>
    <n v="385931.67373167299"/>
    <n v="321609.7281097275"/>
    <n v="321609.7281097275"/>
    <n v="450253.61935361847"/>
    <n v="450253.61935361847"/>
    <n v="450253.61935361847"/>
    <n v="450253.61935361847"/>
    <n v="450253.61935361847"/>
    <n v="450253.61935361847"/>
    <n v="4466055.0900491122"/>
    <n v="4466055.0900491122"/>
    <n v="0.58150000000000002"/>
  </r>
  <r>
    <x v="26"/>
    <x v="13"/>
    <s v="60. Local Development"/>
    <n v="85335799"/>
    <n v="0"/>
    <n v="0"/>
    <n v="6826863.9192224061"/>
    <n v="6826863.9192224061"/>
    <n v="0"/>
    <n v="0"/>
    <n v="0"/>
    <n v="0"/>
    <n v="19627233.7701944"/>
    <n v="19627233.7701944"/>
    <n v="0"/>
    <n v="0"/>
    <n v="0"/>
    <n v="0"/>
    <n v="29440850.655291602"/>
    <n v="29440850.655291602"/>
    <n v="0"/>
    <n v="0"/>
    <n v="55894948.344708405"/>
    <n v="55894948.344708405"/>
    <n v="0.65499999999658298"/>
  </r>
  <r>
    <x v="26"/>
    <x v="14"/>
    <s v="Disaster Risk Management"/>
    <n v="34142857"/>
    <n v="14079999.999120001"/>
    <n v="14079999.999120001"/>
    <n v="0"/>
    <n v="0"/>
    <n v="0"/>
    <n v="0"/>
    <n v="0"/>
    <n v="0"/>
    <n v="1240714.2857967855"/>
    <n v="1240714.2857967855"/>
    <n v="1033928.5714973214"/>
    <n v="1033928.5714973214"/>
    <n v="1447500.0000962499"/>
    <n v="1447500.0000962499"/>
    <n v="1447500.0000962499"/>
    <n v="1447500.0000962499"/>
    <n v="1447500.0000962499"/>
    <n v="1447500.0000962499"/>
    <n v="20697142.856702857"/>
    <n v="20697142.856702857"/>
    <n v="0.60619247114273"/>
  </r>
  <r>
    <x v="26"/>
    <x v="4"/>
    <s v="23. Basic Education"/>
    <n v="94925514.560000002"/>
    <n v="7056892.9199999999"/>
    <n v="7056892.9199999999"/>
    <n v="5194392.47"/>
    <n v="5194392.47"/>
    <n v="10889392.92"/>
    <n v="10889392.92"/>
    <n v="10740892.92"/>
    <n v="10740892.92"/>
    <n v="6000000.0000000056"/>
    <n v="6000000.0000000056"/>
    <n v="18049585.840000004"/>
    <n v="18049585.840000004"/>
    <n v="9620892.9199999999"/>
    <n v="9620892.9199999999"/>
    <n v="6693392.9199999999"/>
    <n v="6693392.9199999999"/>
    <n v="6531892.9199999999"/>
    <n v="6531892.9199999999"/>
    <n v="80777335.830000013"/>
    <n v="80777335.830000013"/>
    <n v="0.85095494298261309"/>
  </r>
  <r>
    <x v="26"/>
    <x v="4"/>
    <s v="23. Basic Education"/>
    <n v="157085000"/>
    <n v="28716233.084618688"/>
    <n v="28716233.084618688"/>
    <n v="0"/>
    <n v="0"/>
    <n v="3045000"/>
    <n v="3045000"/>
    <n v="0"/>
    <n v="0"/>
    <n v="46996412.593267992"/>
    <n v="46996412.593267992"/>
    <n v="31330941.728845328"/>
    <n v="31330941.728845328"/>
    <n v="46996412.593267992"/>
    <n v="46996412.593267992"/>
    <n v="0"/>
    <n v="0"/>
    <n v="0"/>
    <n v="0"/>
    <n v="157085000"/>
    <n v="157085000"/>
    <n v="1"/>
  </r>
  <r>
    <x v="26"/>
    <x v="4"/>
    <s v="23. Basic Education"/>
    <n v="26150247"/>
    <n v="0"/>
    <n v="0"/>
    <n v="26150247"/>
    <n v="26150247"/>
    <n v="0"/>
    <n v="0"/>
    <n v="0"/>
    <n v="0"/>
    <n v="0"/>
    <n v="0"/>
    <n v="0"/>
    <n v="0"/>
    <n v="0"/>
    <n v="0"/>
    <n v="0"/>
    <n v="0"/>
    <n v="0"/>
    <n v="0"/>
    <n v="26150247"/>
    <n v="26150247"/>
    <n v="1"/>
  </r>
  <r>
    <x v="26"/>
    <x v="5"/>
    <s v="92. Environment and Climate Change Management"/>
    <n v="6610163"/>
    <n v="383973.81905341399"/>
    <n v="383973.81905341399"/>
    <n v="479967.27381676744"/>
    <n v="479967.27381676744"/>
    <n v="479967.27381676744"/>
    <n v="479967.27381676744"/>
    <n v="479967.27381676744"/>
    <n v="479967.27381676744"/>
    <n v="356891.4612318555"/>
    <n v="356891.4612318555"/>
    <n v="297409.55102654628"/>
    <n v="297409.55102654628"/>
    <n v="368592.13325289841"/>
    <n v="368592.13325289841"/>
    <n v="416373.37143716478"/>
    <n v="416373.37143716478"/>
    <n v="416373.37143716478"/>
    <n v="416373.37143716478"/>
    <n v="3679515.5288893459"/>
    <n v="3679515.5288893459"/>
    <n v="0.55664520358867786"/>
  </r>
  <r>
    <x v="26"/>
    <x v="15"/>
    <s v="96. Sustainable Rural Development"/>
    <n v="10475866.375297714"/>
    <n v="691407.18076964922"/>
    <n v="691407.18076964922"/>
    <n v="864258.97596206143"/>
    <n v="864258.97596206143"/>
    <n v="864258.97596206143"/>
    <n v="864258.97596206143"/>
    <n v="864258.97596206143"/>
    <n v="864258.97596206143"/>
    <n v="526412.2853587101"/>
    <n v="526412.2853587101"/>
    <n v="438676.90446559177"/>
    <n v="438676.90446559177"/>
    <n v="614147.66625182843"/>
    <n v="614147.66625182843"/>
    <n v="614147.66625182843"/>
    <n v="614147.66625182843"/>
    <n v="614147.66625182843"/>
    <n v="614147.66625182843"/>
    <n v="6091716.2972356211"/>
    <n v="6091716.2972356211"/>
    <n v="0.58150000000000002"/>
  </r>
  <r>
    <x v="26"/>
    <x v="16"/>
    <s v="92. Environment and Climate Change Management"/>
    <n v="4940729.3783368235"/>
    <n v="326088.13897023041"/>
    <n v="326088.13897023041"/>
    <n v="407610.17371278798"/>
    <n v="407610.17371278798"/>
    <n v="407610.17371278798"/>
    <n v="407610.17371278798"/>
    <n v="407610.17371278798"/>
    <n v="407610.17371278798"/>
    <n v="248271.65126142537"/>
    <n v="248271.65126142537"/>
    <n v="206893.04271785449"/>
    <n v="206893.04271785449"/>
    <n v="289650.25980499625"/>
    <n v="289650.25980499625"/>
    <n v="289650.25980499625"/>
    <n v="289650.25980499625"/>
    <n v="289650.25980499625"/>
    <n v="289650.25980499625"/>
    <n v="2873034.1335028629"/>
    <n v="2873034.1335028629"/>
    <n v="0.58150000000000002"/>
  </r>
  <r>
    <x v="26"/>
    <x v="6"/>
    <s v="69. Gender Equality and Wome Empowerment"/>
    <n v="7680232.3130681198"/>
    <n v="506895.33266249602"/>
    <n v="506895.33266249602"/>
    <n v="633619.16582811996"/>
    <n v="633619.16582811996"/>
    <n v="633619.16582811996"/>
    <n v="633619.16582811996"/>
    <n v="633619.16582811996"/>
    <n v="633619.16582811996"/>
    <n v="385931.67373167299"/>
    <n v="385931.67373167299"/>
    <n v="321609.7281097275"/>
    <n v="321609.7281097275"/>
    <n v="450253.61935361847"/>
    <n v="450253.61935361847"/>
    <n v="450253.61935361847"/>
    <n v="450253.61935361847"/>
    <n v="450253.61935361847"/>
    <n v="450253.61935361847"/>
    <n v="4466055.0900491122"/>
    <n v="4466055.0900491122"/>
    <n v="0.58150000000000002"/>
  </r>
  <r>
    <x v="26"/>
    <x v="7"/>
    <s v="20. Management and Administration"/>
    <n v="67220367.834833175"/>
    <n v="4440700.1096188221"/>
    <n v="4440700.1096188221"/>
    <n v="5550875.1370235272"/>
    <n v="5550875.1370235272"/>
    <n v="5550875.1370235272"/>
    <n v="5550875.1370235272"/>
    <n v="5550875.1370235272"/>
    <n v="5550875.1370235272"/>
    <n v="3482991.6443014694"/>
    <n v="3482991.6443014694"/>
    <n v="2832332.2154762782"/>
    <n v="2832332.2154762782"/>
    <n v="3921188.1270701843"/>
    <n v="3921188.1270701843"/>
    <n v="3921188.1270701843"/>
    <n v="3921188.1270701843"/>
    <n v="3921188.1270701843"/>
    <n v="3921188.1270701843"/>
    <n v="39172213.761677705"/>
    <n v="39172213.761677705"/>
    <n v="0.58274322238056708"/>
  </r>
  <r>
    <x v="26"/>
    <x v="17"/>
    <s v="65. Primary Health Care"/>
    <n v="302656497.1121968"/>
    <n v="24969161.011756238"/>
    <n v="24969161.011756238"/>
    <n v="24969161.011756238"/>
    <n v="24969161.011756238"/>
    <n v="24969161.011756238"/>
    <n v="24969161.011756238"/>
    <n v="24969161.011756238"/>
    <n v="24969161.011756238"/>
    <n v="28337352.95297505"/>
    <n v="28337352.95297505"/>
    <n v="25797500"/>
    <n v="25797500"/>
    <n v="24757500"/>
    <n v="24757500"/>
    <n v="24795000"/>
    <n v="24795000"/>
    <n v="24742500"/>
    <n v="24742500"/>
    <n v="228306497"/>
    <n v="228306497"/>
    <n v="0.75434196582062885"/>
  </r>
  <r>
    <x v="26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6"/>
    <x v="19"/>
    <s v="76. Immigration Services"/>
    <n v="8018068.306105637"/>
    <n v="529192.50820297212"/>
    <n v="529192.50820297212"/>
    <n v="661490.6352537151"/>
    <n v="661490.6352537151"/>
    <n v="661490.6352537151"/>
    <n v="661490.6352537151"/>
    <n v="661490.6352537151"/>
    <n v="661490.6352537151"/>
    <n v="402907.93238180823"/>
    <n v="402907.93238180823"/>
    <n v="335756.61031817354"/>
    <n v="335756.61031817354"/>
    <n v="470059.25444544293"/>
    <n v="470059.25444544293"/>
    <n v="470059.25444544293"/>
    <n v="470059.25444544293"/>
    <n v="470059.25444544293"/>
    <n v="470059.25444544293"/>
    <n v="4662506.7200004281"/>
    <n v="4662506.7200004281"/>
    <n v="0.58150000000000002"/>
  </r>
  <r>
    <x v="26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26"/>
    <x v="21"/>
    <s v="18. Labour Employment and Manpower Development"/>
    <n v="7771044.8711538427"/>
    <n v="512888.96149615367"/>
    <n v="512888.96149615367"/>
    <n v="641111.20187019208"/>
    <n v="641111.20187019208"/>
    <n v="641111.20187019208"/>
    <n v="641111.20187019208"/>
    <n v="641111.20187019208"/>
    <n v="641111.20187019208"/>
    <n v="390495.00477548054"/>
    <n v="390495.00477548054"/>
    <n v="325412.50397956715"/>
    <n v="325412.50397956715"/>
    <n v="455577.50557139399"/>
    <n v="455577.50557139399"/>
    <n v="455577.50557139399"/>
    <n v="455577.50557139399"/>
    <n v="455577.50557139399"/>
    <n v="455577.50557139399"/>
    <n v="4518862.5925759599"/>
    <n v="4518862.5925759599"/>
    <n v="0.58150000000000002"/>
  </r>
  <r>
    <x v="26"/>
    <x v="22"/>
    <s v="15. Security Services"/>
    <n v="6213608.2808146011"/>
    <n v="410098.14653376373"/>
    <n v="410098.14653376373"/>
    <n v="512622.68316720461"/>
    <n v="512622.68316720461"/>
    <n v="512622.68316720461"/>
    <n v="512622.68316720461"/>
    <n v="512622.68316720461"/>
    <n v="512622.68316720461"/>
    <n v="312233.81611093367"/>
    <n v="312233.81611093367"/>
    <n v="260194.84675911142"/>
    <n v="260194.84675911142"/>
    <n v="364272.78546275594"/>
    <n v="364272.78546275594"/>
    <n v="364272.78546275594"/>
    <n v="364272.78546275594"/>
    <n v="364272.78546275594"/>
    <n v="364272.78546275594"/>
    <n v="3613213.2152936906"/>
    <n v="3613213.2152936906"/>
    <n v="0.58150000000000002"/>
  </r>
  <r>
    <x v="26"/>
    <x v="9"/>
    <s v="95. Sports and Culture"/>
    <n v="4852566.6118031563"/>
    <n v="320269.39637900837"/>
    <n v="320269.39637900837"/>
    <n v="400336.74547376041"/>
    <n v="400336.74547376041"/>
    <n v="400336.74547376041"/>
    <n v="400336.74547376041"/>
    <n v="400336.74547376041"/>
    <n v="400336.74547376041"/>
    <n v="243841.47224310867"/>
    <n v="243841.47224310867"/>
    <n v="203201.22686925723"/>
    <n v="203201.22686925723"/>
    <n v="284481.71761696012"/>
    <n v="284481.71761696012"/>
    <n v="284481.71761696012"/>
    <n v="284481.71761696012"/>
    <n v="284481.71761696012"/>
    <n v="284481.71761696012"/>
    <n v="2821767.4847635361"/>
    <n v="2821767.4847635361"/>
    <n v="0.58150000000000013"/>
  </r>
  <r>
    <x v="26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26"/>
    <x v="23"/>
    <s v="04. Water Resources Development Management and Supply"/>
    <n v="5940301.0640891325"/>
    <n v="392059.87022988277"/>
    <n v="392059.87022988277"/>
    <n v="490074.83778735343"/>
    <n v="490074.83778735343"/>
    <n v="490074.83778735343"/>
    <n v="490074.83778735343"/>
    <n v="490074.83778735343"/>
    <n v="490074.83778735343"/>
    <n v="298500.12847047887"/>
    <n v="298500.12847047887"/>
    <n v="248750.10705873242"/>
    <n v="248750.10705873242"/>
    <n v="348250.14988222538"/>
    <n v="348250.14988222538"/>
    <n v="348250.14988222538"/>
    <n v="348250.14988222538"/>
    <n v="348250.14988222538"/>
    <n v="348250.14988222538"/>
    <n v="3454285.0687678303"/>
    <n v="3454285.0687678303"/>
    <n v="0.58149999999999991"/>
  </r>
  <r>
    <x v="26"/>
    <x v="10"/>
    <s v="83. Youth Development"/>
    <n v="5095194.9423933132"/>
    <n v="336282.86619795871"/>
    <n v="336282.86619795871"/>
    <n v="420353.58274744835"/>
    <n v="420353.58274744835"/>
    <n v="420353.58274744835"/>
    <n v="420353.58274744835"/>
    <n v="420353.58274744835"/>
    <n v="420353.58274744835"/>
    <n v="256033.54585526398"/>
    <n v="256033.54585526398"/>
    <n v="213361.28821271998"/>
    <n v="213361.28821271998"/>
    <n v="298705.80349780794"/>
    <n v="298705.80349780794"/>
    <n v="298705.80349780794"/>
    <n v="298705.80349780794"/>
    <n v="298705.80349780794"/>
    <n v="298705.80349780794"/>
    <n v="2962855.859001711"/>
    <n v="2962855.859001711"/>
    <n v="0.58149999999999991"/>
  </r>
  <r>
    <x v="27"/>
    <x v="12"/>
    <s v="49. Agricultural Productivity and Risk Management"/>
    <n v="36952199"/>
    <n v="3513361.0067966357"/>
    <n v="3513361.0067966357"/>
    <n v="4391701.2584957946"/>
    <n v="4391701.2584957946"/>
    <n v="4391701.2584957946"/>
    <n v="4391701.2584957946"/>
    <n v="4391701.2584957946"/>
    <n v="4391701.2584957946"/>
    <n v="2423174.2457521036"/>
    <n v="2423174.2457521036"/>
    <n v="2423174.2457521036"/>
    <n v="2423174.2457521036"/>
    <n v="2423174.2457521036"/>
    <n v="2423174.2457521036"/>
    <n v="2423174.2457521036"/>
    <n v="2423174.2457521036"/>
    <n v="2423174.2457521036"/>
    <n v="2423174.2457521036"/>
    <n v="28804336.01104454"/>
    <n v="28804336.01104454"/>
    <n v="0.77950262205084297"/>
  </r>
  <r>
    <x v="27"/>
    <x v="12"/>
    <s v="49. Agricultural Productivity and Risk Management"/>
    <n v="16280544"/>
    <n v="0"/>
    <n v="0"/>
    <n v="0"/>
    <n v="0"/>
    <n v="0"/>
    <n v="0"/>
    <n v="0"/>
    <n v="0"/>
    <n v="8140272"/>
    <n v="8140272"/>
    <n v="8140272"/>
    <n v="8140272"/>
    <n v="0"/>
    <n v="0"/>
    <n v="0"/>
    <n v="0"/>
    <n v="0"/>
    <n v="0"/>
    <n v="16280544"/>
    <n v="16280544"/>
    <n v="1"/>
  </r>
  <r>
    <x v="27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27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27"/>
    <x v="3"/>
    <s v="70. Community Development"/>
    <n v="6876971.890448154"/>
    <n v="453880.14476957818"/>
    <n v="453880.14476957818"/>
    <n v="567350.18096197268"/>
    <n v="567350.18096197268"/>
    <n v="567350.18096197268"/>
    <n v="567350.18096197268"/>
    <n v="567350.18096197268"/>
    <n v="567350.18096197268"/>
    <n v="345567.8374950196"/>
    <n v="345567.8374950196"/>
    <n v="287973.19791251636"/>
    <n v="287973.19791251636"/>
    <n v="403162.4770775229"/>
    <n v="403162.4770775229"/>
    <n v="403162.4770775229"/>
    <n v="403162.4770775229"/>
    <n v="403162.4770775229"/>
    <n v="403162.4770775229"/>
    <n v="3998959.154295601"/>
    <n v="3998959.154295601"/>
    <n v="0.58149999999999991"/>
  </r>
  <r>
    <x v="27"/>
    <x v="13"/>
    <s v="60. Local Development"/>
    <n v="116191986"/>
    <n v="0"/>
    <n v="0"/>
    <n v="9295358.8789412398"/>
    <n v="9295358.8789412398"/>
    <n v="0"/>
    <n v="0"/>
    <n v="0"/>
    <n v="0"/>
    <n v="26724156.780264691"/>
    <n v="26724156.780264691"/>
    <n v="0"/>
    <n v="0"/>
    <n v="0"/>
    <n v="0"/>
    <n v="40086235.170397036"/>
    <n v="40086235.170397036"/>
    <n v="0"/>
    <n v="0"/>
    <n v="76105750.829602972"/>
    <n v="76105750.829602972"/>
    <n v="0.65499999999658298"/>
  </r>
  <r>
    <x v="27"/>
    <x v="14"/>
    <s v="Disaster Risk Management"/>
    <n v="58142857"/>
    <n v="25959999.999120001"/>
    <n v="25959999.999120001"/>
    <n v="0"/>
    <n v="0"/>
    <n v="0"/>
    <n v="0"/>
    <n v="0"/>
    <n v="0"/>
    <n v="1926964.2857967855"/>
    <n v="1926964.2857967855"/>
    <n v="1605803.5714973214"/>
    <n v="1605803.5714973214"/>
    <n v="2248125.0000962499"/>
    <n v="2248125.0000962499"/>
    <n v="2248125.0000962499"/>
    <n v="2248125.0000962499"/>
    <n v="2248125.0000962499"/>
    <n v="2248125.0000962499"/>
    <n v="36237142.856702857"/>
    <n v="36237142.856702857"/>
    <n v="0.62324324476698589"/>
  </r>
  <r>
    <x v="27"/>
    <x v="4"/>
    <s v="23. Basic Education"/>
    <n v="84427627"/>
    <n v="7294952"/>
    <n v="7294952"/>
    <n v="7955082.1802551374"/>
    <n v="7955082.1802551374"/>
    <n v="7733356"/>
    <n v="7733356"/>
    <n v="4484335"/>
    <n v="4484335"/>
    <n v="18046922.114808649"/>
    <n v="18046922.114808649"/>
    <n v="15235912.704936216"/>
    <n v="15235912.704936216"/>
    <n v="7431405"/>
    <n v="7431405"/>
    <n v="4030850"/>
    <n v="4030850"/>
    <n v="2555250"/>
    <n v="2555250"/>
    <n v="74768065"/>
    <n v="74768065"/>
    <n v="0.88558766433172398"/>
  </r>
  <r>
    <x v="27"/>
    <x v="4"/>
    <s v="23. Basic Education"/>
    <n v="89864801"/>
    <n v="0"/>
    <n v="0"/>
    <n v="26533666"/>
    <n v="26533666"/>
    <n v="0"/>
    <n v="0"/>
    <n v="0"/>
    <n v="0"/>
    <n v="23749175.625"/>
    <n v="23749175.625"/>
    <n v="15832783.75"/>
    <n v="15832783.75"/>
    <n v="23749175.625"/>
    <n v="23749175.625"/>
    <n v="0"/>
    <n v="0"/>
    <n v="0"/>
    <n v="0"/>
    <n v="89864801"/>
    <n v="89864801"/>
    <n v="1"/>
  </r>
  <r>
    <x v="27"/>
    <x v="4"/>
    <s v="23. Basic Education"/>
    <n v="20171806"/>
    <n v="10171806"/>
    <n v="10171806"/>
    <n v="0"/>
    <n v="0"/>
    <n v="0"/>
    <n v="0"/>
    <n v="0"/>
    <n v="0"/>
    <n v="3750000"/>
    <n v="3750000"/>
    <n v="2500000"/>
    <n v="2500000"/>
    <n v="3750000"/>
    <n v="3750000"/>
    <n v="0"/>
    <n v="0"/>
    <n v="0"/>
    <n v="0"/>
    <n v="20171806"/>
    <n v="20171806"/>
    <n v="1"/>
  </r>
  <r>
    <x v="27"/>
    <x v="5"/>
    <s v="92. Environment and Climate Change Management"/>
    <n v="8954973"/>
    <n v="520180.09917199967"/>
    <n v="520180.09917199967"/>
    <n v="650225.12396499957"/>
    <n v="650225.12396499957"/>
    <n v="650225.12396499957"/>
    <n v="650225.12396499957"/>
    <n v="650225.12396499957"/>
    <n v="650225.12396499957"/>
    <n v="483490.86965067603"/>
    <n v="483490.86965067603"/>
    <n v="402909.05804223003"/>
    <n v="402909.05804223003"/>
    <n v="499341.98408414691"/>
    <n v="499341.98408414691"/>
    <n v="564072.68125912198"/>
    <n v="564072.68125912198"/>
    <n v="564072.68125912198"/>
    <n v="564072.68125912198"/>
    <n v="4984742.7453622958"/>
    <n v="4984742.7453622958"/>
    <n v="0.55664520098076187"/>
  </r>
  <r>
    <x v="27"/>
    <x v="15"/>
    <s v="96. Sustainable Rural Development"/>
    <n v="8274857.5290693417"/>
    <n v="546140.59691857663"/>
    <n v="546140.59691857663"/>
    <n v="682675.74614822073"/>
    <n v="682675.74614822073"/>
    <n v="682675.74614822073"/>
    <n v="682675.74614822073"/>
    <n v="682675.74614822073"/>
    <n v="682675.74614822073"/>
    <n v="415811.59083573439"/>
    <n v="415811.59083573439"/>
    <n v="346509.65902977868"/>
    <n v="346509.65902977868"/>
    <n v="485113.5226416901"/>
    <n v="485113.5226416901"/>
    <n v="485113.5226416901"/>
    <n v="485113.5226416901"/>
    <n v="485113.5226416901"/>
    <n v="485113.5226416901"/>
    <n v="4811829.6531538218"/>
    <n v="4811829.6531538218"/>
    <n v="0.58149999999999991"/>
  </r>
  <r>
    <x v="27"/>
    <x v="16"/>
    <s v="92. Environment and Climate Change Management"/>
    <n v="7427102.7668700684"/>
    <n v="490188.78261342453"/>
    <n v="490188.78261342453"/>
    <n v="612735.97826678061"/>
    <n v="612735.97826678061"/>
    <n v="612735.97826678061"/>
    <n v="612735.97826678061"/>
    <n v="612735.97826678061"/>
    <n v="612735.97826678061"/>
    <n v="373211.91403522092"/>
    <n v="373211.91403522092"/>
    <n v="311009.92836268409"/>
    <n v="311009.92836268409"/>
    <n v="435413.89970775769"/>
    <n v="435413.89970775769"/>
    <n v="435413.89970775769"/>
    <n v="435413.89970775769"/>
    <n v="435413.89970775769"/>
    <n v="435413.89970775769"/>
    <n v="4318860.2589349449"/>
    <n v="4318860.2589349449"/>
    <n v="0.58150000000000002"/>
  </r>
  <r>
    <x v="27"/>
    <x v="6"/>
    <s v="69. Gender Equality and Wome Empowerment"/>
    <n v="6876971.890448154"/>
    <n v="453880.14476957818"/>
    <n v="453880.14476957818"/>
    <n v="567350.18096197268"/>
    <n v="567350.18096197268"/>
    <n v="567350.18096197268"/>
    <n v="567350.18096197268"/>
    <n v="567350.18096197268"/>
    <n v="567350.18096197268"/>
    <n v="345567.8374950196"/>
    <n v="345567.8374950196"/>
    <n v="287973.19791251636"/>
    <n v="287973.19791251636"/>
    <n v="403162.4770775229"/>
    <n v="403162.4770775229"/>
    <n v="403162.4770775229"/>
    <n v="403162.4770775229"/>
    <n v="403162.4770775229"/>
    <n v="403162.4770775229"/>
    <n v="3998959.154295601"/>
    <n v="3998959.154295601"/>
    <n v="0.58149999999999991"/>
  </r>
  <r>
    <x v="27"/>
    <x v="7"/>
    <s v="20. Management and Administration"/>
    <n v="62075515.578402057"/>
    <n v="4100821.7853102894"/>
    <n v="4100821.7853102894"/>
    <n v="5126027.2316378616"/>
    <n v="5126027.2316378616"/>
    <n v="5126027.2316378616"/>
    <n v="5126027.2316378616"/>
    <n v="5126027.2316378616"/>
    <n v="5126027.2316378616"/>
    <n v="3216413.5520133558"/>
    <n v="3216413.5520133558"/>
    <n v="2615553.7112949253"/>
    <n v="2615553.7112949253"/>
    <n v="3621071.7451869855"/>
    <n v="3621071.7451869855"/>
    <n v="3621071.7451869855"/>
    <n v="3621071.7451869855"/>
    <n v="3621071.7451869855"/>
    <n v="3621071.7451869855"/>
    <n v="36174085.979093112"/>
    <n v="36174085.979093112"/>
    <n v="0.58274322238056719"/>
  </r>
  <r>
    <x v="27"/>
    <x v="17"/>
    <s v="65. Primary Health Care"/>
    <n v="213169321.36271989"/>
    <n v="17586469.012424391"/>
    <n v="17586469.012424391"/>
    <n v="17586469.012424391"/>
    <n v="17586469.012424391"/>
    <n v="17586469.012424391"/>
    <n v="17586469.012424391"/>
    <n v="17586469.012424391"/>
    <n v="17586469.012424391"/>
    <n v="21520549.170302432"/>
    <n v="21520549.170302432"/>
    <n v="17716224.84"/>
    <n v="27716224.84"/>
    <n v="16754626.84"/>
    <n v="16754626.84"/>
    <n v="16716224.84"/>
    <n v="16716224.84"/>
    <n v="18871227.829999998"/>
    <n v="18871227.829999998"/>
    <n v="161924729.56999999"/>
    <n v="171924729.56999999"/>
    <n v="0.8065172252317685"/>
  </r>
  <r>
    <x v="27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7"/>
    <x v="19"/>
    <s v="76. Immigration Services"/>
    <n v="5267643.4679714572"/>
    <n v="347664.46888611623"/>
    <n v="347664.46888611623"/>
    <n v="434580.58610764524"/>
    <n v="434580.58610764524"/>
    <n v="434580.58610764524"/>
    <n v="434580.58610764524"/>
    <n v="434580.58610764524"/>
    <n v="434580.58610764524"/>
    <n v="264699.08426556573"/>
    <n v="264699.08426556573"/>
    <n v="220582.57022130478"/>
    <n v="220582.57022130478"/>
    <n v="308815.59830982669"/>
    <n v="308815.59830982669"/>
    <n v="308815.59830982669"/>
    <n v="308815.59830982669"/>
    <n v="308815.59830982669"/>
    <n v="308815.59830982669"/>
    <n v="3063134.6766254022"/>
    <n v="3063134.6766254022"/>
    <n v="0.58150000000000002"/>
  </r>
  <r>
    <x v="27"/>
    <x v="20"/>
    <s v="96. Sustainable Rural Development"/>
    <n v="9646874.9064843766"/>
    <n v="636693.74382796895"/>
    <n v="636693.74382796895"/>
    <n v="795867.17978496116"/>
    <n v="795867.17978496116"/>
    <n v="795867.17978496116"/>
    <n v="795867.17978496116"/>
    <n v="795867.17978496116"/>
    <n v="795867.17978496116"/>
    <n v="484755.46405083989"/>
    <n v="484755.46405083989"/>
    <n v="403962.88670903328"/>
    <n v="403962.88670903328"/>
    <n v="565548.0413926465"/>
    <n v="565548.0413926465"/>
    <n v="565548.0413926465"/>
    <n v="565548.0413926465"/>
    <n v="565548.0413926465"/>
    <n v="565548.0413926465"/>
    <n v="5609657.7581206644"/>
    <n v="5609657.7581206644"/>
    <n v="0.58149999999999991"/>
  </r>
  <r>
    <x v="27"/>
    <x v="21"/>
    <s v="18. Labour Employment and Manpower Development"/>
    <n v="6363404.3711538436"/>
    <n v="419984.68849615374"/>
    <n v="419984.68849615374"/>
    <n v="524980.86062019214"/>
    <n v="524980.86062019214"/>
    <n v="524980.86062019214"/>
    <n v="524980.86062019214"/>
    <n v="524980.86062019214"/>
    <n v="524980.86062019214"/>
    <n v="319761.06965048064"/>
    <n v="319761.06965048064"/>
    <n v="266467.55804206722"/>
    <n v="266467.55804206722"/>
    <n v="373054.58125889406"/>
    <n v="373054.58125889406"/>
    <n v="373054.58125889406"/>
    <n v="373054.58125889406"/>
    <n v="373054.58125889406"/>
    <n v="373054.58125889406"/>
    <n v="3700319.6418259605"/>
    <n v="3700319.6418259605"/>
    <n v="0.58150000000000002"/>
  </r>
  <r>
    <x v="27"/>
    <x v="22"/>
    <s v="15. Security Services"/>
    <n v="5093088.4774924582"/>
    <n v="336143.83951450232"/>
    <n v="336143.83951450232"/>
    <n v="420179.79939312785"/>
    <n v="420179.79939312785"/>
    <n v="420179.79939312785"/>
    <n v="420179.79939312785"/>
    <n v="420179.79939312785"/>
    <n v="420179.79939312785"/>
    <n v="255927.69599399599"/>
    <n v="255927.69599399599"/>
    <n v="213273.07999499666"/>
    <n v="213273.07999499666"/>
    <n v="298582.31199299532"/>
    <n v="298582.31199299532"/>
    <n v="298582.31199299532"/>
    <n v="298582.31199299532"/>
    <n v="298582.31199299532"/>
    <n v="298582.31199299532"/>
    <n v="2961630.9496618644"/>
    <n v="2961630.9496618644"/>
    <n v="0.58150000000000002"/>
  </r>
  <r>
    <x v="27"/>
    <x v="9"/>
    <s v="95. Sports and Culture"/>
    <n v="4118230.3351121228"/>
    <n v="271803.20211740013"/>
    <n v="271803.20211740013"/>
    <n v="339754.00264675013"/>
    <n v="339754.00264675013"/>
    <n v="339754.00264675013"/>
    <n v="339754.00264675013"/>
    <n v="339754.00264675013"/>
    <n v="339754.00264675013"/>
    <n v="206941.07433938413"/>
    <n v="206941.07433938413"/>
    <n v="172450.8952828201"/>
    <n v="172450.8952828201"/>
    <n v="241431.25339594812"/>
    <n v="241431.25339594812"/>
    <n v="241431.25339594812"/>
    <n v="241431.25339594812"/>
    <n v="241431.25339594812"/>
    <n v="241431.25339594812"/>
    <n v="2394750.9398676991"/>
    <n v="2394750.9398676991"/>
    <n v="0.58149999999999991"/>
  </r>
  <r>
    <x v="27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27"/>
    <x v="23"/>
    <s v="04. Water Resources Development Management and Supply"/>
    <n v="7751545.3848048607"/>
    <n v="511601.99539712083"/>
    <n v="511601.99539712083"/>
    <n v="639502.49424640101"/>
    <n v="639502.49424640101"/>
    <n v="639502.49424640101"/>
    <n v="639502.49424640101"/>
    <n v="639502.49424640101"/>
    <n v="639502.49424640101"/>
    <n v="389515.15558644419"/>
    <n v="389515.15558644419"/>
    <n v="324595.96298870351"/>
    <n v="324595.96298870351"/>
    <n v="454434.34818418487"/>
    <n v="454434.34818418487"/>
    <n v="454434.34818418487"/>
    <n v="454434.34818418487"/>
    <n v="454434.34818418487"/>
    <n v="454434.34818418487"/>
    <n v="4507523.6412640261"/>
    <n v="4507523.6412640261"/>
    <n v="0.58149999999999991"/>
  </r>
  <r>
    <x v="27"/>
    <x v="10"/>
    <s v="83. Youth Development"/>
    <n v="4324141.8518677279"/>
    <n v="285393.36222327006"/>
    <n v="285393.36222327006"/>
    <n v="356741.70277908759"/>
    <n v="356741.70277908759"/>
    <n v="356741.70277908759"/>
    <n v="356741.70277908759"/>
    <n v="356741.70277908759"/>
    <n v="356741.70277908759"/>
    <n v="217288.12805635331"/>
    <n v="217288.12805635331"/>
    <n v="181073.4400469611"/>
    <n v="181073.4400469611"/>
    <n v="253502.81606574552"/>
    <n v="253502.81606574552"/>
    <n v="253502.81606574552"/>
    <n v="253502.81606574552"/>
    <n v="253502.81606574552"/>
    <n v="253502.81606574552"/>
    <n v="2514488.4868610837"/>
    <n v="2514488.4868610837"/>
    <n v="0.58150000000000002"/>
  </r>
  <r>
    <x v="28"/>
    <x v="12"/>
    <s v="49. Agricultural Productivity and Risk Management"/>
    <n v="41227236"/>
    <n v="3824332.6171153584"/>
    <n v="3824332.6171153584"/>
    <n v="4780415.7713941978"/>
    <n v="4780415.7713941978"/>
    <n v="4780415.7713941978"/>
    <n v="4780415.7713941978"/>
    <n v="4780415.7713941978"/>
    <n v="4780415.7713941978"/>
    <n v="2763196.6143029011"/>
    <n v="2763196.6143029011"/>
    <n v="2763196.6143029011"/>
    <n v="2763196.6143029011"/>
    <n v="2763196.6143029011"/>
    <n v="2763196.6143029011"/>
    <n v="2763196.6143029011"/>
    <n v="2763196.6143029011"/>
    <n v="2763196.6143029011"/>
    <n v="2763196.6143029011"/>
    <n v="31981563.002812456"/>
    <n v="31981563.002812456"/>
    <n v="0.77573871318495513"/>
  </r>
  <r>
    <x v="28"/>
    <x v="12"/>
    <s v="49. Agricultural Productivity and Risk Management"/>
    <n v="16717196.810000001"/>
    <n v="0"/>
    <n v="0"/>
    <n v="0"/>
    <n v="0"/>
    <n v="0"/>
    <n v="0"/>
    <n v="0"/>
    <n v="0"/>
    <n v="8358598.4050000003"/>
    <n v="8358598.4050000003"/>
    <n v="8358598.4050000003"/>
    <n v="8358598.4050000003"/>
    <n v="0"/>
    <n v="0"/>
    <n v="0"/>
    <n v="0"/>
    <n v="0"/>
    <n v="0"/>
    <n v="16717196.810000001"/>
    <n v="16717196.810000001"/>
    <n v="1"/>
  </r>
  <r>
    <x v="28"/>
    <x v="0"/>
    <s v="60. Local Development"/>
    <n v="84000000"/>
    <n v="0"/>
    <n v="0"/>
    <n v="16800000"/>
    <n v="16800000"/>
    <n v="0"/>
    <n v="0"/>
    <n v="0"/>
    <n v="0"/>
    <n v="0"/>
    <n v="0"/>
    <n v="25200000"/>
    <n v="25200000"/>
    <n v="0"/>
    <n v="0"/>
    <n v="25200000"/>
    <n v="25200000"/>
    <n v="16800000"/>
    <n v="16800000"/>
    <n v="84000000"/>
    <n v="84000000"/>
    <n v="1"/>
  </r>
  <r>
    <x v="28"/>
    <x v="1"/>
    <s v="60. Local Development"/>
    <n v="209999999.99999997"/>
    <n v="0"/>
    <n v="0"/>
    <n v="57750000"/>
    <n v="57750000"/>
    <n v="0"/>
    <n v="0"/>
    <n v="0"/>
    <n v="0"/>
    <n v="0"/>
    <n v="0"/>
    <n v="50749999.999999993"/>
    <n v="50749999.999999993"/>
    <n v="0"/>
    <n v="0"/>
    <n v="50749999.999999993"/>
    <n v="50749999.999999993"/>
    <n v="50749999.999999993"/>
    <n v="50749999.999999993"/>
    <n v="209999999.99999997"/>
    <n v="209999999.99999997"/>
    <n v="1"/>
  </r>
  <r>
    <x v="28"/>
    <x v="3"/>
    <s v="70. Community Development"/>
    <n v="7721052.9970139032"/>
    <n v="509589.49780291767"/>
    <n v="509589.49780291767"/>
    <n v="636986.87225364707"/>
    <n v="636986.87225364707"/>
    <n v="636986.87225364707"/>
    <n v="636986.87225364707"/>
    <n v="636986.87225364707"/>
    <n v="636986.87225364707"/>
    <n v="387982.91309994861"/>
    <n v="387982.91309994861"/>
    <n v="323319.09424995718"/>
    <n v="323319.09424995718"/>
    <n v="452646.73194994003"/>
    <n v="452646.73194994003"/>
    <n v="452646.73194994003"/>
    <n v="452646.73194994003"/>
    <n v="452646.73194994003"/>
    <n v="452646.73194994003"/>
    <n v="4489792.3177635847"/>
    <n v="4489792.3177635847"/>
    <n v="0.58150000000000002"/>
  </r>
  <r>
    <x v="28"/>
    <x v="13"/>
    <s v="60. Local Development"/>
    <n v="110389930"/>
    <n v="0"/>
    <n v="0"/>
    <n v="8831194.3989941087"/>
    <n v="8831194.3989941087"/>
    <n v="0"/>
    <n v="0"/>
    <n v="0"/>
    <n v="0"/>
    <n v="25389683.900251474"/>
    <n v="25389683.900251474"/>
    <n v="0"/>
    <n v="0"/>
    <n v="0"/>
    <n v="0"/>
    <n v="38084525.850377209"/>
    <n v="38084525.850377209"/>
    <n v="0"/>
    <n v="0"/>
    <n v="72305404.149622783"/>
    <n v="72305404.149622783"/>
    <n v="0.65499999999658287"/>
  </r>
  <r>
    <x v="28"/>
    <x v="14"/>
    <s v="Disaster Risk Management"/>
    <n v="48142857"/>
    <n v="20679999.999120001"/>
    <n v="20679999.999120001"/>
    <n v="0"/>
    <n v="0"/>
    <n v="0"/>
    <n v="0"/>
    <n v="0"/>
    <n v="0"/>
    <n v="1671964.2857967855"/>
    <n v="1671964.2857967855"/>
    <n v="1393303.5714973214"/>
    <n v="1393303.5714973214"/>
    <n v="1950625.0000962499"/>
    <n v="1950625.0000962499"/>
    <n v="1950625.0000962499"/>
    <n v="1950625.0000962499"/>
    <n v="1950625.0000962499"/>
    <n v="1950625.0000962499"/>
    <n v="29597142.856702857"/>
    <n v="29597142.856702857"/>
    <n v="0.61477744988634253"/>
  </r>
  <r>
    <x v="28"/>
    <x v="4"/>
    <s v="23. Basic Education"/>
    <n v="136737692.85370299"/>
    <n v="19964375.292004298"/>
    <n v="19964375.292004298"/>
    <n v="19631403.947446153"/>
    <n v="19631403.947446153"/>
    <n v="10313112.883534437"/>
    <n v="10313112.883534437"/>
    <n v="14378437.024613272"/>
    <n v="14378437.024613272"/>
    <n v="0"/>
    <n v="0"/>
    <n v="15509225.041307034"/>
    <n v="15509225.041307034"/>
    <n v="10181956.177633135"/>
    <n v="10181956.177633135"/>
    <n v="14240180.848201392"/>
    <n v="14240180.848201392"/>
    <n v="11371080.378943011"/>
    <n v="11371080.378943011"/>
    <n v="115589771.59368274"/>
    <n v="115589771.59368274"/>
    <n v="0.84533949038728751"/>
  </r>
  <r>
    <x v="28"/>
    <x v="4"/>
    <s v="23. Basic Education"/>
    <n v="217836239.99999955"/>
    <n v="2171200"/>
    <n v="2171200"/>
    <n v="50313649.023134947"/>
    <n v="50313649.023134947"/>
    <n v="0"/>
    <n v="0"/>
    <n v="2222175"/>
    <n v="2222175"/>
    <n v="53185140.366324231"/>
    <n v="53185140.366324231"/>
    <n v="54536760.244216152"/>
    <n v="54536760.244216152"/>
    <n v="53185140.366324231"/>
    <n v="53185140.366324231"/>
    <n v="2222175"/>
    <n v="2222175"/>
    <n v="0"/>
    <n v="0"/>
    <n v="217836239.99999958"/>
    <n v="217836239.99999958"/>
    <n v="1.0000000000000002"/>
  </r>
  <r>
    <x v="28"/>
    <x v="4"/>
    <s v="23. Basic Education"/>
    <n v="41813499.999999948"/>
    <n v="0"/>
    <n v="0"/>
    <n v="0"/>
    <n v="0"/>
    <n v="11813499.999999899"/>
    <n v="11813499.999999899"/>
    <n v="0"/>
    <n v="0"/>
    <n v="11250000.000000019"/>
    <n v="11250000.000000019"/>
    <n v="7500000.0000000121"/>
    <n v="7500000.0000000121"/>
    <n v="11250000.000000019"/>
    <n v="11250000.000000019"/>
    <n v="0"/>
    <n v="0"/>
    <n v="0"/>
    <n v="0"/>
    <n v="41813499.999999948"/>
    <n v="41813499.999999948"/>
    <n v="1"/>
  </r>
  <r>
    <x v="28"/>
    <x v="5"/>
    <s v="92. Environment and Climate Change Management"/>
    <n v="5114056"/>
    <n v="297067.3159730364"/>
    <n v="297067.3159730364"/>
    <n v="371334.14496629545"/>
    <n v="371334.14496629545"/>
    <n v="371334.14496629545"/>
    <n v="371334.14496629545"/>
    <n v="371334.14496629545"/>
    <n v="371334.14496629545"/>
    <n v="276114.62870882323"/>
    <n v="276114.62870882323"/>
    <n v="230095.52392401936"/>
    <n v="230095.52392401936"/>
    <n v="285167.45963898295"/>
    <n v="285167.45963898295"/>
    <n v="322133.73349362711"/>
    <n v="322133.73349362711"/>
    <n v="322133.73349362711"/>
    <n v="322133.73349362711"/>
    <n v="2846714.8301310027"/>
    <n v="2846714.8301310027"/>
    <n v="0.55664522057071775"/>
  </r>
  <r>
    <x v="28"/>
    <x v="15"/>
    <s v="96. Sustainable Rural Development"/>
    <n v="4592257.8389874231"/>
    <n v="303089.01737316995"/>
    <n v="303089.01737316995"/>
    <n v="378861.27171646245"/>
    <n v="378861.27171646245"/>
    <n v="378861.27171646245"/>
    <n v="378861.27171646245"/>
    <n v="378861.27171646245"/>
    <n v="378861.27171646245"/>
    <n v="230760.95640911799"/>
    <n v="230760.95640911799"/>
    <n v="192300.79700759833"/>
    <n v="192300.79700759833"/>
    <n v="269221.11581063765"/>
    <n v="269221.11581063765"/>
    <n v="269221.11581063765"/>
    <n v="269221.11581063765"/>
    <n v="269221.11581063765"/>
    <n v="269221.11581063765"/>
    <n v="2670397.9333711863"/>
    <n v="2670397.9333711863"/>
    <n v="0.58149999999999991"/>
  </r>
  <r>
    <x v="28"/>
    <x v="16"/>
    <s v="92. Environment and Climate Change Management"/>
    <n v="7347302.5334744686"/>
    <n v="484921.96720931493"/>
    <n v="484921.96720931493"/>
    <n v="606152.45901164366"/>
    <n v="606152.45901164366"/>
    <n v="606152.45901164366"/>
    <n v="606152.45901164366"/>
    <n v="606152.45901164366"/>
    <n v="606152.45901164366"/>
    <n v="369201.95230709203"/>
    <n v="369201.95230709203"/>
    <n v="307668.29358924337"/>
    <n v="307668.29358924337"/>
    <n v="430735.61102494068"/>
    <n v="430735.61102494068"/>
    <n v="430735.61102494068"/>
    <n v="430735.61102494068"/>
    <n v="430735.61102494068"/>
    <n v="430735.61102494068"/>
    <n v="4272456.4232154032"/>
    <n v="4272456.4232154032"/>
    <n v="0.58149999999999991"/>
  </r>
  <r>
    <x v="28"/>
    <x v="6"/>
    <s v="69. Gender Equality and Wome Empowerment"/>
    <n v="7721052.9970139032"/>
    <n v="509589.49780291767"/>
    <n v="509589.49780291767"/>
    <n v="636986.87225364707"/>
    <n v="636986.87225364707"/>
    <n v="636986.87225364707"/>
    <n v="636986.87225364707"/>
    <n v="636986.87225364707"/>
    <n v="636986.87225364707"/>
    <n v="387982.91309994861"/>
    <n v="387982.91309994861"/>
    <n v="323319.09424995718"/>
    <n v="323319.09424995718"/>
    <n v="452646.73194994003"/>
    <n v="452646.73194994003"/>
    <n v="452646.73194994003"/>
    <n v="452646.73194994003"/>
    <n v="452646.73194994003"/>
    <n v="452646.73194994003"/>
    <n v="4489792.3177635847"/>
    <n v="4489792.3177635847"/>
    <n v="0.58150000000000002"/>
  </r>
  <r>
    <x v="28"/>
    <x v="7"/>
    <s v="20. Management and Administration"/>
    <n v="99097767.77037932"/>
    <n v="6546579.2939750319"/>
    <n v="6546579.2939750319"/>
    <n v="8183224.1174687892"/>
    <n v="8183224.1174687892"/>
    <n v="8183224.1174687892"/>
    <n v="8183224.1174687892"/>
    <n v="8183224.1174687892"/>
    <n v="8183224.1174687892"/>
    <n v="5134704.0819717227"/>
    <n v="5134704.0819717227"/>
    <n v="4175487.4181510718"/>
    <n v="4175487.4181510718"/>
    <n v="5780703.1249092575"/>
    <n v="5780703.1249092575"/>
    <n v="5780703.1249092575"/>
    <n v="5780703.1249092575"/>
    <n v="5780703.1249092575"/>
    <n v="5780703.1249092575"/>
    <n v="57748552.521231972"/>
    <n v="57748552.521231972"/>
    <n v="0.58274322238056731"/>
  </r>
  <r>
    <x v="28"/>
    <x v="17"/>
    <s v="65. Primary Health Care"/>
    <n v="339025836.66059417"/>
    <n v="27969631.524499021"/>
    <n v="27969631.524499021"/>
    <n v="27969631.524499021"/>
    <n v="27969631.524499021"/>
    <n v="27969631.524499021"/>
    <n v="27969631.524499021"/>
    <n v="27969631.524499021"/>
    <n v="27969631.524499021"/>
    <n v="30121473.902003914"/>
    <n v="30121473.902003914"/>
    <n v="30000000"/>
    <n v="30000000"/>
    <n v="32000000"/>
    <n v="32000000"/>
    <n v="30345789"/>
    <n v="30345789"/>
    <n v="29705602.750000045"/>
    <n v="29705602.750000045"/>
    <n v="264051391.75000006"/>
    <n v="264051391.75000006"/>
    <n v="0.7788533002407938"/>
  </r>
  <r>
    <x v="28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8"/>
    <x v="19"/>
    <s v="76. Immigration Services"/>
    <n v="8413085.4776615854"/>
    <n v="555263.64152566472"/>
    <n v="555263.64152566472"/>
    <n v="694079.55190708081"/>
    <n v="694079.55190708081"/>
    <n v="694079.55190708081"/>
    <n v="694079.55190708081"/>
    <n v="694079.55190708081"/>
    <n v="694079.55190708081"/>
    <n v="422757.54525249469"/>
    <n v="422757.54525249469"/>
    <n v="352297.95437707892"/>
    <n v="352297.95437707892"/>
    <n v="493217.13612791046"/>
    <n v="493217.13612791046"/>
    <n v="493217.13612791046"/>
    <n v="493217.13612791046"/>
    <n v="493217.13612791046"/>
    <n v="493217.13612791046"/>
    <n v="4892209.2052602116"/>
    <n v="4892209.2052602116"/>
    <n v="0.58149999999999991"/>
  </r>
  <r>
    <x v="28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28"/>
    <x v="21"/>
    <s v="18. Labour Employment and Manpower Development"/>
    <n v="6717723.660576975"/>
    <n v="443369.7615980804"/>
    <n v="443369.7615980804"/>
    <n v="554212.2019976005"/>
    <n v="554212.2019976005"/>
    <n v="554212.2019976005"/>
    <n v="554212.2019976005"/>
    <n v="554212.2019976005"/>
    <n v="554212.2019976005"/>
    <n v="337565.61394399294"/>
    <n v="337565.61394399294"/>
    <n v="281304.67828666081"/>
    <n v="281304.67828666081"/>
    <n v="393826.54960132512"/>
    <n v="393826.54960132512"/>
    <n v="393826.54960132512"/>
    <n v="393826.54960132512"/>
    <n v="393826.54960132512"/>
    <n v="393826.54960132512"/>
    <n v="3906356.3086255109"/>
    <n v="3906356.3086255109"/>
    <n v="0.58150000000000002"/>
  </r>
  <r>
    <x v="28"/>
    <x v="22"/>
    <s v="15. Security Services"/>
    <n v="8217862.5207234146"/>
    <n v="542378.92636774539"/>
    <n v="542378.92636774539"/>
    <n v="677973.6579596817"/>
    <n v="677973.6579596817"/>
    <n v="677973.6579596817"/>
    <n v="677973.6579596817"/>
    <n v="677973.6579596817"/>
    <n v="677973.6579596817"/>
    <n v="412947.5916663516"/>
    <n v="412947.5916663516"/>
    <n v="344122.99305529299"/>
    <n v="344122.99305529299"/>
    <n v="481772.19027741015"/>
    <n v="481772.19027741015"/>
    <n v="481772.19027741015"/>
    <n v="481772.19027741015"/>
    <n v="481772.19027741015"/>
    <n v="481772.19027741015"/>
    <n v="4778687.0558006661"/>
    <n v="4778687.0558006661"/>
    <n v="0.58150000000000002"/>
  </r>
  <r>
    <x v="28"/>
    <x v="9"/>
    <s v="95. Sports and Culture"/>
    <n v="5548813.0199553948"/>
    <n v="366221.65931705612"/>
    <n v="366221.65931705612"/>
    <n v="457777.07414632011"/>
    <n v="457777.07414632011"/>
    <n v="457777.07414632011"/>
    <n v="457777.07414632011"/>
    <n v="457777.07414632011"/>
    <n v="457777.07414632011"/>
    <n v="278827.85425275855"/>
    <n v="278827.85425275855"/>
    <n v="232356.54521063215"/>
    <n v="232356.54521063215"/>
    <n v="325299.16329488496"/>
    <n v="325299.16329488496"/>
    <n v="325299.16329488496"/>
    <n v="325299.16329488496"/>
    <n v="325299.16329488496"/>
    <n v="325299.16329488496"/>
    <n v="3226634.771104062"/>
    <n v="3226634.771104062"/>
    <n v="0.58150000000000002"/>
  </r>
  <r>
    <x v="28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28"/>
    <x v="23"/>
    <s v="04. Water Resources Development Management and Supply"/>
    <n v="5940324.165516614"/>
    <n v="392061.39492409653"/>
    <n v="392061.39492409653"/>
    <n v="490076.74365512066"/>
    <n v="490076.74365512066"/>
    <n v="490076.74365512066"/>
    <n v="490076.74365512066"/>
    <n v="490076.74365512066"/>
    <n v="490076.74365512066"/>
    <n v="298501.2893172098"/>
    <n v="298501.2893172098"/>
    <n v="248751.07443100819"/>
    <n v="248751.07443100819"/>
    <n v="348251.50420341146"/>
    <n v="348251.50420341146"/>
    <n v="348251.50420341146"/>
    <n v="348251.50420341146"/>
    <n v="348251.50420341146"/>
    <n v="348251.50420341146"/>
    <n v="3454298.5022479109"/>
    <n v="3454298.5022479109"/>
    <n v="0.58150000000000002"/>
  </r>
  <r>
    <x v="28"/>
    <x v="10"/>
    <s v="83. Youth Development"/>
    <n v="5826253.6709531629"/>
    <n v="384532.74228290882"/>
    <n v="384532.74228290882"/>
    <n v="480665.92785363598"/>
    <n v="480665.92785363598"/>
    <n v="480665.92785363598"/>
    <n v="480665.92785363598"/>
    <n v="480665.92785363598"/>
    <n v="480665.92785363598"/>
    <n v="292769.24696539639"/>
    <n v="292769.24696539639"/>
    <n v="243974.37247116369"/>
    <n v="243974.37247116369"/>
    <n v="341564.12145962915"/>
    <n v="341564.12145962915"/>
    <n v="341564.12145962915"/>
    <n v="341564.12145962915"/>
    <n v="341564.12145962915"/>
    <n v="341564.12145962915"/>
    <n v="3387966.5096592642"/>
    <n v="3387966.5096592642"/>
    <n v="0.58150000000000002"/>
  </r>
  <r>
    <x v="29"/>
    <x v="12"/>
    <s v="49. Agricultural Productivity and Risk Management"/>
    <n v="43687966"/>
    <n v="3550797.8596301856"/>
    <n v="3550797.8596301856"/>
    <n v="4438497.3245377317"/>
    <n v="4438497.3245377317"/>
    <n v="4438497.3245377317"/>
    <n v="4438497.3245377317"/>
    <n v="4438497.3245377317"/>
    <n v="4438497.3245377317"/>
    <n v="3241747.0877311341"/>
    <n v="3241747.0877311341"/>
    <n v="3241747.0877311341"/>
    <n v="3241747.0877311341"/>
    <n v="3241747.0877311341"/>
    <n v="3241747.0877311341"/>
    <n v="3241747.0877311341"/>
    <n v="3241747.0877311341"/>
    <n v="3241747.0877311341"/>
    <n v="3241747.0877311341"/>
    <n v="33075025.271899052"/>
    <n v="33075025.271899052"/>
    <n v="0.75707404807765721"/>
  </r>
  <r>
    <x v="29"/>
    <x v="12"/>
    <s v="49. Agricultural Productivity and Risk Management-FISP"/>
    <n v="10112002"/>
    <n v="0"/>
    <n v="0"/>
    <n v="0"/>
    <n v="0"/>
    <n v="0"/>
    <n v="0"/>
    <n v="0"/>
    <n v="0"/>
    <n v="5056001"/>
    <n v="5056001"/>
    <n v="5056001"/>
    <n v="5056001"/>
    <n v="0"/>
    <n v="0"/>
    <n v="0"/>
    <n v="0"/>
    <n v="0"/>
    <n v="0"/>
    <n v="10112002"/>
    <n v="10112002"/>
    <n v="1"/>
  </r>
  <r>
    <x v="29"/>
    <x v="0"/>
    <s v="60. Local Development"/>
    <n v="48000000"/>
    <n v="0"/>
    <n v="0"/>
    <n v="9600000"/>
    <n v="9600000"/>
    <n v="0"/>
    <n v="0"/>
    <n v="0"/>
    <n v="0"/>
    <n v="0"/>
    <n v="0"/>
    <n v="14400000"/>
    <n v="14400000"/>
    <n v="0"/>
    <n v="0"/>
    <n v="14400000"/>
    <n v="14400000"/>
    <n v="9600000"/>
    <n v="9600000"/>
    <n v="48000000"/>
    <n v="48000000"/>
    <n v="1"/>
  </r>
  <r>
    <x v="29"/>
    <x v="1"/>
    <s v="60. Local Development"/>
    <n v="120000000"/>
    <n v="0"/>
    <n v="0"/>
    <n v="33000000"/>
    <n v="33000000"/>
    <n v="0"/>
    <n v="0"/>
    <n v="0"/>
    <n v="0"/>
    <n v="0"/>
    <n v="0"/>
    <n v="29000000"/>
    <n v="29000000"/>
    <n v="0"/>
    <n v="0"/>
    <n v="29000000"/>
    <n v="29000000"/>
    <n v="29000000"/>
    <n v="29000000"/>
    <n v="120000000"/>
    <n v="120000000"/>
    <n v="1"/>
  </r>
  <r>
    <x v="29"/>
    <x v="3"/>
    <s v="70. Community Development"/>
    <n v="8003302.2955128867"/>
    <n v="528217.95150385052"/>
    <n v="528217.95150385052"/>
    <n v="660272.43937981315"/>
    <n v="660272.43937981315"/>
    <n v="660272.43937981315"/>
    <n v="660272.43937981315"/>
    <n v="660272.43937981315"/>
    <n v="660272.43937981315"/>
    <n v="402165.94034952257"/>
    <n v="402165.94034952257"/>
    <n v="335138.28362460213"/>
    <n v="335138.28362460213"/>
    <n v="469193.59707444295"/>
    <n v="469193.59707444295"/>
    <n v="469193.59707444295"/>
    <n v="469193.59707444295"/>
    <n v="469193.59707444295"/>
    <n v="469193.59707444295"/>
    <n v="4653920.284840744"/>
    <n v="4653920.284840744"/>
    <n v="0.58150000000000002"/>
  </r>
  <r>
    <x v="29"/>
    <x v="13"/>
    <s v="60. Local Development"/>
    <n v="79813136.320780203"/>
    <n v="0"/>
    <n v="0"/>
    <n v="6385050.9049351458"/>
    <n v="6385050.9049351458"/>
    <n v="0"/>
    <n v="0"/>
    <n v="0"/>
    <n v="0"/>
    <n v="18357021.353961263"/>
    <n v="18357021.353961263"/>
    <n v="0"/>
    <n v="0"/>
    <n v="0"/>
    <n v="0"/>
    <n v="27535532.030941896"/>
    <n v="27535532.030941896"/>
    <n v="0"/>
    <n v="0"/>
    <n v="52277604.289838307"/>
    <n v="52277604.289838307"/>
    <n v="0.65499999999658298"/>
  </r>
  <r>
    <x v="29"/>
    <x v="14"/>
    <s v="Disaster Risk Management"/>
    <n v="17642857"/>
    <n v="0"/>
    <n v="0"/>
    <n v="0"/>
    <n v="0"/>
    <n v="0"/>
    <n v="0"/>
    <n v="0"/>
    <n v="0"/>
    <n v="1323214.2857142857"/>
    <n v="1323214.2857142857"/>
    <n v="1102678.5714285714"/>
    <n v="1102678.5714285714"/>
    <n v="1543749.9999999998"/>
    <n v="1543749.9999999998"/>
    <n v="1543749.9999999998"/>
    <n v="1543749.9999999998"/>
    <n v="1543749.9999999998"/>
    <n v="1543749.9999999998"/>
    <n v="7057142.8571428563"/>
    <n v="7057142.8571428563"/>
    <n v="0.40000000323886636"/>
  </r>
  <r>
    <x v="29"/>
    <x v="4"/>
    <s v="23. Basic Education"/>
    <n v="99491151"/>
    <n v="11416382"/>
    <n v="11416382"/>
    <n v="18819204"/>
    <n v="18819204"/>
    <n v="7791952"/>
    <n v="7791952"/>
    <n v="10602867"/>
    <n v="10602867"/>
    <n v="0"/>
    <n v="0"/>
    <n v="14879371"/>
    <n v="14879371"/>
    <n v="10672829"/>
    <n v="10672829"/>
    <n v="6738594"/>
    <n v="6738594"/>
    <n v="4980711"/>
    <n v="4980711"/>
    <n v="85901910"/>
    <n v="85901910"/>
    <n v="0.86341256620902895"/>
  </r>
  <r>
    <x v="29"/>
    <x v="4"/>
    <s v="23. Basic Education"/>
    <n v="120000000"/>
    <n v="0"/>
    <n v="0"/>
    <n v="7500000"/>
    <n v="7500000"/>
    <n v="0"/>
    <n v="0"/>
    <n v="7500000"/>
    <n v="7500000"/>
    <n v="25500000"/>
    <n v="25500000"/>
    <n v="54000000"/>
    <n v="54000000"/>
    <n v="25500000"/>
    <n v="25500000"/>
    <n v="0"/>
    <n v="0"/>
    <n v="0"/>
    <n v="0"/>
    <n v="120000000"/>
    <n v="120000000"/>
    <n v="1"/>
  </r>
  <r>
    <x v="29"/>
    <x v="4"/>
    <s v="23. Basic Education"/>
    <n v="23512952"/>
    <n v="0"/>
    <n v="0"/>
    <n v="14000000"/>
    <n v="14000000"/>
    <n v="0"/>
    <n v="0"/>
    <n v="2560949.045188576"/>
    <n v="2560949.045188576"/>
    <n v="2607001.108054284"/>
    <n v="2607001.108054284"/>
    <n v="1738000.738702856"/>
    <n v="1738000.738702856"/>
    <n v="2607001.108054284"/>
    <n v="2607001.108054284"/>
    <n v="0"/>
    <n v="0"/>
    <n v="0"/>
    <n v="0"/>
    <n v="23512952"/>
    <n v="23512952"/>
    <n v="1"/>
  </r>
  <r>
    <x v="29"/>
    <x v="5"/>
    <s v="92. Environment and Climate Change Management"/>
    <n v="3740314"/>
    <n v="217268.86852234707"/>
    <n v="217268.86852234707"/>
    <n v="271586.08565293381"/>
    <n v="271586.08565293381"/>
    <n v="271586.08565293381"/>
    <n v="271586.08565293381"/>
    <n v="271586.08565293381"/>
    <n v="271586.08565293381"/>
    <n v="201944.50798309685"/>
    <n v="201944.50798309685"/>
    <n v="168287.08998591403"/>
    <n v="168287.08998591403"/>
    <n v="208565.27830982747"/>
    <n v="208565.27830982747"/>
    <n v="235601.92598027963"/>
    <n v="235601.92598027963"/>
    <n v="235601.92598027963"/>
    <n v="235601.92598027963"/>
    <n v="2082027.8537205462"/>
    <n v="2082027.8537205462"/>
    <n v="0.55664520511394133"/>
  </r>
  <r>
    <x v="29"/>
    <x v="15"/>
    <s v="96. Sustainable Rural Development"/>
    <n v="4787026.0432022549"/>
    <n v="315943.71885134885"/>
    <n v="315943.71885134885"/>
    <n v="394929.64856418606"/>
    <n v="394929.64856418606"/>
    <n v="394929.64856418606"/>
    <n v="394929.64856418606"/>
    <n v="394929.64856418606"/>
    <n v="394929.64856418606"/>
    <n v="240548.05867091328"/>
    <n v="240548.05867091328"/>
    <n v="200456.71555909442"/>
    <n v="200456.71555909442"/>
    <n v="280639.40178273217"/>
    <n v="280639.40178273217"/>
    <n v="280639.40178273217"/>
    <n v="280639.40178273217"/>
    <n v="280639.40178273217"/>
    <n v="280639.40178273217"/>
    <n v="2783655.6441221111"/>
    <n v="2783655.6441221111"/>
    <n v="0.58150000000000002"/>
  </r>
  <r>
    <x v="29"/>
    <x v="16"/>
    <s v="92. Environment and Climate Change Management"/>
    <n v="7163071.0302392039"/>
    <n v="472762.68799578754"/>
    <n v="472762.68799578754"/>
    <n v="590953.3599947344"/>
    <n v="590953.3599947344"/>
    <n v="590953.3599947344"/>
    <n v="590953.3599947344"/>
    <n v="590953.3599947344"/>
    <n v="590953.3599947344"/>
    <n v="359944.31926951994"/>
    <n v="359944.31926951994"/>
    <n v="299953.59939126665"/>
    <n v="299953.59939126665"/>
    <n v="419935.03914777329"/>
    <n v="419935.03914777329"/>
    <n v="419935.03914777329"/>
    <n v="419935.03914777329"/>
    <n v="419935.03914777329"/>
    <n v="419935.03914777329"/>
    <n v="4165325.804084098"/>
    <n v="4165325.804084098"/>
    <n v="0.58150000000000013"/>
  </r>
  <r>
    <x v="29"/>
    <x v="6"/>
    <s v="69. Gender Equality and Wome Empowerment"/>
    <n v="8003302.2955128867"/>
    <n v="528217.95150385052"/>
    <n v="528217.95150385052"/>
    <n v="660272.43937981315"/>
    <n v="660272.43937981315"/>
    <n v="660272.43937981315"/>
    <n v="660272.43937981315"/>
    <n v="660272.43937981315"/>
    <n v="660272.43937981315"/>
    <n v="402165.94034952257"/>
    <n v="402165.94034952257"/>
    <n v="335138.28362460213"/>
    <n v="335138.28362460213"/>
    <n v="469193.59707444295"/>
    <n v="469193.59707444295"/>
    <n v="469193.59707444295"/>
    <n v="469193.59707444295"/>
    <n v="469193.59707444295"/>
    <n v="469193.59707444295"/>
    <n v="4653920.284840744"/>
    <n v="4653920.284840744"/>
    <n v="0.58150000000000002"/>
  </r>
  <r>
    <x v="29"/>
    <x v="7"/>
    <s v="20. Management and Administration"/>
    <n v="55575110.116710328"/>
    <n v="3671393.1437231349"/>
    <n v="3671393.1437231349"/>
    <n v="4589241.4296539184"/>
    <n v="4589241.4296539184"/>
    <n v="4589241.4296539184"/>
    <n v="4589241.4296539184"/>
    <n v="4589241.4296539184"/>
    <n v="4589241.4296539184"/>
    <n v="2879598.1099545662"/>
    <n v="2879598.1099545662"/>
    <n v="2341658.9321404011"/>
    <n v="2341658.9321404011"/>
    <n v="3241881.4262622595"/>
    <n v="13241881.426262259"/>
    <n v="1241881.4262622599"/>
    <n v="1241881.4262622599"/>
    <n v="1241881.4262622599"/>
    <n v="1241881.4262622599"/>
    <n v="28386018.753566634"/>
    <n v="38386018.753566645"/>
    <n v="0.69070522168924564"/>
  </r>
  <r>
    <x v="29"/>
    <x v="17"/>
    <s v="65. Primary Health Care"/>
    <n v="186557307.11479989"/>
    <n v="15390977.836970991"/>
    <n v="15390977.836970991"/>
    <n v="15390977.836970991"/>
    <n v="15390977.836970991"/>
    <n v="15390977.836970991"/>
    <n v="15390977.836970991"/>
    <n v="15390977.836970991"/>
    <n v="15390977.836970991"/>
    <n v="15508088.652116038"/>
    <n v="15508088.652116038"/>
    <n v="15810307"/>
    <n v="15810307"/>
    <n v="16254000"/>
    <n v="16254000"/>
    <n v="15653000"/>
    <n v="15653000"/>
    <n v="15393000"/>
    <n v="15393000"/>
    <n v="140182306.99999997"/>
    <n v="140182306.99999997"/>
    <n v="0.75141686577699907"/>
  </r>
  <r>
    <x v="29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29"/>
    <x v="19"/>
    <s v="76. Immigration Services"/>
    <n v="4883786.1306784712"/>
    <n v="322329.88462477917"/>
    <n v="322329.88462477917"/>
    <n v="402912.35578097391"/>
    <n v="402912.35578097391"/>
    <n v="402912.35578097391"/>
    <n v="402912.35578097391"/>
    <n v="402912.35578097391"/>
    <n v="402912.35578097391"/>
    <n v="245410.25306659314"/>
    <n v="245410.25306659314"/>
    <n v="204508.54422216097"/>
    <n v="204508.54422216097"/>
    <n v="286311.96191102534"/>
    <n v="286311.96191102534"/>
    <n v="286311.96191102534"/>
    <n v="286311.96191102534"/>
    <n v="286311.96191102534"/>
    <n v="286311.96191102534"/>
    <n v="2839921.6349895312"/>
    <n v="2839921.6349895312"/>
    <n v="0.58150000000000002"/>
  </r>
  <r>
    <x v="29"/>
    <x v="20"/>
    <s v="96. Sustainable Rural Development"/>
    <n v="9646875.0213281233"/>
    <n v="636693.75140765624"/>
    <n v="636693.75140765624"/>
    <n v="795867.18925957021"/>
    <n v="795867.18925957021"/>
    <n v="795867.18925957021"/>
    <n v="795867.18925957021"/>
    <n v="795867.18925957021"/>
    <n v="795867.18925957021"/>
    <n v="484755.4698217382"/>
    <n v="484755.4698217382"/>
    <n v="403962.89151811518"/>
    <n v="403962.89151811518"/>
    <n v="565548.04812536121"/>
    <n v="565548.04812536121"/>
    <n v="565548.04812536121"/>
    <n v="565548.04812536121"/>
    <n v="565548.04812536121"/>
    <n v="565548.04812536121"/>
    <n v="5609657.8249023035"/>
    <n v="5609657.8249023035"/>
    <n v="0.58150000000000002"/>
  </r>
  <r>
    <x v="29"/>
    <x v="21"/>
    <s v="18. Labour Employment and Manpower Development"/>
    <n v="7187638.6211538427"/>
    <n v="474384.14899615367"/>
    <n v="474384.14899615367"/>
    <n v="592980.18624519208"/>
    <n v="592980.18624519208"/>
    <n v="592980.18624519208"/>
    <n v="592980.18624519208"/>
    <n v="592980.18624519208"/>
    <n v="592980.18624519208"/>
    <n v="361178.84071298054"/>
    <n v="361178.84071298054"/>
    <n v="300982.36726081715"/>
    <n v="300982.36726081715"/>
    <n v="421375.31416514399"/>
    <n v="421375.31416514399"/>
    <n v="421375.31416514399"/>
    <n v="421375.31416514399"/>
    <n v="421375.31416514399"/>
    <n v="421375.31416514399"/>
    <n v="4179611.8582009599"/>
    <n v="4179611.8582009599"/>
    <n v="0.58150000000000002"/>
  </r>
  <r>
    <x v="29"/>
    <x v="22"/>
    <s v="15. Security Services"/>
    <n v="4873368.9574125158"/>
    <n v="321642.35118922609"/>
    <n v="321642.35118922609"/>
    <n v="402052.93898653256"/>
    <n v="402052.93898653256"/>
    <n v="402052.93898653256"/>
    <n v="402052.93898653256"/>
    <n v="402052.93898653256"/>
    <n v="402052.93898653256"/>
    <n v="244886.79010997887"/>
    <n v="244886.79010997887"/>
    <n v="204072.32509164908"/>
    <n v="204072.32509164908"/>
    <n v="285701.25512830867"/>
    <n v="285701.25512830867"/>
    <n v="285701.25512830867"/>
    <n v="285701.25512830867"/>
    <n v="285701.25512830867"/>
    <n v="285701.25512830867"/>
    <n v="2833864.0487353774"/>
    <n v="2833864.0487353774"/>
    <n v="0.58149999999999991"/>
  </r>
  <r>
    <x v="29"/>
    <x v="9"/>
    <s v="95. Sports and Culture"/>
    <n v="4001633.3956418978"/>
    <n v="264107.80411236529"/>
    <n v="264107.80411236529"/>
    <n v="330134.7551404566"/>
    <n v="330134.7551404566"/>
    <n v="330134.7551404566"/>
    <n v="330134.7551404566"/>
    <n v="330134.7551404566"/>
    <n v="330134.7551404566"/>
    <n v="201082.07813100543"/>
    <n v="201082.07813100543"/>
    <n v="167568.39844250452"/>
    <n v="167568.39844250452"/>
    <n v="234595.75781950631"/>
    <n v="234595.75781950631"/>
    <n v="234595.75781950631"/>
    <n v="234595.75781950631"/>
    <n v="234595.75781950631"/>
    <n v="234595.75781950631"/>
    <n v="2326949.8195657642"/>
    <n v="2326949.8195657642"/>
    <n v="0.58150000000000013"/>
  </r>
  <r>
    <x v="29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29"/>
    <x v="23"/>
    <s v="04. Water Resources Development Management and Supply"/>
    <n v="5940301.0640891325"/>
    <n v="392059.87022988277"/>
    <n v="392059.87022988277"/>
    <n v="490074.83778735343"/>
    <n v="490074.83778735343"/>
    <n v="490074.83778735343"/>
    <n v="490074.83778735343"/>
    <n v="490074.83778735343"/>
    <n v="490074.83778735343"/>
    <n v="298500.12847047887"/>
    <n v="298500.12847047887"/>
    <n v="248750.10705873242"/>
    <n v="248750.10705873242"/>
    <n v="348250.14988222538"/>
    <n v="348250.14988222538"/>
    <n v="348250.14988222538"/>
    <n v="348250.14988222538"/>
    <n v="348250.14988222538"/>
    <n v="348250.14988222538"/>
    <n v="3454285.0687678303"/>
    <n v="3454285.0687678303"/>
    <n v="0.58149999999999991"/>
  </r>
  <r>
    <x v="29"/>
    <x v="10"/>
    <s v="83. Youth Development"/>
    <n v="4201715.0654239915"/>
    <n v="277313.19431798346"/>
    <n v="277313.19431798346"/>
    <n v="346641.49289747933"/>
    <n v="346641.49289747933"/>
    <n v="346641.49289747933"/>
    <n v="346641.49289747933"/>
    <n v="346641.49289747933"/>
    <n v="346641.49289747933"/>
    <n v="211136.18203755555"/>
    <n v="211136.18203755555"/>
    <n v="175946.81836462964"/>
    <n v="175946.81836462964"/>
    <n v="246325.54571048147"/>
    <n v="246325.54571048147"/>
    <n v="246325.54571048147"/>
    <n v="246325.54571048147"/>
    <n v="246325.54571048147"/>
    <n v="246325.54571048147"/>
    <n v="2443297.3105440512"/>
    <n v="2443297.3105440512"/>
    <n v="0.58150000000000002"/>
  </r>
  <r>
    <x v="30"/>
    <x v="12"/>
    <s v="49. Agricultural Productivity and Risk Management"/>
    <n v="34153496"/>
    <n v="3282351.3952758084"/>
    <n v="3282351.3952758084"/>
    <n v="4102939.2440947602"/>
    <n v="4102939.2440947602"/>
    <n v="4102939.2440947602"/>
    <n v="4102939.2440947602"/>
    <n v="4102939.2440947602"/>
    <n v="4102939.2440947602"/>
    <n v="2217717.3779526204"/>
    <n v="2217717.3779526204"/>
    <n v="2217717.3779526204"/>
    <n v="2217717.3779526204"/>
    <n v="2217717.3779526204"/>
    <n v="2217717.3779526204"/>
    <n v="2217717.3779526204"/>
    <n v="2217717.3779526204"/>
    <n v="2217717.3779526204"/>
    <n v="2217717.3779526204"/>
    <n v="26679756.017323188"/>
    <n v="26679756.017323188"/>
    <n v="0.78117203630700616"/>
  </r>
  <r>
    <x v="30"/>
    <x v="12"/>
    <s v="49. Agricultural Productivity and Risk Management"/>
    <n v="15579101"/>
    <n v="0"/>
    <n v="0"/>
    <n v="0"/>
    <n v="0"/>
    <n v="0"/>
    <n v="0"/>
    <n v="0"/>
    <n v="0"/>
    <n v="7789550.5"/>
    <n v="7789550.5"/>
    <n v="7789550.5"/>
    <n v="7789550.5"/>
    <n v="0"/>
    <n v="0"/>
    <n v="0"/>
    <n v="0"/>
    <n v="0"/>
    <n v="0"/>
    <n v="15579101"/>
    <n v="15579101"/>
    <n v="1"/>
  </r>
  <r>
    <x v="30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30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30"/>
    <x v="3"/>
    <s v="70. Community Development"/>
    <n v="8088907.9214600986"/>
    <n v="533867.92281636654"/>
    <n v="533867.92281636654"/>
    <n v="667334.90352045815"/>
    <n v="667334.90352045815"/>
    <n v="667334.90352045815"/>
    <n v="667334.90352045815"/>
    <n v="667334.90352045815"/>
    <n v="667334.90352045815"/>
    <n v="406467.62305336987"/>
    <n v="406467.62305336987"/>
    <n v="338723.01921114157"/>
    <n v="338723.01921114157"/>
    <n v="474212.22689559817"/>
    <n v="474212.22689559817"/>
    <n v="474212.22689559817"/>
    <n v="474212.22689559817"/>
    <n v="474212.22689559817"/>
    <n v="474212.22689559817"/>
    <n v="4703699.9563290477"/>
    <n v="4703699.9563290477"/>
    <n v="0.58150000000000002"/>
  </r>
  <r>
    <x v="30"/>
    <x v="13"/>
    <s v="60. Local Development"/>
    <n v="110344825.020943"/>
    <n v="0"/>
    <n v="0"/>
    <n v="8827586.0006699581"/>
    <n v="8827586.0006699581"/>
    <n v="0"/>
    <n v="0"/>
    <n v="0"/>
    <n v="0"/>
    <n v="25379309.755068261"/>
    <n v="25379309.755068261"/>
    <n v="0"/>
    <n v="0"/>
    <n v="0"/>
    <n v="0"/>
    <n v="38068964.632602394"/>
    <n v="38068964.632602394"/>
    <n v="0"/>
    <n v="0"/>
    <n v="72275860.388340607"/>
    <n v="72275860.388340607"/>
    <n v="0.65499999999658287"/>
  </r>
  <r>
    <x v="30"/>
    <x v="14"/>
    <s v="Disaster Risk Management"/>
    <n v="46142857"/>
    <n v="15399999.999120001"/>
    <n v="15399999.999120001"/>
    <n v="0"/>
    <n v="0"/>
    <n v="0"/>
    <n v="0"/>
    <n v="0"/>
    <n v="0"/>
    <n v="2016964.2857967855"/>
    <n v="2016964.2857967855"/>
    <n v="1680803.5714973214"/>
    <n v="1680803.5714973214"/>
    <n v="2353125.0000962499"/>
    <n v="2353125.0000962499"/>
    <n v="2353125.0000962499"/>
    <n v="2353125.0000962499"/>
    <n v="2353125.0000962499"/>
    <n v="2353125.0000962499"/>
    <n v="26157142.856702857"/>
    <n v="26157142.856702857"/>
    <n v="0.56687306676096927"/>
  </r>
  <r>
    <x v="30"/>
    <x v="4"/>
    <s v="23. Basic Education"/>
    <n v="81633199"/>
    <n v="4982806"/>
    <n v="4982806"/>
    <n v="11356354.993642032"/>
    <n v="11356354.993642032"/>
    <n v="8626323"/>
    <n v="8626323"/>
    <n v="7873897"/>
    <n v="7873897"/>
    <n v="0"/>
    <n v="0"/>
    <n v="7715548.0063579679"/>
    <n v="7715548.0063579679"/>
    <n v="11752540"/>
    <n v="11752540"/>
    <n v="10121947"/>
    <n v="10121947"/>
    <n v="4646869"/>
    <n v="4646869"/>
    <n v="67076285"/>
    <n v="67076285"/>
    <n v="0.82167899606629402"/>
  </r>
  <r>
    <x v="30"/>
    <x v="4"/>
    <s v="23. Basic Education"/>
    <n v="95481573"/>
    <n v="1750000"/>
    <n v="1750000"/>
    <n v="0"/>
    <n v="0"/>
    <n v="0"/>
    <n v="0"/>
    <n v="5450000"/>
    <n v="5450000"/>
    <n v="0"/>
    <n v="0"/>
    <n v="11180000"/>
    <n v="11180000"/>
    <n v="38550787"/>
    <n v="38550787"/>
    <n v="38550786"/>
    <n v="38550786"/>
    <n v="0"/>
    <n v="0"/>
    <n v="95481573"/>
    <n v="95481573"/>
    <n v="1"/>
  </r>
  <r>
    <x v="30"/>
    <x v="4"/>
    <s v="23. Basic Education"/>
    <n v="27475364"/>
    <n v="0"/>
    <n v="0"/>
    <n v="13737682"/>
    <n v="13737682"/>
    <n v="0"/>
    <n v="0"/>
    <n v="13737682"/>
    <n v="13737682"/>
    <n v="0"/>
    <n v="0"/>
    <n v="0"/>
    <n v="0"/>
    <n v="0"/>
    <n v="0"/>
    <n v="0"/>
    <n v="0"/>
    <n v="0"/>
    <n v="0"/>
    <n v="27475364"/>
    <n v="27475364"/>
    <n v="1"/>
  </r>
  <r>
    <x v="30"/>
    <x v="5"/>
    <s v="92. Environment and Climate Change Management"/>
    <n v="4764123"/>
    <n v="276740.27070511685"/>
    <n v="276740.27070511685"/>
    <n v="345925.33838139608"/>
    <n v="345925.33838139608"/>
    <n v="345925.33838139608"/>
    <n v="345925.33838139608"/>
    <n v="345925.33838139608"/>
    <n v="345925.33838139608"/>
    <n v="257221.28617292322"/>
    <n v="257221.28617292322"/>
    <n v="214351.07181076935"/>
    <n v="214351.07181076935"/>
    <n v="265654.64878655144"/>
    <n v="265654.64878655144"/>
    <n v="300091.50053507707"/>
    <n v="300091.50053507707"/>
    <n v="300091.50053507707"/>
    <n v="300091.50053507707"/>
    <n v="2651926.2936897031"/>
    <n v="2651926.2936897031"/>
    <n v="0.55664521963217639"/>
  </r>
  <r>
    <x v="30"/>
    <x v="15"/>
    <s v="96. Sustainable Rural Development"/>
    <n v="3782816.9144317373"/>
    <n v="249665.91635249468"/>
    <n v="249665.91635249468"/>
    <n v="312082.39544061833"/>
    <n v="312082.39544061833"/>
    <n v="312082.39544061833"/>
    <n v="312082.39544061833"/>
    <n v="312082.39544061833"/>
    <n v="312082.39544061833"/>
    <n v="190086.54995019478"/>
    <n v="190086.54995019478"/>
    <n v="158405.45829182898"/>
    <n v="158405.45829182898"/>
    <n v="221767.64160856057"/>
    <n v="221767.64160856057"/>
    <n v="221767.64160856057"/>
    <n v="221767.64160856057"/>
    <n v="221767.64160856057"/>
    <n v="221767.64160856057"/>
    <n v="2199708.0357420552"/>
    <n v="2199708.0357420552"/>
    <n v="0.58150000000000002"/>
  </r>
  <r>
    <x v="30"/>
    <x v="16"/>
    <s v="92. Environment and Climate Change Management"/>
    <n v="3631185.8266109037"/>
    <n v="239658.26455631966"/>
    <n v="239658.26455631966"/>
    <n v="299572.83069539955"/>
    <n v="299572.83069539955"/>
    <n v="299572.83069539955"/>
    <n v="299572.83069539955"/>
    <n v="299572.83069539955"/>
    <n v="299572.83069539955"/>
    <n v="182467.0877871979"/>
    <n v="182467.0877871979"/>
    <n v="152055.9064893316"/>
    <n v="152055.9064893316"/>
    <n v="212878.26908506421"/>
    <n v="212878.26908506421"/>
    <n v="212878.26908506421"/>
    <n v="212878.26908506421"/>
    <n v="212878.26908506421"/>
    <n v="212878.26908506421"/>
    <n v="2111534.5581742404"/>
    <n v="2111534.5581742404"/>
    <n v="0.58150000000000002"/>
  </r>
  <r>
    <x v="30"/>
    <x v="6"/>
    <s v="69. Gender Equality and Wome Empowerment"/>
    <n v="8088907.9214600986"/>
    <n v="533867.92281636654"/>
    <n v="533867.92281636654"/>
    <n v="667334.90352045815"/>
    <n v="667334.90352045815"/>
    <n v="667334.90352045815"/>
    <n v="667334.90352045815"/>
    <n v="667334.90352045815"/>
    <n v="667334.90352045815"/>
    <n v="406467.62305336987"/>
    <n v="406467.62305336987"/>
    <n v="338723.01921114157"/>
    <n v="338723.01921114157"/>
    <n v="474212.22689559817"/>
    <n v="474212.22689559817"/>
    <n v="474212.22689559817"/>
    <n v="474212.22689559817"/>
    <n v="474212.22689559817"/>
    <n v="474212.22689559817"/>
    <n v="4703699.9563290477"/>
    <n v="4703699.9563290477"/>
    <n v="0.58150000000000002"/>
  </r>
  <r>
    <x v="30"/>
    <x v="7"/>
    <s v="20. Management and Administration"/>
    <n v="71398492.503422812"/>
    <n v="4716714.6461562533"/>
    <n v="4716714.6461562533"/>
    <n v="5895893.3076953162"/>
    <n v="5895893.3076953162"/>
    <n v="5895893.3076953162"/>
    <n v="5895893.3076953162"/>
    <n v="5895893.3076953162"/>
    <n v="5895893.3076953162"/>
    <n v="3699479.2027347116"/>
    <n v="3699479.2027347116"/>
    <n v="3008377.6237400286"/>
    <n v="3008377.6237400286"/>
    <n v="4164912.0662808097"/>
    <n v="4164912.0662808097"/>
    <n v="4164912.0662808097"/>
    <n v="4164912.0662808097"/>
    <n v="4164912.0662808097"/>
    <n v="4164912.0662808097"/>
    <n v="41606987.594559364"/>
    <n v="41606987.594559364"/>
    <n v="0.58274322238056697"/>
  </r>
  <r>
    <x v="30"/>
    <x v="17"/>
    <s v="65. Primary Health Care"/>
    <n v="228521059.54164469"/>
    <n v="18852987.412185688"/>
    <n v="18852987.412185688"/>
    <n v="18852987.412185688"/>
    <n v="18852987.412185688"/>
    <n v="18852987.412185688"/>
    <n v="18852987.412185688"/>
    <n v="18852987.412185688"/>
    <n v="18852987.412185688"/>
    <n v="23995154.35125725"/>
    <n v="23995154.35125725"/>
    <n v="18455254"/>
    <n v="18455254"/>
    <n v="20349033"/>
    <n v="20349033"/>
    <n v="17314205"/>
    <n v="17314205"/>
    <n v="19122787"/>
    <n v="19122787"/>
    <n v="174648383.00000003"/>
    <n v="174648383.00000003"/>
    <n v="0.76425509031990491"/>
  </r>
  <r>
    <x v="30"/>
    <x v="18"/>
    <s v="48. Housing Management and Urban Development"/>
    <n v="1972248.5732405321"/>
    <n v="130168.40583387513"/>
    <n v="130168.40583387513"/>
    <n v="162710.50729234391"/>
    <n v="162710.50729234391"/>
    <n v="162710.50729234391"/>
    <n v="162710.50729234391"/>
    <n v="162710.50729234391"/>
    <n v="162710.50729234391"/>
    <n v="102556.92580850759"/>
    <n v="102556.92580850759"/>
    <n v="82177.023885022165"/>
    <n v="82177.023885022165"/>
    <n v="115047.83343903102"/>
    <n v="115047.83343903102"/>
    <n v="115047.83343903102"/>
    <n v="115047.83343903102"/>
    <n v="115047.83343903102"/>
    <n v="115047.83343903102"/>
    <n v="1148177.3777215295"/>
    <n v="1148177.3777215295"/>
    <n v="0.5821666666666665"/>
  </r>
  <r>
    <x v="30"/>
    <x v="19"/>
    <s v="76. Immigration Services"/>
    <n v="5256602.2323720725"/>
    <n v="346935.74733655684"/>
    <n v="346935.74733655684"/>
    <n v="433669.68417069601"/>
    <n v="433669.68417069601"/>
    <n v="433669.68417069601"/>
    <n v="433669.68417069601"/>
    <n v="433669.68417069601"/>
    <n v="433669.68417069601"/>
    <n v="264144.26217669662"/>
    <n v="264144.26217669662"/>
    <n v="220120.21848058054"/>
    <n v="220120.21848058054"/>
    <n v="308168.30587281275"/>
    <n v="308168.30587281275"/>
    <n v="308168.30587281275"/>
    <n v="308168.30587281275"/>
    <n v="308168.30587281275"/>
    <n v="308168.30587281275"/>
    <n v="3056714.1981243603"/>
    <n v="3056714.1981243603"/>
    <n v="0.58150000000000002"/>
  </r>
  <r>
    <x v="30"/>
    <x v="20"/>
    <s v="96. Sustainable Rural Development"/>
    <n v="6890625.0152343744"/>
    <n v="454781.25100546872"/>
    <n v="454781.25100546872"/>
    <n v="568476.56375683588"/>
    <n v="568476.56375683588"/>
    <n v="568476.56375683588"/>
    <n v="568476.56375683588"/>
    <n v="568476.56375683588"/>
    <n v="568476.56375683588"/>
    <n v="346253.90701552731"/>
    <n v="346253.90701552731"/>
    <n v="288544.92251293943"/>
    <n v="288544.92251293943"/>
    <n v="403962.89151811518"/>
    <n v="403962.89151811518"/>
    <n v="403962.89151811518"/>
    <n v="403962.89151811518"/>
    <n v="403962.89151811518"/>
    <n v="403962.89151811518"/>
    <n v="4006898.4463587888"/>
    <n v="4006898.4463587888"/>
    <n v="0.58150000000000002"/>
  </r>
  <r>
    <x v="30"/>
    <x v="21"/>
    <s v="18. Labour Employment and Manpower Development"/>
    <n v="7072821.1211538427"/>
    <n v="466806.19399615371"/>
    <n v="466806.19399615371"/>
    <n v="583507.7424951921"/>
    <n v="583507.7424951921"/>
    <n v="583507.7424951921"/>
    <n v="583507.7424951921"/>
    <n v="583507.7424951921"/>
    <n v="583507.7424951921"/>
    <n v="355409.26133798051"/>
    <n v="355409.26133798051"/>
    <n v="296174.38444831711"/>
    <n v="296174.38444831711"/>
    <n v="414644.13822764391"/>
    <n v="414644.13822764391"/>
    <n v="414644.13822764391"/>
    <n v="414644.13822764391"/>
    <n v="414644.13822764391"/>
    <n v="414644.13822764391"/>
    <n v="4112845.4819509597"/>
    <n v="4112845.4819509597"/>
    <n v="0.58150000000000002"/>
  </r>
  <r>
    <x v="30"/>
    <x v="22"/>
    <s v="15. Security Services"/>
    <n v="6032264.6003415389"/>
    <n v="398129.46362254163"/>
    <n v="398129.46362254163"/>
    <n v="497661.82952817698"/>
    <n v="497661.82952817698"/>
    <n v="497661.82952817698"/>
    <n v="497661.82952817698"/>
    <n v="497661.82952817698"/>
    <n v="497661.82952817698"/>
    <n v="303121.29616716231"/>
    <n v="303121.29616716231"/>
    <n v="252601.08013930195"/>
    <n v="252601.08013930195"/>
    <n v="353641.51219502272"/>
    <n v="353641.51219502272"/>
    <n v="353641.51219502272"/>
    <n v="353641.51219502272"/>
    <n v="353641.51219502272"/>
    <n v="353641.51219502272"/>
    <n v="3507761.8650986054"/>
    <n v="3507761.8650986054"/>
    <n v="0.58150000000000013"/>
  </r>
  <r>
    <x v="30"/>
    <x v="9"/>
    <s v="95. Sports and Culture"/>
    <n v="4398674.9260647492"/>
    <n v="290312.54512027348"/>
    <n v="290312.54512027348"/>
    <n v="362890.68140034185"/>
    <n v="362890.68140034185"/>
    <n v="362890.68140034185"/>
    <n v="362890.68140034185"/>
    <n v="362890.68140034185"/>
    <n v="362890.68140034185"/>
    <n v="221033.41503475362"/>
    <n v="221033.41503475362"/>
    <n v="184194.51252896135"/>
    <n v="184194.51252896135"/>
    <n v="257872.31754054586"/>
    <n v="257872.31754054586"/>
    <n v="257872.31754054586"/>
    <n v="257872.31754054586"/>
    <n v="257872.31754054586"/>
    <n v="257872.31754054586"/>
    <n v="2557829.4695066521"/>
    <n v="2557829.4695066521"/>
    <n v="0.58150000000000013"/>
  </r>
  <r>
    <x v="30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30"/>
    <x v="23"/>
    <s v="04. Water Resources Development Management and Supply"/>
    <n v="7977315.6356384186"/>
    <n v="526502.83195213566"/>
    <n v="526502.83195213566"/>
    <n v="658128.53994016955"/>
    <n v="658128.53994016955"/>
    <n v="658128.53994016955"/>
    <n v="658128.53994016955"/>
    <n v="658128.53994016955"/>
    <n v="658128.53994016955"/>
    <n v="400860.11069083051"/>
    <n v="400860.11069083051"/>
    <n v="334050.09224235878"/>
    <n v="334050.09224235878"/>
    <n v="467670.12913930224"/>
    <n v="467670.12913930224"/>
    <n v="467670.12913930224"/>
    <n v="467670.12913930224"/>
    <n v="467670.12913930224"/>
    <n v="467670.12913930224"/>
    <n v="4638809.0421237405"/>
    <n v="4638809.0421237405"/>
    <n v="0.58150000000000002"/>
  </r>
  <r>
    <x v="30"/>
    <x v="10"/>
    <s v="83. Youth Development"/>
    <n v="4618608.6723679854"/>
    <n v="304828.17237628705"/>
    <n v="304828.17237628705"/>
    <n v="381035.21547035879"/>
    <n v="381035.21547035879"/>
    <n v="381035.21547035879"/>
    <n v="381035.21547035879"/>
    <n v="381035.21547035879"/>
    <n v="381035.21547035879"/>
    <n v="232085.08578649128"/>
    <n v="232085.08578649128"/>
    <n v="193404.2381554094"/>
    <n v="193404.2381554094"/>
    <n v="270765.93341757316"/>
    <n v="270765.93341757316"/>
    <n v="270765.93341757316"/>
    <n v="270765.93341757316"/>
    <n v="270765.93341757316"/>
    <n v="270765.93341757316"/>
    <n v="2685720.9429819835"/>
    <n v="2685720.9429819835"/>
    <n v="0.58150000000000002"/>
  </r>
  <r>
    <x v="31"/>
    <x v="12"/>
    <s v="49. Agricultural Productivity and Risk Management"/>
    <n v="37011249.700000003"/>
    <n v="3463610.0460572988"/>
    <n v="3463610.0460572988"/>
    <n v="4329512.5575716235"/>
    <n v="4329512.5575716235"/>
    <n v="4329512.5575716235"/>
    <n v="4329512.5575716235"/>
    <n v="4329512.5575716235"/>
    <n v="4329512.5575716235"/>
    <n v="2461649.9337141886"/>
    <n v="2461649.9337141886"/>
    <n v="2461649.9337141886"/>
    <n v="2461649.9337141886"/>
    <n v="2461649.9337141886"/>
    <n v="2461649.9337141886"/>
    <n v="2461649.9337141886"/>
    <n v="2461649.9337141886"/>
    <n v="2461649.9337141886"/>
    <n v="2461649.9337141886"/>
    <n v="28760397.387343112"/>
    <n v="28760397.387343112"/>
    <n v="0.77707177197378208"/>
  </r>
  <r>
    <x v="31"/>
    <x v="12"/>
    <s v="49. Agricultural Productivity and Risk Management"/>
    <n v="15467690"/>
    <n v="0"/>
    <n v="0"/>
    <n v="0"/>
    <n v="0"/>
    <n v="0"/>
    <n v="0"/>
    <n v="0"/>
    <n v="0"/>
    <n v="7733845"/>
    <n v="7733845"/>
    <n v="7733845"/>
    <n v="7733845"/>
    <n v="0"/>
    <n v="0"/>
    <n v="0"/>
    <n v="0"/>
    <n v="0"/>
    <n v="0"/>
    <n v="15467690"/>
    <n v="15467690"/>
    <n v="1"/>
  </r>
  <r>
    <x v="31"/>
    <x v="0"/>
    <s v="60. Local Development"/>
    <n v="48000000"/>
    <n v="0"/>
    <n v="0"/>
    <n v="9600000"/>
    <n v="9600000"/>
    <n v="0"/>
    <n v="0"/>
    <n v="0"/>
    <n v="0"/>
    <n v="0"/>
    <n v="0"/>
    <n v="14400000"/>
    <n v="14400000"/>
    <n v="0"/>
    <n v="0"/>
    <n v="14400000"/>
    <n v="14400000"/>
    <n v="9600000"/>
    <n v="9600000"/>
    <n v="48000000"/>
    <n v="48000000"/>
    <n v="1"/>
  </r>
  <r>
    <x v="31"/>
    <x v="1"/>
    <s v="60. Local Development"/>
    <n v="120000000"/>
    <n v="0"/>
    <n v="0"/>
    <n v="33000000"/>
    <n v="33000000"/>
    <n v="0"/>
    <n v="0"/>
    <n v="0"/>
    <n v="0"/>
    <n v="0"/>
    <n v="0"/>
    <n v="29000000"/>
    <n v="29000000"/>
    <n v="0"/>
    <n v="0"/>
    <n v="29000000"/>
    <n v="29000000"/>
    <n v="29000000"/>
    <n v="29000000"/>
    <n v="120000000"/>
    <n v="120000000"/>
    <n v="1"/>
  </r>
  <r>
    <x v="31"/>
    <x v="3"/>
    <s v="70. Community Development"/>
    <n v="7491838.8451576922"/>
    <n v="494461.3637804077"/>
    <n v="494461.3637804077"/>
    <n v="618076.70472550963"/>
    <n v="618076.70472550963"/>
    <n v="618076.70472550963"/>
    <n v="618076.70472550963"/>
    <n v="618076.70472550963"/>
    <n v="618076.70472550963"/>
    <n v="376464.90196917404"/>
    <n v="376464.90196917404"/>
    <n v="313720.75164097839"/>
    <n v="313720.75164097839"/>
    <n v="439209.05229736969"/>
    <n v="439209.05229736969"/>
    <n v="439209.05229736969"/>
    <n v="439209.05229736969"/>
    <n v="439209.05229736969"/>
    <n v="439209.05229736969"/>
    <n v="4356504.2884591976"/>
    <n v="4356504.2884591976"/>
    <n v="0.58149999999999991"/>
  </r>
  <r>
    <x v="31"/>
    <x v="13"/>
    <s v="60. Local Development"/>
    <n v="73616622.485993803"/>
    <n v="0"/>
    <n v="0"/>
    <n v="5889329.7982086968"/>
    <n v="5889329.7982086968"/>
    <n v="0"/>
    <n v="0"/>
    <n v="0"/>
    <n v="0"/>
    <n v="16931823.171946276"/>
    <n v="16931823.171946276"/>
    <n v="0"/>
    <n v="0"/>
    <n v="0"/>
    <n v="0"/>
    <n v="25397734.757919416"/>
    <n v="25397734.757919416"/>
    <n v="0"/>
    <n v="0"/>
    <n v="48218887.728074387"/>
    <n v="48218887.728074387"/>
    <n v="0.65499999999658287"/>
  </r>
  <r>
    <x v="31"/>
    <x v="14"/>
    <s v="Disaster Risk Management"/>
    <n v="29642857"/>
    <n v="14079999.999120001"/>
    <n v="14079999.999120001"/>
    <n v="0"/>
    <n v="0"/>
    <n v="0"/>
    <n v="0"/>
    <n v="0"/>
    <n v="0"/>
    <n v="903214.28579678561"/>
    <n v="903214.28579678561"/>
    <n v="752678.57149732136"/>
    <n v="752678.57149732136"/>
    <n v="1053750.0000962499"/>
    <n v="1053750.0000962499"/>
    <n v="1053750.0000962499"/>
    <n v="1053750.0000962499"/>
    <n v="1053750.0000962499"/>
    <n v="1053750.0000962499"/>
    <n v="18897142.856702857"/>
    <n v="18897142.856702857"/>
    <n v="0.63749397896103122"/>
  </r>
  <r>
    <x v="31"/>
    <x v="4"/>
    <s v="23. Basic Education"/>
    <n v="64979442"/>
    <n v="4970916"/>
    <n v="4970916"/>
    <n v="7685740"/>
    <n v="7685740"/>
    <n v="13577841"/>
    <n v="13577841"/>
    <n v="5984689"/>
    <n v="5984689"/>
    <n v="0"/>
    <n v="0"/>
    <n v="8485162"/>
    <n v="8485162"/>
    <n v="9180574"/>
    <n v="9180574"/>
    <n v="3320904"/>
    <n v="3320904"/>
    <n v="3820904"/>
    <n v="3820904"/>
    <n v="57026730"/>
    <n v="57026730"/>
    <n v="0.87761187607612878"/>
  </r>
  <r>
    <x v="31"/>
    <x v="4"/>
    <s v="23. Basic Education"/>
    <n v="24149874"/>
    <n v="0"/>
    <n v="0"/>
    <n v="24149874"/>
    <n v="24149874"/>
    <n v="0"/>
    <n v="0"/>
    <n v="0"/>
    <n v="0"/>
    <n v="0"/>
    <n v="0"/>
    <n v="0"/>
    <n v="0"/>
    <n v="0"/>
    <n v="0"/>
    <n v="0"/>
    <n v="0"/>
    <n v="0"/>
    <n v="0"/>
    <n v="24149874"/>
    <n v="24149874"/>
    <n v="1"/>
  </r>
  <r>
    <x v="31"/>
    <x v="4"/>
    <s v="23. Basic Education"/>
    <n v="179600853"/>
    <n v="0"/>
    <n v="0"/>
    <n v="32311895.32319203"/>
    <n v="32311895.32319203"/>
    <n v="0"/>
    <n v="0"/>
    <n v="0"/>
    <n v="0"/>
    <n v="55233359.128802985"/>
    <n v="55233359.128802985"/>
    <n v="36822239.419201992"/>
    <n v="36822239.419201992"/>
    <n v="55233359.128802985"/>
    <n v="55233359.128802985"/>
    <n v="0"/>
    <n v="0"/>
    <n v="0"/>
    <n v="0"/>
    <n v="179600853"/>
    <n v="179600853"/>
    <n v="1"/>
  </r>
  <r>
    <x v="31"/>
    <x v="5"/>
    <s v="92. Environment and Climate Change Management"/>
    <n v="9120481"/>
    <n v="529794.18953641877"/>
    <n v="529794.18953641877"/>
    <n v="662242.73692052346"/>
    <n v="662242.73692052346"/>
    <n v="662242.73692052346"/>
    <n v="662242.73692052346"/>
    <n v="662242.73692052346"/>
    <n v="662242.73692052346"/>
    <n v="492426.86108631955"/>
    <n v="492426.86108631955"/>
    <n v="410355.717571933"/>
    <n v="410355.717571933"/>
    <n v="508571.00441759027"/>
    <n v="508571.00441759027"/>
    <n v="574498.00460070616"/>
    <n v="574498.00460070616"/>
    <n v="574498.00460070616"/>
    <n v="574498.00460070616"/>
    <n v="5076871.992575245"/>
    <n v="5076871.992575245"/>
    <n v="0.5566452024378149"/>
  </r>
  <r>
    <x v="31"/>
    <x v="15"/>
    <s v="96. Sustainable Rural Development"/>
    <n v="3904511.5508832326"/>
    <n v="257697.76235829337"/>
    <n v="257697.76235829337"/>
    <n v="322122.2029478667"/>
    <n v="322122.2029478667"/>
    <n v="322122.2029478667"/>
    <n v="322122.2029478667"/>
    <n v="322122.2029478667"/>
    <n v="322122.2029478667"/>
    <n v="196201.70543188244"/>
    <n v="196201.70543188244"/>
    <n v="163501.42119323538"/>
    <n v="163501.42119323538"/>
    <n v="228901.98967052953"/>
    <n v="228901.98967052953"/>
    <n v="228901.98967052953"/>
    <n v="228901.98967052953"/>
    <n v="228901.98967052953"/>
    <n v="228901.98967052953"/>
    <n v="2270473.4668385996"/>
    <n v="2270473.4668385996"/>
    <n v="0.58150000000000002"/>
  </r>
  <r>
    <x v="31"/>
    <x v="16"/>
    <s v="92. Environment and Climate Change Management"/>
    <n v="7579400.4163915413"/>
    <n v="500240.42748184176"/>
    <n v="500240.42748184176"/>
    <n v="625300.5343523022"/>
    <n v="625300.5343523022"/>
    <n v="625300.5343523022"/>
    <n v="625300.5343523022"/>
    <n v="625300.5343523022"/>
    <n v="625300.5343523022"/>
    <n v="380864.8709236749"/>
    <n v="380864.8709236749"/>
    <n v="317387.39243639575"/>
    <n v="317387.39243639575"/>
    <n v="444342.34941095405"/>
    <n v="444342.34941095405"/>
    <n v="444342.34941095405"/>
    <n v="444342.34941095405"/>
    <n v="444342.34941095405"/>
    <n v="444342.34941095405"/>
    <n v="4407421.3421316817"/>
    <n v="4407421.3421316817"/>
    <n v="0.58150000000000002"/>
  </r>
  <r>
    <x v="31"/>
    <x v="6"/>
    <s v="69. Gender Equality and Wome Empowerment"/>
    <n v="7491838.8451576922"/>
    <n v="494461.3637804077"/>
    <n v="494461.3637804077"/>
    <n v="618076.70472550963"/>
    <n v="618076.70472550963"/>
    <n v="618076.70472550963"/>
    <n v="618076.70472550963"/>
    <n v="618076.70472550963"/>
    <n v="618076.70472550963"/>
    <n v="376464.90196917404"/>
    <n v="376464.90196917404"/>
    <n v="313720.75164097839"/>
    <n v="313720.75164097839"/>
    <n v="439209.05229736969"/>
    <n v="439209.05229736969"/>
    <n v="439209.05229736969"/>
    <n v="439209.05229736969"/>
    <n v="439209.05229736969"/>
    <n v="439209.05229736969"/>
    <n v="4356504.2884591976"/>
    <n v="4356504.2884591976"/>
    <n v="0.58149999999999991"/>
  </r>
  <r>
    <x v="31"/>
    <x v="7"/>
    <s v="20. Management and Administration"/>
    <n v="46349476.3068076"/>
    <n v="3061930.9466164331"/>
    <n v="3061930.9466164331"/>
    <n v="3827413.683270541"/>
    <n v="3827413.683270541"/>
    <n v="3827413.683270541"/>
    <n v="3827413.683270541"/>
    <n v="3827413.683270541"/>
    <n v="3827413.683270541"/>
    <n v="2401576.2468158538"/>
    <n v="2401576.2468158538"/>
    <n v="1952936.5747712997"/>
    <n v="1952936.5747712997"/>
    <n v="2703719.4535552021"/>
    <n v="2703719.4535552021"/>
    <n v="2703719.4535552021"/>
    <n v="2703719.4535552021"/>
    <n v="2703719.4535552021"/>
    <n v="2703719.4535552021"/>
    <n v="27009843.178680815"/>
    <n v="27009843.178680815"/>
    <n v="0.58274322238056731"/>
  </r>
  <r>
    <x v="31"/>
    <x v="17"/>
    <s v="65. Primary Health Care"/>
    <n v="193821417.92563578"/>
    <n v="15990266.978864953"/>
    <n v="15990266.978864953"/>
    <n v="15990266.978864953"/>
    <n v="15990266.978864953"/>
    <n v="15990266.978864953"/>
    <n v="15990266.978864953"/>
    <n v="15990266.978864953"/>
    <n v="15990266.978864953"/>
    <n v="18735223.984540179"/>
    <n v="18735223.984540179"/>
    <n v="14962425.58"/>
    <n v="14962425.58"/>
    <n v="18154507.579999998"/>
    <n v="18154507.579999998"/>
    <n v="14962425.58"/>
    <n v="14962425.58"/>
    <n v="14963425.58"/>
    <n v="14963425.58"/>
    <n v="145739076.21999997"/>
    <n v="145739076.21999997"/>
    <n v="0.75192451783587844"/>
  </r>
  <r>
    <x v="31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31"/>
    <x v="19"/>
    <s v="76. Immigration Services"/>
    <n v="7583036.5232253047"/>
    <n v="500480.41053287016"/>
    <n v="500480.41053287016"/>
    <n v="625600.51316608768"/>
    <n v="625600.51316608768"/>
    <n v="625600.51316608768"/>
    <n v="625600.51316608768"/>
    <n v="625600.51316608768"/>
    <n v="625600.51316608768"/>
    <n v="381047.58529207151"/>
    <n v="381047.58529207151"/>
    <n v="317539.65441005962"/>
    <n v="317539.65441005962"/>
    <n v="444555.51617408346"/>
    <n v="444555.51617408346"/>
    <n v="444555.51617408346"/>
    <n v="444555.51617408346"/>
    <n v="444555.51617408346"/>
    <n v="444555.51617408346"/>
    <n v="4409535.7382555148"/>
    <n v="4409535.7382555148"/>
    <n v="0.58150000000000002"/>
  </r>
  <r>
    <x v="31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31"/>
    <x v="21"/>
    <s v="18. Labour Employment and Manpower Development"/>
    <n v="7542344.3711538436"/>
    <n v="497794.72849615378"/>
    <n v="497794.72849615378"/>
    <n v="622243.41062019218"/>
    <n v="622243.41062019218"/>
    <n v="622243.41062019218"/>
    <n v="622243.41062019218"/>
    <n v="622243.41062019218"/>
    <n v="622243.41062019218"/>
    <n v="379002.80465048057"/>
    <n v="379002.80465048057"/>
    <n v="315835.67054206715"/>
    <n v="315835.67054206715"/>
    <n v="442169.93875889399"/>
    <n v="442169.93875889399"/>
    <n v="442169.93875889399"/>
    <n v="442169.93875889399"/>
    <n v="442169.93875889399"/>
    <n v="442169.93875889399"/>
    <n v="4385873.2518259594"/>
    <n v="4385873.2518259594"/>
    <n v="0.58149999999999991"/>
  </r>
  <r>
    <x v="31"/>
    <x v="22"/>
    <s v="15. Security Services"/>
    <n v="4653414.9334939513"/>
    <n v="307125.38561060082"/>
    <n v="307125.38561060082"/>
    <n v="383906.73201325099"/>
    <n v="383906.73201325099"/>
    <n v="383906.73201325099"/>
    <n v="383906.73201325099"/>
    <n v="383906.73201325099"/>
    <n v="383906.73201325099"/>
    <n v="233834.10040807107"/>
    <n v="233834.10040807107"/>
    <n v="194861.75034005922"/>
    <n v="194861.75034005922"/>
    <n v="272806.45047608291"/>
    <n v="272806.45047608291"/>
    <n v="272806.45047608291"/>
    <n v="272806.45047608291"/>
    <n v="272806.45047608291"/>
    <n v="272806.45047608291"/>
    <n v="2705960.783826733"/>
    <n v="2705960.783826733"/>
    <n v="0.58150000000000002"/>
  </r>
  <r>
    <x v="31"/>
    <x v="9"/>
    <s v="95. Sports and Culture"/>
    <n v="4281557.5150560187"/>
    <n v="282582.79599369731"/>
    <n v="282582.79599369731"/>
    <n v="353228.49499212159"/>
    <n v="353228.49499212159"/>
    <n v="353228.49499212159"/>
    <n v="353228.49499212159"/>
    <n v="353228.49499212159"/>
    <n v="353228.49499212159"/>
    <n v="215148.26513156493"/>
    <n v="215148.26513156493"/>
    <n v="179290.22094297077"/>
    <n v="179290.22094297077"/>
    <n v="251006.30932015905"/>
    <n v="251006.30932015905"/>
    <n v="251006.30932015905"/>
    <n v="251006.30932015905"/>
    <n v="251006.30932015905"/>
    <n v="251006.30932015905"/>
    <n v="2489725.6950050751"/>
    <n v="2489725.6950050751"/>
    <n v="0.58150000000000002"/>
  </r>
  <r>
    <x v="31"/>
    <x v="11"/>
    <s v="88. Small Scale Business Development"/>
    <n v="9688786.1158917695"/>
    <n v="639459.88364885689"/>
    <n v="639459.88364885689"/>
    <n v="799324.85456107103"/>
    <n v="799324.85456107103"/>
    <n v="799324.85456107103"/>
    <n v="799324.85456107103"/>
    <n v="799324.85456107103"/>
    <n v="799324.85456107103"/>
    <n v="486861.50232356141"/>
    <n v="486861.50232356141"/>
    <n v="405717.91860296787"/>
    <n v="405717.91860296787"/>
    <n v="568005.08604415494"/>
    <n v="568005.08604415494"/>
    <n v="568005.08604415494"/>
    <n v="568005.08604415494"/>
    <n v="568005.08604415494"/>
    <n v="568005.08604415494"/>
    <n v="5634029.1263910634"/>
    <n v="5634029.1263910634"/>
    <n v="0.58149999999999991"/>
  </r>
  <r>
    <x v="31"/>
    <x v="23"/>
    <s v="04. Water Resources Development Management and Supply"/>
    <n v="4090015.3309198152"/>
    <n v="269941.0118407078"/>
    <n v="269941.0118407078"/>
    <n v="337426.26480088476"/>
    <n v="337426.26480088476"/>
    <n v="337426.26480088476"/>
    <n v="337426.26480088476"/>
    <n v="337426.26480088476"/>
    <n v="337426.26480088476"/>
    <n v="205523.27037872071"/>
    <n v="205523.27037872071"/>
    <n v="171269.39198226726"/>
    <n v="171269.39198226726"/>
    <n v="239777.14877517414"/>
    <n v="239777.14877517414"/>
    <n v="239777.14877517414"/>
    <n v="239777.14877517414"/>
    <n v="239777.14877517414"/>
    <n v="239777.14877517414"/>
    <n v="2378343.9149298724"/>
    <n v="2378343.9149298724"/>
    <n v="0.58149999999999991"/>
  </r>
  <r>
    <x v="31"/>
    <x v="10"/>
    <s v="83. Youth Development"/>
    <n v="4495635.3908088189"/>
    <n v="296711.93579338206"/>
    <n v="296711.93579338206"/>
    <n v="370889.91974172759"/>
    <n v="370889.91974172759"/>
    <n v="370889.91974172759"/>
    <n v="370889.91974172759"/>
    <n v="370889.91974172759"/>
    <n v="370889.91974172759"/>
    <n v="225905.6783881431"/>
    <n v="225905.6783881431"/>
    <n v="188254.73199011927"/>
    <n v="188254.73199011927"/>
    <n v="263556.62478616694"/>
    <n v="263556.62478616694"/>
    <n v="263556.62478616694"/>
    <n v="263556.62478616694"/>
    <n v="263556.62478616694"/>
    <n v="263556.62478616694"/>
    <n v="2614211.979755328"/>
    <n v="2614211.979755328"/>
    <n v="0.58150000000000002"/>
  </r>
  <r>
    <x v="32"/>
    <x v="12"/>
    <s v="49. Agricultural Productivity and Risk Management"/>
    <n v="50318076.817830458"/>
    <n v="4441242.2879768107"/>
    <n v="4441242.2879768107"/>
    <n v="5551552.8599710129"/>
    <n v="5551552.8599710129"/>
    <n v="5551552.8599710129"/>
    <n v="5551552.8599710129"/>
    <n v="5551552.8599710129"/>
    <n v="5551552.8599710129"/>
    <n v="3513983.1722432994"/>
    <n v="3513983.1722432994"/>
    <n v="3513983.1722432994"/>
    <n v="3513983.1722432994"/>
    <n v="3513983.1722432994"/>
    <n v="3513983.1722432994"/>
    <n v="3513983.1722432994"/>
    <n v="3513983.1722432994"/>
    <n v="3513983.1722432994"/>
    <n v="3513983.1722432994"/>
    <n v="38665816.729106344"/>
    <n v="38665816.729106344"/>
    <n v="0.76842795222660265"/>
  </r>
  <r>
    <x v="32"/>
    <x v="12"/>
    <s v="49. Agricultural Productivity and Risk Management"/>
    <n v="16973473"/>
    <n v="0"/>
    <n v="0"/>
    <n v="0"/>
    <n v="0"/>
    <n v="0"/>
    <n v="0"/>
    <n v="0"/>
    <n v="0"/>
    <n v="8486736.5"/>
    <n v="8486736.5"/>
    <n v="8486736.5"/>
    <n v="8486736.5"/>
    <n v="0"/>
    <n v="0"/>
    <n v="0"/>
    <n v="0"/>
    <n v="0"/>
    <n v="0"/>
    <n v="16973473"/>
    <n v="16973473"/>
    <n v="1"/>
  </r>
  <r>
    <x v="32"/>
    <x v="0"/>
    <s v="60. Local Development"/>
    <n v="60000000"/>
    <n v="0"/>
    <n v="0"/>
    <n v="12000000"/>
    <n v="12000000"/>
    <n v="0"/>
    <n v="0"/>
    <n v="0"/>
    <n v="0"/>
    <n v="0"/>
    <n v="0"/>
    <n v="18000000"/>
    <n v="18000000"/>
    <n v="0"/>
    <n v="0"/>
    <n v="18000000"/>
    <n v="18000000"/>
    <n v="12000000"/>
    <n v="12000000"/>
    <n v="60000000"/>
    <n v="60000000"/>
    <n v="1"/>
  </r>
  <r>
    <x v="32"/>
    <x v="1"/>
    <s v="60. Local Development"/>
    <n v="150000000"/>
    <n v="0"/>
    <n v="0"/>
    <n v="41250000"/>
    <n v="41250000"/>
    <n v="0"/>
    <n v="0"/>
    <n v="0"/>
    <n v="0"/>
    <n v="0"/>
    <n v="0"/>
    <n v="36250000"/>
    <n v="36250000"/>
    <n v="0"/>
    <n v="0"/>
    <n v="36250000"/>
    <n v="36250000"/>
    <n v="36250000"/>
    <n v="36250000"/>
    <n v="150000000"/>
    <n v="150000000"/>
    <n v="1"/>
  </r>
  <r>
    <x v="32"/>
    <x v="3"/>
    <s v="70. Community Development"/>
    <n v="8365142.959398536"/>
    <n v="552099.43532030343"/>
    <n v="552099.43532030343"/>
    <n v="690124.29415037925"/>
    <n v="690124.29415037925"/>
    <n v="690124.29415037925"/>
    <n v="690124.29415037925"/>
    <n v="690124.29415037925"/>
    <n v="690124.29415037925"/>
    <n v="420348.43370977632"/>
    <n v="420348.43370977632"/>
    <n v="350290.36142481363"/>
    <n v="350290.36142481363"/>
    <n v="490406.50599473907"/>
    <n v="490406.50599473907"/>
    <n v="490406.50599473907"/>
    <n v="490406.50599473907"/>
    <n v="490406.50599473907"/>
    <n v="490406.50599473907"/>
    <n v="4864330.6308902493"/>
    <n v="4864330.6308902493"/>
    <n v="0.58150000000000002"/>
  </r>
  <r>
    <x v="32"/>
    <x v="13"/>
    <s v="60. Local Development"/>
    <n v="95532594.990703598"/>
    <n v="0"/>
    <n v="0"/>
    <n v="7642607.5983857792"/>
    <n v="7642607.5983857792"/>
    <n v="0"/>
    <n v="0"/>
    <n v="0"/>
    <n v="0"/>
    <n v="21972496.848079454"/>
    <n v="21972496.848079454"/>
    <n v="0"/>
    <n v="0"/>
    <n v="0"/>
    <n v="0"/>
    <n v="32958745.272119179"/>
    <n v="32958745.272119179"/>
    <n v="0"/>
    <n v="0"/>
    <n v="62573849.718584418"/>
    <n v="62573849.718584418"/>
    <n v="0.65499999999658298"/>
  </r>
  <r>
    <x v="32"/>
    <x v="14"/>
    <s v="Disaster Risk Management"/>
    <n v="47142857"/>
    <n v="18039999.999120001"/>
    <n v="18039999.999120001"/>
    <n v="0"/>
    <n v="0"/>
    <n v="0"/>
    <n v="0"/>
    <n v="0"/>
    <n v="0"/>
    <n v="1844464.2857967855"/>
    <n v="1844464.2857967855"/>
    <n v="1537053.5714973214"/>
    <n v="1537053.5714973214"/>
    <n v="2151875.0000962499"/>
    <n v="2151875.0000962499"/>
    <n v="2151875.0000962499"/>
    <n v="2151875.0000962499"/>
    <n v="2151875.0000962499"/>
    <n v="2151875.0000962499"/>
    <n v="27877142.856702857"/>
    <n v="27877142.856702857"/>
    <n v="0.59133333511591923"/>
  </r>
  <r>
    <x v="32"/>
    <x v="4"/>
    <s v="23. Basic Education"/>
    <n v="83067332"/>
    <n v="4415926"/>
    <n v="4415926"/>
    <n v="10923653"/>
    <n v="10923653"/>
    <n v="5969621"/>
    <n v="5969621"/>
    <n v="6969545"/>
    <n v="6969545"/>
    <n v="0"/>
    <n v="0"/>
    <n v="11097154"/>
    <n v="11097154"/>
    <n v="11415311"/>
    <n v="11415311"/>
    <n v="8133043"/>
    <n v="8133043"/>
    <n v="9009133"/>
    <n v="9009133"/>
    <n v="67933386"/>
    <n v="67933386"/>
    <n v="0.81781109811014518"/>
  </r>
  <r>
    <x v="32"/>
    <x v="4"/>
    <s v="23. Basic Education"/>
    <n v="137153742"/>
    <n v="0"/>
    <n v="0"/>
    <n v="0"/>
    <n v="0"/>
    <n v="28222369.48114416"/>
    <n v="28222369.48114416"/>
    <n v="15165732"/>
    <n v="15165732"/>
    <n v="11900876.06957094"/>
    <n v="11900876.06957094"/>
    <n v="41158156.37971396"/>
    <n v="41158156.37971396"/>
    <n v="40706608.069570944"/>
    <n v="40706608.069570944"/>
    <n v="0"/>
    <n v="0"/>
    <n v="0"/>
    <n v="0"/>
    <n v="137153742"/>
    <n v="137153742"/>
    <n v="1"/>
  </r>
  <r>
    <x v="32"/>
    <x v="4"/>
    <s v="23. Basic Education"/>
    <n v="29447692.446053505"/>
    <n v="0"/>
    <n v="0"/>
    <n v="10723846.446053499"/>
    <n v="10723846.446053499"/>
    <n v="0"/>
    <n v="0"/>
    <n v="0"/>
    <n v="0"/>
    <n v="7021442.2500000028"/>
    <n v="7021442.2500000028"/>
    <n v="4680961.5000000019"/>
    <n v="4680961.5000000019"/>
    <n v="7021442.2500000028"/>
    <n v="7021442.2500000028"/>
    <n v="0"/>
    <n v="0"/>
    <n v="0"/>
    <n v="0"/>
    <n v="29447692.446053505"/>
    <n v="29447692.446053505"/>
    <n v="1"/>
  </r>
  <r>
    <x v="32"/>
    <x v="5"/>
    <s v="92. Environment and Climate Change Management"/>
    <n v="4361844.4234332498"/>
    <n v="253372.54099212299"/>
    <n v="253372.54099212299"/>
    <n v="316715.67624015373"/>
    <n v="316715.67624015373"/>
    <n v="316715.67624015373"/>
    <n v="316715.67624015373"/>
    <n v="316715.67624015373"/>
    <n v="316715.67624015373"/>
    <n v="235501.72408532866"/>
    <n v="235501.72408532866"/>
    <n v="196251.43673777388"/>
    <n v="196251.43673777388"/>
    <n v="287563.72117100656"/>
    <n v="287563.72117100656"/>
    <n v="274752.01143288345"/>
    <n v="274752.01143288345"/>
    <n v="274752.01143288345"/>
    <n v="274752.01143288345"/>
    <n v="2472340.4745724602"/>
    <n v="2472340.4745724602"/>
    <n v="0.56681078795250961"/>
  </r>
  <r>
    <x v="32"/>
    <x v="15"/>
    <s v="96. Sustainable Rural Development"/>
    <n v="10133185.734986868"/>
    <n v="668790.25850913336"/>
    <n v="668790.25850913336"/>
    <n v="835987.82313641661"/>
    <n v="835987.82313641661"/>
    <n v="835987.82313641661"/>
    <n v="835987.82313641661"/>
    <n v="835987.82313641661"/>
    <n v="835987.82313641661"/>
    <n v="509192.58318309003"/>
    <n v="509192.58318309003"/>
    <n v="424327.15265257505"/>
    <n v="424327.15265257505"/>
    <n v="594058.013713605"/>
    <n v="594058.013713605"/>
    <n v="594058.013713605"/>
    <n v="594058.013713605"/>
    <n v="594058.013713605"/>
    <n v="594058.013713605"/>
    <n v="5892447.5048948629"/>
    <n v="5892447.5048948629"/>
    <n v="0.58149999999999991"/>
  </r>
  <r>
    <x v="32"/>
    <x v="16"/>
    <s v="92. Environment and Climate Change Management"/>
    <n v="5169706.60919045"/>
    <n v="341200.63620656973"/>
    <n v="341200.63620656973"/>
    <n v="426500.79525821214"/>
    <n v="426500.79525821214"/>
    <n v="426500.79525821214"/>
    <n v="426500.79525821214"/>
    <n v="426500.79525821214"/>
    <n v="426500.79525821214"/>
    <n v="259777.7571118201"/>
    <n v="259777.7571118201"/>
    <n v="216481.46425985009"/>
    <n v="216481.46425985009"/>
    <n v="303074.04996379011"/>
    <n v="303074.04996379011"/>
    <n v="303074.04996379011"/>
    <n v="303074.04996379011"/>
    <n v="303074.04996379011"/>
    <n v="303074.04996379011"/>
    <n v="3006184.3932442465"/>
    <n v="3006184.3932442465"/>
    <n v="0.58149999999999991"/>
  </r>
  <r>
    <x v="32"/>
    <x v="6"/>
    <s v="69. Gender Equality and Wome Empowerment"/>
    <n v="8365142.959398536"/>
    <n v="552099.43532030343"/>
    <n v="552099.43532030343"/>
    <n v="690124.29415037925"/>
    <n v="690124.29415037925"/>
    <n v="690124.29415037925"/>
    <n v="690124.29415037925"/>
    <n v="690124.29415037925"/>
    <n v="690124.29415037925"/>
    <n v="420348.43370977632"/>
    <n v="420348.43370977632"/>
    <n v="350290.36142481363"/>
    <n v="350290.36142481363"/>
    <n v="490406.50599473907"/>
    <n v="490406.50599473907"/>
    <n v="490406.50599473907"/>
    <n v="490406.50599473907"/>
    <n v="490406.50599473907"/>
    <n v="490406.50599473907"/>
    <n v="4864330.6308902493"/>
    <n v="4864330.6308902493"/>
    <n v="0.58150000000000002"/>
  </r>
  <r>
    <x v="32"/>
    <x v="7"/>
    <s v="20. Management and Administration"/>
    <n v="80331705.463707015"/>
    <n v="5306858.9885593578"/>
    <n v="5306858.9885593578"/>
    <n v="6633573.7356991973"/>
    <n v="6633573.7356991973"/>
    <n v="6633573.7356991973"/>
    <n v="6633573.7356991973"/>
    <n v="6633573.7356991973"/>
    <n v="6633573.7356991973"/>
    <n v="4162349.4175167298"/>
    <n v="4162349.4175167298"/>
    <n v="3384778.8198372074"/>
    <n v="3384778.8198372074"/>
    <n v="4686016.1560787875"/>
    <n v="4686016.1560787875"/>
    <n v="4686016.1560787875"/>
    <n v="4686016.1560787875"/>
    <n v="4686016.1560787875"/>
    <n v="4686016.1560787875"/>
    <n v="46812756.901247256"/>
    <n v="46812756.901247256"/>
    <n v="0.58274322238056742"/>
  </r>
  <r>
    <x v="32"/>
    <x v="17"/>
    <s v="65. Primary Health Care"/>
    <n v="264650890.71621689"/>
    <n v="21833698.484087896"/>
    <n v="21833698.484087896"/>
    <n v="21833698.484087896"/>
    <n v="21833698.484087896"/>
    <n v="21833698.484087896"/>
    <n v="21833698.484087896"/>
    <n v="21833698.484087896"/>
    <n v="21833698.484087896"/>
    <n v="23558205.77986531"/>
    <n v="23558205.77986531"/>
    <n v="22050000"/>
    <n v="22050000"/>
    <n v="22935000"/>
    <n v="22935000"/>
    <n v="22300000"/>
    <n v="22300000"/>
    <n v="21770000"/>
    <n v="21770000"/>
    <n v="199947999.71621686"/>
    <n v="199947999.71621686"/>
    <n v="0.75551606561800522"/>
  </r>
  <r>
    <x v="32"/>
    <x v="18"/>
    <s v="48. Housing Management and Urban Development"/>
    <n v="5916750.6585043678"/>
    <n v="390505.54346128833"/>
    <n v="390505.54346128833"/>
    <n v="488131.92932661035"/>
    <n v="488131.92932661035"/>
    <n v="488131.92932661035"/>
    <n v="488131.92932661035"/>
    <n v="488131.92932661035"/>
    <n v="488131.92932661035"/>
    <n v="307671.03424222715"/>
    <n v="307671.03424222715"/>
    <n v="246531.277437682"/>
    <n v="246531.277437682"/>
    <n v="345143.78841275477"/>
    <n v="345143.78841275477"/>
    <n v="345143.78841275477"/>
    <n v="345143.78841275477"/>
    <n v="345143.78841275477"/>
    <n v="345143.78841275477"/>
    <n v="3444535.0083592925"/>
    <n v="3444535.0083592925"/>
    <n v="0.58216666666666661"/>
  </r>
  <r>
    <x v="32"/>
    <x v="8"/>
    <s v="60. Local Development"/>
    <n v="11415625.887323946"/>
    <n v="0"/>
    <n v="0"/>
    <n v="48846.981494704778"/>
    <n v="48846.981494704778"/>
    <n v="0"/>
    <n v="0"/>
    <n v="0"/>
    <n v="0"/>
    <n v="11366778.905829241"/>
    <n v="11366778.905829241"/>
    <n v="0"/>
    <n v="0"/>
    <n v="0"/>
    <n v="0"/>
    <n v="0"/>
    <n v="0"/>
    <n v="0"/>
    <n v="0"/>
    <n v="11415625.887323946"/>
    <n v="11415625.887323946"/>
    <n v="1"/>
  </r>
  <r>
    <x v="32"/>
    <x v="19"/>
    <s v="76. Immigration Services"/>
    <n v="6194635.0501373634"/>
    <n v="408845.91330906603"/>
    <n v="408845.91330906603"/>
    <n v="511057.3916363325"/>
    <n v="511057.3916363325"/>
    <n v="511057.3916363325"/>
    <n v="511057.3916363325"/>
    <n v="511057.3916363325"/>
    <n v="511057.3916363325"/>
    <n v="311280.41126940248"/>
    <n v="311280.41126940248"/>
    <n v="259400.34272450209"/>
    <n v="259400.34272450209"/>
    <n v="363160.47981430287"/>
    <n v="363160.47981430287"/>
    <n v="363160.47981430287"/>
    <n v="363160.47981430287"/>
    <n v="363160.47981430287"/>
    <n v="363160.47981430287"/>
    <n v="3602180.2816548767"/>
    <n v="3602180.2816548767"/>
    <n v="0.58150000000000002"/>
  </r>
  <r>
    <x v="32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32"/>
    <x v="21"/>
    <s v="18. Labour Employment and Manpower Development"/>
    <n v="7028205.5711538428"/>
    <n v="463861.56769615365"/>
    <n v="463861.56769615365"/>
    <n v="579826.95962019206"/>
    <n v="579826.95962019206"/>
    <n v="579826.95962019206"/>
    <n v="579826.95962019206"/>
    <n v="579826.95962019206"/>
    <n v="579826.95962019206"/>
    <n v="353167.32995048061"/>
    <n v="353167.32995048061"/>
    <n v="294306.10829206719"/>
    <n v="294306.10829206719"/>
    <n v="412028.55160889402"/>
    <n v="412028.55160889402"/>
    <n v="412028.55160889402"/>
    <n v="412028.55160889402"/>
    <n v="412028.55160889402"/>
    <n v="412028.55160889402"/>
    <n v="4086901.5396259599"/>
    <n v="4086901.5396259599"/>
    <n v="0.58150000000000002"/>
  </r>
  <r>
    <x v="32"/>
    <x v="22"/>
    <s v="15. Security Services"/>
    <n v="6384063.3470905442"/>
    <n v="421348.180907976"/>
    <n v="421348.180907976"/>
    <n v="526685.22613496997"/>
    <n v="526685.22613496997"/>
    <n v="526685.22613496997"/>
    <n v="526685.22613496997"/>
    <n v="526685.22613496997"/>
    <n v="526685.22613496997"/>
    <n v="320799.18319129985"/>
    <n v="320799.18319129985"/>
    <n v="267332.65265941655"/>
    <n v="267332.65265941655"/>
    <n v="374265.71372318314"/>
    <n v="374265.71372318314"/>
    <n v="374265.71372318314"/>
    <n v="374265.71372318314"/>
    <n v="374265.71372318314"/>
    <n v="374265.71372318314"/>
    <n v="3712332.8363331514"/>
    <n v="3712332.8363331514"/>
    <n v="0.58150000000000002"/>
  </r>
  <r>
    <x v="32"/>
    <x v="9"/>
    <s v="95. Sports and Culture"/>
    <n v="4663262.8905674908"/>
    <n v="307775.35077745438"/>
    <n v="307775.35077745438"/>
    <n v="384719.18847181799"/>
    <n v="384719.18847181799"/>
    <n v="384719.18847181799"/>
    <n v="384719.18847181799"/>
    <n v="384719.18847181799"/>
    <n v="384719.18847181799"/>
    <n v="234328.9602510164"/>
    <n v="234328.9602510164"/>
    <n v="195274.13354251368"/>
    <n v="195274.13354251368"/>
    <n v="273383.78695951914"/>
    <n v="273383.78695951914"/>
    <n v="273383.78695951914"/>
    <n v="273383.78695951914"/>
    <n v="273383.78695951914"/>
    <n v="273383.78695951914"/>
    <n v="2711687.3708649953"/>
    <n v="2711687.3708649953"/>
    <n v="0.58149999999999991"/>
  </r>
  <r>
    <x v="32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32"/>
    <x v="23"/>
    <s v="04. Water Resources Development Management and Supply"/>
    <n v="5940301.0640891325"/>
    <n v="392059.87022988277"/>
    <n v="392059.87022988277"/>
    <n v="490074.83778735343"/>
    <n v="490074.83778735343"/>
    <n v="490074.83778735343"/>
    <n v="490074.83778735343"/>
    <n v="490074.83778735343"/>
    <n v="490074.83778735343"/>
    <n v="298500.12847047887"/>
    <n v="298500.12847047887"/>
    <n v="248750.10705873242"/>
    <n v="248750.10705873242"/>
    <n v="348250.14988222538"/>
    <n v="348250.14988222538"/>
    <n v="348250.14988222538"/>
    <n v="348250.14988222538"/>
    <n v="348250.14988222538"/>
    <n v="348250.14988222538"/>
    <n v="3454285.0687678303"/>
    <n v="3454285.0687678303"/>
    <n v="0.58149999999999991"/>
  </r>
  <r>
    <x v="32"/>
    <x v="10"/>
    <s v="83. Youth Development"/>
    <n v="4896426.035095864"/>
    <n v="323164.11831632705"/>
    <n v="323164.11831632705"/>
    <n v="403955.14789540879"/>
    <n v="403955.14789540879"/>
    <n v="403955.14789540879"/>
    <n v="403955.14789540879"/>
    <n v="403955.14789540879"/>
    <n v="403955.14789540879"/>
    <n v="246045.40826356714"/>
    <n v="246045.40826356714"/>
    <n v="205037.8402196393"/>
    <n v="205037.8402196393"/>
    <n v="287052.97630749497"/>
    <n v="287052.97630749497"/>
    <n v="287052.97630749497"/>
    <n v="287052.97630749497"/>
    <n v="287052.97630749497"/>
    <n v="287052.97630749497"/>
    <n v="2847271.7394082448"/>
    <n v="2847271.7394082448"/>
    <n v="0.58150000000000002"/>
  </r>
  <r>
    <x v="33"/>
    <x v="12"/>
    <s v="49. Agricultural Productivity and Risk Management"/>
    <n v="41633620"/>
    <n v="4010781.2358717755"/>
    <n v="4010781.2358717755"/>
    <n v="5013476.5448397193"/>
    <n v="5013476.5448397193"/>
    <n v="5013476.5448397193"/>
    <n v="5013476.5448397193"/>
    <n v="5013476.5448397193"/>
    <n v="5013476.5448397193"/>
    <n v="2697464.2275801413"/>
    <n v="2697464.2275801413"/>
    <n v="2697464.2275801413"/>
    <n v="2697464.2275801413"/>
    <n v="2697464.2275801413"/>
    <n v="2697464.2275801413"/>
    <n v="2697464.2275801413"/>
    <n v="2697464.2275801413"/>
    <n v="2697464.2275801413"/>
    <n v="2697464.2275801413"/>
    <n v="32538532.008291639"/>
    <n v="32538532.008291639"/>
    <n v="0.78154462687346526"/>
  </r>
  <r>
    <x v="33"/>
    <x v="12"/>
    <s v="49. Agricultural Productivity and Risk Management"/>
    <n v="19135793"/>
    <n v="0"/>
    <n v="0"/>
    <n v="0"/>
    <n v="0"/>
    <n v="0"/>
    <n v="0"/>
    <n v="0"/>
    <n v="0"/>
    <n v="9567896.5"/>
    <n v="9567896.5"/>
    <n v="9567896.5"/>
    <n v="9567896.5"/>
    <n v="0"/>
    <n v="0"/>
    <n v="0"/>
    <n v="0"/>
    <n v="0"/>
    <n v="0"/>
    <n v="19135793"/>
    <n v="19135793"/>
    <n v="1"/>
  </r>
  <r>
    <x v="33"/>
    <x v="0"/>
    <s v="60. Local Development"/>
    <n v="84000000"/>
    <n v="0"/>
    <n v="0"/>
    <n v="16800000"/>
    <n v="16800000"/>
    <n v="0"/>
    <n v="0"/>
    <n v="0"/>
    <n v="0"/>
    <n v="0"/>
    <n v="0"/>
    <n v="25200000"/>
    <n v="25200000"/>
    <n v="0"/>
    <n v="0"/>
    <n v="25200000"/>
    <n v="25200000"/>
    <n v="16800000"/>
    <n v="16800000"/>
    <n v="84000000"/>
    <n v="84000000"/>
    <n v="1"/>
  </r>
  <r>
    <x v="33"/>
    <x v="1"/>
    <s v="60. Local Development"/>
    <n v="209999999.99999997"/>
    <n v="0"/>
    <n v="0"/>
    <n v="57750000"/>
    <n v="57750000"/>
    <n v="0"/>
    <n v="0"/>
    <n v="0"/>
    <n v="0"/>
    <n v="0"/>
    <n v="0"/>
    <n v="50749999.999999993"/>
    <n v="50749999.999999993"/>
    <n v="0"/>
    <n v="0"/>
    <n v="50749999.999999993"/>
    <n v="50749999.999999993"/>
    <n v="50749999.999999993"/>
    <n v="50749999.999999993"/>
    <n v="209999999.99999997"/>
    <n v="209999999.99999997"/>
    <n v="1"/>
  </r>
  <r>
    <x v="33"/>
    <x v="3"/>
    <s v="70. Community Development"/>
    <n v="8473313.204760395"/>
    <n v="559238.67151418608"/>
    <n v="559238.67151418608"/>
    <n v="699048.3393927326"/>
    <n v="699048.3393927326"/>
    <n v="699048.3393927326"/>
    <n v="699048.3393927326"/>
    <n v="699048.3393927326"/>
    <n v="699048.3393927326"/>
    <n v="425783.98853920976"/>
    <n v="425783.98853920976"/>
    <n v="354819.99044934148"/>
    <n v="354819.99044934148"/>
    <n v="496747.98662907805"/>
    <n v="496747.98662907805"/>
    <n v="496747.98662907805"/>
    <n v="496747.98662907805"/>
    <n v="496747.98662907805"/>
    <n v="496747.98662907805"/>
    <n v="4927231.6285681697"/>
    <n v="4927231.6285681697"/>
    <n v="0.58150000000000002"/>
  </r>
  <r>
    <x v="33"/>
    <x v="13"/>
    <s v="60. Local Development"/>
    <n v="124600117.07462201"/>
    <n v="0"/>
    <n v="0"/>
    <n v="9968009.3648343831"/>
    <n v="9968009.3648343831"/>
    <n v="0"/>
    <n v="0"/>
    <n v="0"/>
    <n v="0"/>
    <n v="28658026.927446906"/>
    <n v="28658026.927446906"/>
    <n v="0"/>
    <n v="0"/>
    <n v="0"/>
    <n v="0"/>
    <n v="42987040.39117036"/>
    <n v="42987040.39117036"/>
    <n v="0"/>
    <n v="0"/>
    <n v="81613076.683451653"/>
    <n v="81613076.683451653"/>
    <n v="0.65499999999658298"/>
  </r>
  <r>
    <x v="33"/>
    <x v="14"/>
    <s v="Disaster Risk Management"/>
    <n v="33142857"/>
    <n v="0"/>
    <n v="0"/>
    <n v="0"/>
    <n v="0"/>
    <n v="0"/>
    <n v="0"/>
    <n v="0"/>
    <n v="0"/>
    <n v="2485714.2857142854"/>
    <n v="2485714.2857142854"/>
    <n v="2071428.5714285714"/>
    <n v="2071428.5714285714"/>
    <n v="2899999.9999999995"/>
    <n v="2899999.9999999995"/>
    <n v="2899999.9999999995"/>
    <n v="2899999.9999999995"/>
    <n v="2899999.9999999995"/>
    <n v="2899999.9999999995"/>
    <n v="13257142.857142854"/>
    <n v="13257142.857142854"/>
    <n v="0.40000000172413785"/>
  </r>
  <r>
    <x v="33"/>
    <x v="4"/>
    <s v="23. Basic Education"/>
    <n v="132256798"/>
    <n v="15681347"/>
    <n v="15681347"/>
    <n v="20298879"/>
    <n v="20298879"/>
    <n v="7049834"/>
    <n v="7049834"/>
    <n v="13919221"/>
    <n v="13919221"/>
    <n v="11250000"/>
    <n v="11250000"/>
    <n v="27204749"/>
    <n v="27204749"/>
    <n v="6228891"/>
    <n v="6228891"/>
    <n v="12900534"/>
    <n v="12900534"/>
    <n v="5111534"/>
    <n v="5111534"/>
    <n v="119644989"/>
    <n v="119644989"/>
    <n v="0.90464150659386144"/>
  </r>
  <r>
    <x v="33"/>
    <x v="4"/>
    <s v="23. Basic Education"/>
    <n v="172377755"/>
    <n v="0"/>
    <n v="0"/>
    <n v="42516224"/>
    <n v="42516224"/>
    <n v="0"/>
    <n v="0"/>
    <n v="0"/>
    <n v="0"/>
    <n v="48698074.125"/>
    <n v="48698074.125"/>
    <n v="32465382.75"/>
    <n v="32465382.75"/>
    <n v="48698074.125"/>
    <n v="48698074.125"/>
    <n v="0"/>
    <n v="0"/>
    <n v="0"/>
    <n v="0"/>
    <n v="172377755"/>
    <n v="172377755"/>
    <n v="1"/>
  </r>
  <r>
    <x v="33"/>
    <x v="4"/>
    <s v="23. Basic Education"/>
    <n v="45139967"/>
    <n v="15960086.66314508"/>
    <n v="15960086.66314508"/>
    <n v="0"/>
    <n v="0"/>
    <n v="0"/>
    <n v="0"/>
    <n v="0"/>
    <n v="0"/>
    <n v="10942455.126320595"/>
    <n v="10942455.126320595"/>
    <n v="7294970.0842137299"/>
    <n v="7294970.0842137299"/>
    <n v="10942455.126320595"/>
    <n v="10942455.126320595"/>
    <n v="0"/>
    <n v="0"/>
    <n v="0"/>
    <n v="0"/>
    <n v="45139967"/>
    <n v="45139967"/>
    <n v="1"/>
  </r>
  <r>
    <x v="33"/>
    <x v="5"/>
    <s v="92. Environment and Climate Change Management"/>
    <n v="3302932"/>
    <n v="191862.06192424177"/>
    <n v="191862.06192424177"/>
    <n v="239827.5774053022"/>
    <n v="239827.5774053022"/>
    <n v="239827.5774053022"/>
    <n v="239827.5774053022"/>
    <n v="239827.5774053022"/>
    <n v="239827.5774053022"/>
    <n v="178329.68873738256"/>
    <n v="178329.68873738256"/>
    <n v="148608.0739478188"/>
    <n v="148608.0739478188"/>
    <n v="184176.05857652889"/>
    <n v="184176.05857652889"/>
    <n v="208051.30352694631"/>
    <n v="208051.30352694631"/>
    <n v="208051.30352694631"/>
    <n v="208051.30352694631"/>
    <n v="1838561.2224557714"/>
    <n v="1838561.2224557714"/>
    <n v="0.5566451935600768"/>
  </r>
  <r>
    <x v="33"/>
    <x v="15"/>
    <s v="96. Sustainable Rural Development"/>
    <n v="5433264.3128844006"/>
    <n v="358595.44465037045"/>
    <n v="358595.44465037045"/>
    <n v="448244.30581296305"/>
    <n v="448244.30581296305"/>
    <n v="448244.30581296305"/>
    <n v="448244.30581296305"/>
    <n v="448244.30581296305"/>
    <n v="448244.30581296305"/>
    <n v="273021.53172244114"/>
    <n v="273021.53172244114"/>
    <n v="227517.94310203427"/>
    <n v="227517.94310203427"/>
    <n v="318525.12034284795"/>
    <n v="318525.12034284795"/>
    <n v="318525.12034284795"/>
    <n v="318525.12034284795"/>
    <n v="318525.12034284795"/>
    <n v="318525.12034284795"/>
    <n v="3159443.1979422793"/>
    <n v="3159443.1979422793"/>
    <n v="0.58150000000000002"/>
  </r>
  <r>
    <x v="33"/>
    <x v="16"/>
    <s v="92. Environment and Climate Change Management"/>
    <n v="4837207.2748463489"/>
    <n v="319255.68013985903"/>
    <n v="319255.68013985903"/>
    <n v="399069.60017482378"/>
    <n v="399069.60017482378"/>
    <n v="399069.60017482378"/>
    <n v="399069.60017482378"/>
    <n v="399069.60017482378"/>
    <n v="399069.60017482378"/>
    <n v="243069.66556102902"/>
    <n v="243069.66556102902"/>
    <n v="202558.05463419086"/>
    <n v="202558.05463419086"/>
    <n v="283581.27648786717"/>
    <n v="283581.27648786717"/>
    <n v="283581.27648786717"/>
    <n v="283581.27648786717"/>
    <n v="283581.27648786717"/>
    <n v="283581.27648786717"/>
    <n v="2812836.030323152"/>
    <n v="2812836.030323152"/>
    <n v="0.58150000000000002"/>
  </r>
  <r>
    <x v="33"/>
    <x v="6"/>
    <s v="69. Gender Equality and Wome Empowerment"/>
    <n v="8473313.204760395"/>
    <n v="559238.67151418608"/>
    <n v="559238.67151418608"/>
    <n v="699048.3393927326"/>
    <n v="699048.3393927326"/>
    <n v="699048.3393927326"/>
    <n v="699048.3393927326"/>
    <n v="699048.3393927326"/>
    <n v="699048.3393927326"/>
    <n v="425783.98853920976"/>
    <n v="425783.98853920976"/>
    <n v="354819.99044934148"/>
    <n v="354819.99044934148"/>
    <n v="496747.98662907805"/>
    <n v="496747.98662907805"/>
    <n v="496747.98662907805"/>
    <n v="496747.98662907805"/>
    <n v="496747.98662907805"/>
    <n v="496747.98662907805"/>
    <n v="4927231.6285681697"/>
    <n v="4927231.6285681697"/>
    <n v="0.58150000000000002"/>
  </r>
  <r>
    <x v="33"/>
    <x v="7"/>
    <s v="20. Management and Administration"/>
    <n v="110036567.40975825"/>
    <n v="7269216.3506041169"/>
    <n v="7269216.3506041169"/>
    <n v="9086520.4382551461"/>
    <n v="9086520.4382551461"/>
    <n v="9086520.4382551461"/>
    <n v="9086520.4382551461"/>
    <n v="9086520.4382551461"/>
    <n v="9086520.4382551461"/>
    <n v="5701492.8242805954"/>
    <n v="5701492.8242805954"/>
    <n v="4636394.0691438103"/>
    <n v="4636394.0691438103"/>
    <n v="6418799.7710883534"/>
    <n v="6418799.7710883534"/>
    <n v="6418799.7710883534"/>
    <n v="6418799.7710883534"/>
    <n v="6418799.7710883534"/>
    <n v="26418799.771088354"/>
    <n v="64123063.872059017"/>
    <n v="84123063.872059032"/>
    <n v="0.76450098228526564"/>
  </r>
  <r>
    <x v="33"/>
    <x v="17"/>
    <s v="65. Primary Health Care"/>
    <n v="396960653.14306641"/>
    <n v="32749253.884302981"/>
    <n v="32749253.884302981"/>
    <n v="32749253.884302981"/>
    <n v="32749253.884302981"/>
    <n v="32749253.884302981"/>
    <n v="32749253.884302981"/>
    <n v="32749253.884302981"/>
    <n v="32749253.884302981"/>
    <n v="36023674.462788075"/>
    <n v="36023674.462788075"/>
    <n v="32784058"/>
    <n v="32784058"/>
    <n v="33284058"/>
    <n v="33284058"/>
    <n v="32784058"/>
    <n v="32784058"/>
    <n v="32784058"/>
    <n v="32784058"/>
    <n v="298656922"/>
    <n v="298656922"/>
    <n v="0.75235900494239338"/>
  </r>
  <r>
    <x v="33"/>
    <x v="18"/>
    <s v="48. Housing Management and Urban Development"/>
    <n v="5916730.9033732815"/>
    <n v="390504.23962263664"/>
    <n v="390504.23962263664"/>
    <n v="488130.29952829576"/>
    <n v="488130.29952829576"/>
    <n v="488130.29952829576"/>
    <n v="488130.29952829576"/>
    <n v="488130.29952829576"/>
    <n v="488130.29952829576"/>
    <n v="307670.00697541056"/>
    <n v="307670.00697541056"/>
    <n v="246530.45430722006"/>
    <n v="246530.45430722006"/>
    <n v="345142.63603010809"/>
    <n v="345142.63603010809"/>
    <n v="345142.63603010809"/>
    <n v="345142.63603010809"/>
    <n v="345142.63603010809"/>
    <n v="345142.63603010809"/>
    <n v="3444523.5075804787"/>
    <n v="3444523.5075804787"/>
    <n v="0.58216666666666661"/>
  </r>
  <r>
    <x v="33"/>
    <x v="19"/>
    <s v="76. Immigration Services"/>
    <n v="7518664.997690266"/>
    <n v="496231.88984755764"/>
    <n v="496231.88984755764"/>
    <n v="620289.86230944702"/>
    <n v="620289.86230944702"/>
    <n v="620289.86230944702"/>
    <n v="620289.86230944702"/>
    <n v="620289.86230944702"/>
    <n v="620289.86230944702"/>
    <n v="377812.91613393585"/>
    <n v="377812.91613393585"/>
    <n v="314844.09677827987"/>
    <n v="314844.09677827987"/>
    <n v="440781.73548959178"/>
    <n v="440781.73548959178"/>
    <n v="440781.73548959178"/>
    <n v="440781.73548959178"/>
    <n v="440781.73548959178"/>
    <n v="440781.73548959178"/>
    <n v="4372103.6961568901"/>
    <n v="4372103.6961568901"/>
    <n v="0.58150000000000002"/>
  </r>
  <r>
    <x v="33"/>
    <x v="20"/>
    <s v="96. Sustainable Rural Development"/>
    <n v="9646875.0344531182"/>
    <n v="636693.75227390591"/>
    <n v="636693.75227390591"/>
    <n v="795867.1903423823"/>
    <n v="795867.1903423823"/>
    <n v="795867.1903423823"/>
    <n v="795867.1903423823"/>
    <n v="795867.1903423823"/>
    <n v="795867.1903423823"/>
    <n v="484755.47048126918"/>
    <n v="484755.47048126918"/>
    <n v="403962.89206772431"/>
    <n v="403962.89206772431"/>
    <n v="565548.04889481398"/>
    <n v="565548.04889481398"/>
    <n v="565548.04889481398"/>
    <n v="565548.04889481398"/>
    <n v="565548.04889481398"/>
    <n v="565548.04889481398"/>
    <n v="5609657.8325344883"/>
    <n v="5609657.8325344883"/>
    <n v="0.58150000000000002"/>
  </r>
  <r>
    <x v="33"/>
    <x v="21"/>
    <s v="18. Labour Employment and Manpower Development"/>
    <n v="7102555.021153843"/>
    <n v="468768.63139615371"/>
    <n v="468768.63139615371"/>
    <n v="585960.78924519208"/>
    <n v="585960.78924519208"/>
    <n v="585960.78924519208"/>
    <n v="585960.78924519208"/>
    <n v="585960.78924519208"/>
    <n v="585960.78924519208"/>
    <n v="356903.3898129806"/>
    <n v="356903.3898129806"/>
    <n v="297419.4915108172"/>
    <n v="297419.4915108172"/>
    <n v="416387.28811514407"/>
    <n v="416387.28811514407"/>
    <n v="416387.28811514407"/>
    <n v="416387.28811514407"/>
    <n v="416387.28811514407"/>
    <n v="416387.28811514407"/>
    <n v="4130135.7448009597"/>
    <n v="4130135.7448009597"/>
    <n v="0.58150000000000002"/>
  </r>
  <r>
    <x v="33"/>
    <x v="22"/>
    <s v="15. Security Services"/>
    <n v="9568057.4768258203"/>
    <n v="631491.79347050423"/>
    <n v="631491.79347050423"/>
    <n v="789364.74183813017"/>
    <n v="789364.74183813017"/>
    <n v="789364.74183813017"/>
    <n v="789364.74183813017"/>
    <n v="789364.74183813017"/>
    <n v="789364.74183813017"/>
    <n v="480794.88821049745"/>
    <n v="480794.88821049745"/>
    <n v="400662.40684208123"/>
    <n v="400662.40684208123"/>
    <n v="560927.36957891367"/>
    <n v="560927.36957891367"/>
    <n v="560927.36957891367"/>
    <n v="560927.36957891367"/>
    <n v="560927.36957891367"/>
    <n v="560927.36957891367"/>
    <n v="5563825.4227742143"/>
    <n v="5563825.4227742143"/>
    <n v="0.58150000000000002"/>
  </r>
  <r>
    <x v="33"/>
    <x v="9"/>
    <s v="95. Sports and Culture"/>
    <n v="5834597.1177311502"/>
    <n v="385083.40977025597"/>
    <n v="385083.40977025597"/>
    <n v="481354.26221281994"/>
    <n v="481354.26221281994"/>
    <n v="481354.26221281994"/>
    <n v="481354.26221281994"/>
    <n v="481354.26221281994"/>
    <n v="481354.26221281994"/>
    <n v="293188.50516599021"/>
    <n v="293188.50516599021"/>
    <n v="244323.75430499183"/>
    <n v="244323.75430499183"/>
    <n v="342053.25602698856"/>
    <n v="342053.25602698856"/>
    <n v="342053.25602698856"/>
    <n v="342053.25602698856"/>
    <n v="342053.25602698856"/>
    <n v="342053.25602698856"/>
    <n v="3392818.2239606632"/>
    <n v="3392818.2239606632"/>
    <n v="0.58149999999999991"/>
  </r>
  <r>
    <x v="33"/>
    <x v="11"/>
    <s v="88. Small Scale Business Development"/>
    <n v="3286014.9262045384"/>
    <n v="216876.98512949955"/>
    <n v="216876.98512949955"/>
    <n v="271096.23141187441"/>
    <n v="271096.23141187441"/>
    <n v="271096.23141187441"/>
    <n v="271096.23141187441"/>
    <n v="271096.23141187441"/>
    <n v="271096.23141187441"/>
    <n v="165122.25004177805"/>
    <n v="165122.25004177805"/>
    <n v="137601.87503481505"/>
    <n v="137601.87503481505"/>
    <n v="192642.62504874106"/>
    <n v="192642.62504874106"/>
    <n v="192642.62504874106"/>
    <n v="192642.62504874106"/>
    <n v="192642.62504874106"/>
    <n v="192642.62504874106"/>
    <n v="1910817.6795879391"/>
    <n v="1910817.6795879391"/>
    <n v="0.58150000000000002"/>
  </r>
  <r>
    <x v="33"/>
    <x v="23"/>
    <s v="04. Water Resources Development Management and Supply"/>
    <n v="8241780.7775132349"/>
    <n v="543957.53131587361"/>
    <n v="543957.53131587361"/>
    <n v="679946.91414484195"/>
    <n v="679946.91414484195"/>
    <n v="679946.91414484195"/>
    <n v="679946.91414484195"/>
    <n v="679946.91414484195"/>
    <n v="679946.91414484195"/>
    <n v="414149.48407003999"/>
    <n v="414149.48407003999"/>
    <n v="345124.57005836669"/>
    <n v="345124.57005836669"/>
    <n v="483174.39808171336"/>
    <n v="483174.39808171336"/>
    <n v="483174.39808171336"/>
    <n v="483174.39808171336"/>
    <n v="483174.39808171336"/>
    <n v="483174.39808171336"/>
    <n v="4792595.5221239459"/>
    <n v="4792595.5221239459"/>
    <n v="0.58150000000000002"/>
  </r>
  <r>
    <x v="33"/>
    <x v="10"/>
    <s v="83. Youth Development"/>
    <n v="6126326.9736177064"/>
    <n v="404337.58025876869"/>
    <n v="404337.58025876869"/>
    <n v="505421.97532346082"/>
    <n v="505421.97532346082"/>
    <n v="505421.97532346082"/>
    <n v="505421.97532346082"/>
    <n v="505421.97532346082"/>
    <n v="505421.97532346082"/>
    <n v="307847.93042428972"/>
    <n v="307847.93042428972"/>
    <n v="256539.94202024146"/>
    <n v="256539.94202024146"/>
    <n v="359155.91882833804"/>
    <n v="359155.91882833804"/>
    <n v="359155.91882833804"/>
    <n v="359155.91882833804"/>
    <n v="359155.91882833804"/>
    <n v="359155.91882833804"/>
    <n v="3562459.1351586967"/>
    <n v="3562459.1351586967"/>
    <n v="0.58150000000000002"/>
  </r>
  <r>
    <x v="34"/>
    <x v="12"/>
    <s v="49. Agricultural Productivity and Risk Management"/>
    <n v="55627546.847552747"/>
    <n v="3671418.0919384817"/>
    <n v="3671418.0919384817"/>
    <n v="4589272.6149231018"/>
    <n v="4589272.6149231018"/>
    <n v="4589272.6149231018"/>
    <n v="4589272.6149231018"/>
    <n v="4589272.6149231018"/>
    <n v="4589272.6149231018"/>
    <n v="10235468.619949717"/>
    <n v="10235468.619949717"/>
    <n v="4658807.048482541"/>
    <n v="4658807.048482541"/>
    <n v="4658807.048482541"/>
    <n v="4658807.048482541"/>
    <n v="4658807.048482541"/>
    <n v="4658807.048482541"/>
    <n v="4658807.048482541"/>
    <n v="4658807.048482541"/>
    <n v="46309932.750587672"/>
    <n v="46309932.750587672"/>
    <n v="0.83250000000000024"/>
  </r>
  <r>
    <x v="34"/>
    <x v="0"/>
    <s v="60. Local Development"/>
    <n v="108000000"/>
    <n v="0"/>
    <n v="0"/>
    <n v="21600000"/>
    <n v="21600000"/>
    <n v="0"/>
    <n v="0"/>
    <n v="0"/>
    <n v="0"/>
    <n v="0"/>
    <n v="0"/>
    <n v="32400000"/>
    <n v="32400000"/>
    <n v="0"/>
    <n v="0"/>
    <n v="32400000"/>
    <n v="32400000"/>
    <n v="21600000"/>
    <n v="21600000"/>
    <n v="108000000"/>
    <n v="108000000"/>
    <n v="1"/>
  </r>
  <r>
    <x v="34"/>
    <x v="1"/>
    <s v="60. Local Development"/>
    <n v="270000000"/>
    <n v="0"/>
    <n v="0"/>
    <n v="74250000"/>
    <n v="74250000"/>
    <n v="0"/>
    <n v="0"/>
    <n v="0"/>
    <n v="0"/>
    <n v="0"/>
    <n v="0"/>
    <n v="65250000"/>
    <n v="65250000"/>
    <n v="0"/>
    <n v="0"/>
    <n v="65250000"/>
    <n v="65250000"/>
    <n v="65250000"/>
    <n v="65250000"/>
    <n v="270000000"/>
    <n v="270000000"/>
    <n v="1"/>
  </r>
  <r>
    <x v="34"/>
    <x v="3"/>
    <s v="70. Community Development"/>
    <n v="7271240.6445771493"/>
    <n v="479901.88254209189"/>
    <n v="479901.88254209189"/>
    <n v="599877.35317761486"/>
    <n v="599877.35317761486"/>
    <n v="599877.35317761486"/>
    <n v="599877.35317761486"/>
    <n v="599877.35317761486"/>
    <n v="599877.35317761486"/>
    <n v="365379.84239000181"/>
    <n v="365379.84239000181"/>
    <n v="304483.2019916682"/>
    <n v="304483.2019916682"/>
    <n v="426276.48278833547"/>
    <n v="426276.48278833547"/>
    <n v="426276.48278833547"/>
    <n v="426276.48278833547"/>
    <n v="426276.48278833547"/>
    <n v="426276.48278833547"/>
    <n v="4228226.4348216131"/>
    <n v="4228226.4348216131"/>
    <n v="0.58150000000000013"/>
  </r>
  <r>
    <x v="34"/>
    <x v="13"/>
    <s v="60. Local Development"/>
    <n v="131237078.469621"/>
    <n v="0"/>
    <n v="0"/>
    <n v="10498966.276373826"/>
    <n v="10498966.276373826"/>
    <n v="0"/>
    <n v="0"/>
    <n v="0"/>
    <n v="0"/>
    <n v="30184528.048311792"/>
    <n v="30184528.048311792"/>
    <n v="0"/>
    <n v="0"/>
    <n v="0"/>
    <n v="0"/>
    <n v="45276792.072467685"/>
    <n v="45276792.072467685"/>
    <n v="0"/>
    <n v="0"/>
    <n v="85960286.397153318"/>
    <n v="85960286.397153318"/>
    <n v="0.65499999999658298"/>
  </r>
  <r>
    <x v="34"/>
    <x v="14"/>
    <s v="Disaster Risk Management"/>
    <n v="51142861"/>
    <n v="21999999.999120001"/>
    <n v="21999999.999120001"/>
    <n v="0"/>
    <n v="0"/>
    <n v="0"/>
    <n v="0"/>
    <n v="0"/>
    <n v="0"/>
    <n v="1773214.2857967855"/>
    <n v="1773214.2857967855"/>
    <n v="1477678.5714973214"/>
    <n v="1477678.5714973214"/>
    <n v="2068750.0000962499"/>
    <n v="2068750.0000962499"/>
    <n v="2068750.0000962499"/>
    <n v="2068750.0000962499"/>
    <n v="2068750.0000962499"/>
    <n v="2068750.0000962499"/>
    <n v="31457142.856702857"/>
    <n v="31457142.856702857"/>
    <n v="0.61508375248508007"/>
  </r>
  <r>
    <x v="34"/>
    <x v="4"/>
    <s v="23.Basic Education"/>
    <n v="127937652"/>
    <n v="10510992"/>
    <n v="10510992"/>
    <n v="25074977.550000001"/>
    <n v="25074977.550000001"/>
    <n v="13674968.279999999"/>
    <n v="13674968.279999999"/>
    <n v="10252478"/>
    <n v="10252478"/>
    <n v="4500000"/>
    <n v="4500000"/>
    <n v="16343955.440000001"/>
    <n v="16343955.440000001"/>
    <n v="17910304"/>
    <n v="17910304"/>
    <n v="5195275"/>
    <n v="5195275"/>
    <n v="5229306.58"/>
    <n v="5229306.58"/>
    <n v="108692256.84999999"/>
    <n v="108692256.84999999"/>
    <n v="0.8495720778899396"/>
  </r>
  <r>
    <x v="34"/>
    <x v="4"/>
    <s v="23.Basic Education"/>
    <n v="191292535"/>
    <n v="0"/>
    <n v="0"/>
    <n v="5204917"/>
    <n v="5204917"/>
    <n v="25884537.603753679"/>
    <n v="25884537.603753679"/>
    <n v="10406550"/>
    <n v="10406550"/>
    <n v="21282270.549842369"/>
    <n v="21282270.549842369"/>
    <n v="96825439.296561584"/>
    <n v="96825439.296561584"/>
    <n v="31688820.549842369"/>
    <n v="31688820.549842369"/>
    <n v="0"/>
    <n v="0"/>
    <n v="0"/>
    <n v="0"/>
    <n v="191292535"/>
    <n v="191292535"/>
    <n v="1"/>
  </r>
  <r>
    <x v="34"/>
    <x v="4"/>
    <s v="23.Basic Education"/>
    <n v="49038478"/>
    <n v="0"/>
    <n v="0"/>
    <n v="20519239"/>
    <n v="20519239"/>
    <n v="0"/>
    <n v="0"/>
    <n v="0"/>
    <n v="0"/>
    <n v="10694714.625"/>
    <n v="10694714.625"/>
    <n v="7129809.75"/>
    <n v="7129809.75"/>
    <n v="10694714.625"/>
    <n v="10694714.625"/>
    <n v="0"/>
    <n v="0"/>
    <n v="0"/>
    <n v="0"/>
    <n v="49038478"/>
    <n v="49038478"/>
    <n v="1"/>
  </r>
  <r>
    <x v="34"/>
    <x v="5"/>
    <s v="92. Environment and Climate Change Management"/>
    <n v="3615275"/>
    <n v="210005.53186669579"/>
    <n v="210005.53186669579"/>
    <n v="262506.91483336972"/>
    <n v="262506.91483336972"/>
    <n v="262506.91483336972"/>
    <n v="262506.91483336972"/>
    <n v="262506.91483336972"/>
    <n v="262506.91483336972"/>
    <n v="195193.4674073495"/>
    <n v="195193.4674073495"/>
    <n v="162661.22283945791"/>
    <n v="162661.22283945791"/>
    <n v="201593.15463987738"/>
    <n v="201593.15463987738"/>
    <n v="227725.71197524108"/>
    <n v="227725.71197524108"/>
    <n v="227725.71197524108"/>
    <n v="227725.71197524108"/>
    <n v="2012425.5452039717"/>
    <n v="2012425.5452039717"/>
    <n v="0.55664521929976885"/>
  </r>
  <r>
    <x v="34"/>
    <x v="15"/>
    <s v="96. Sustainable Rural Development"/>
    <n v="8400974.0582756475"/>
    <n v="554464.28784619272"/>
    <n v="554464.28784619272"/>
    <n v="693080.3598077409"/>
    <n v="693080.3598077409"/>
    <n v="693080.3598077409"/>
    <n v="693080.3598077409"/>
    <n v="693080.3598077409"/>
    <n v="693080.3598077409"/>
    <n v="422148.94642835128"/>
    <n v="422148.94642835128"/>
    <n v="351790.78869029274"/>
    <n v="351790.78869029274"/>
    <n v="492507.10416640982"/>
    <n v="492507.10416640982"/>
    <n v="492507.10416640982"/>
    <n v="492507.10416640982"/>
    <n v="492507.10416640982"/>
    <n v="492507.10416640982"/>
    <n v="4885166.4148872886"/>
    <n v="4885166.4148872886"/>
    <n v="0.58149999999999991"/>
  </r>
  <r>
    <x v="34"/>
    <x v="16"/>
    <s v="92. Environment and Climate Change Management"/>
    <n v="5850785.2362276101"/>
    <n v="386151.82559102232"/>
    <n v="386151.82559102232"/>
    <n v="482689.78198877786"/>
    <n v="482689.78198877786"/>
    <n v="482689.78198877786"/>
    <n v="482689.78198877786"/>
    <n v="482689.78198877786"/>
    <n v="482689.78198877786"/>
    <n v="294001.9581204374"/>
    <n v="294001.9581204374"/>
    <n v="245001.63176703115"/>
    <n v="245001.63176703115"/>
    <n v="343002.28447384358"/>
    <n v="343002.28447384358"/>
    <n v="343002.28447384358"/>
    <n v="343002.28447384358"/>
    <n v="343002.28447384358"/>
    <n v="343002.28447384358"/>
    <n v="3402231.614866355"/>
    <n v="3402231.614866355"/>
    <n v="0.58149999999999991"/>
  </r>
  <r>
    <x v="34"/>
    <x v="6"/>
    <s v="69. Gender Equality and Wome Empowerment"/>
    <n v="7271240.6445771493"/>
    <n v="479901.88254209189"/>
    <n v="479901.88254209189"/>
    <n v="599877.35317761486"/>
    <n v="599877.35317761486"/>
    <n v="599877.35317761486"/>
    <n v="599877.35317761486"/>
    <n v="599877.35317761486"/>
    <n v="599877.35317761486"/>
    <n v="365379.84239000181"/>
    <n v="365379.84239000181"/>
    <n v="304483.2019916682"/>
    <n v="304483.2019916682"/>
    <n v="426276.48278833547"/>
    <n v="426276.48278833547"/>
    <n v="426276.48278833547"/>
    <n v="426276.48278833547"/>
    <n v="426276.48278833547"/>
    <n v="426276.48278833547"/>
    <n v="4228226.4348216131"/>
    <n v="4228226.4348216131"/>
    <n v="0.58150000000000013"/>
  </r>
  <r>
    <x v="34"/>
    <x v="7"/>
    <s v="20. Management and Administration"/>
    <n v="116736569.32291105"/>
    <n v="7711830.6978401989"/>
    <n v="7711830.6978401989"/>
    <n v="9639788.3723002486"/>
    <n v="9639788.3723002486"/>
    <n v="9639788.3723002486"/>
    <n v="9639788.3723002486"/>
    <n v="9639788.3723002486"/>
    <n v="9639788.3723002486"/>
    <n v="6048650.2623007782"/>
    <n v="6048650.2623007782"/>
    <n v="4918698.8507689666"/>
    <n v="4918698.8507689666"/>
    <n v="6809633.2163583208"/>
    <n v="6809633.2163583208"/>
    <n v="6809633.2163583208"/>
    <n v="6809633.2163583208"/>
    <n v="6809633.2163583199"/>
    <n v="26809633.216358319"/>
    <n v="68027444.576885656"/>
    <n v="88027444.576885656"/>
    <n v="0.75406914120791402"/>
  </r>
  <r>
    <x v="34"/>
    <x v="17"/>
    <s v="65. Primary Health Care"/>
    <n v="396616917.22649539"/>
    <n v="32720895.67118587"/>
    <n v="32720895.67118587"/>
    <n v="32720895.67118587"/>
    <n v="32720895.67118587"/>
    <n v="32720895.67118587"/>
    <n v="32720895.67118587"/>
    <n v="32720895.67118587"/>
    <n v="32720895.67118587"/>
    <n v="41189661.315256521"/>
    <n v="41189661.315256521"/>
    <n v="35458620"/>
    <n v="35458620"/>
    <n v="35458620"/>
    <n v="35458620"/>
    <n v="34458620"/>
    <n v="34458620"/>
    <n v="38458620"/>
    <n v="38458620"/>
    <n v="315907724"/>
    <n v="315907724"/>
    <n v="0.79650592367343498"/>
  </r>
  <r>
    <x v="34"/>
    <x v="18"/>
    <s v="48. Housing Management and Urban Development"/>
    <n v="11061752.304765295"/>
    <n v="730075.6521145096"/>
    <n v="730075.6521145096"/>
    <n v="912594.56514313689"/>
    <n v="912594.56514313689"/>
    <n v="912594.56514313689"/>
    <n v="912594.56514313689"/>
    <n v="912594.56514313689"/>
    <n v="912594.56514313689"/>
    <n v="575211.11984779511"/>
    <n v="575211.11984779511"/>
    <n v="460906.34603188728"/>
    <n v="460906.34603188728"/>
    <n v="645268.88444464211"/>
    <n v="645268.88444464211"/>
    <n v="645268.88444464211"/>
    <n v="645268.88444464211"/>
    <n v="645268.88444464211"/>
    <n v="645268.88444464211"/>
    <n v="6439783.4667575294"/>
    <n v="6439783.4667575294"/>
    <n v="0.58216666666666672"/>
  </r>
  <r>
    <x v="34"/>
    <x v="19"/>
    <s v="76. Immigration Services"/>
    <n v="8925865.7443187088"/>
    <n v="589107.1391250348"/>
    <n v="589107.1391250348"/>
    <n v="736383.92390629346"/>
    <n v="736383.92390629346"/>
    <n v="736383.92390629346"/>
    <n v="736383.92390629346"/>
    <n v="736383.92390629346"/>
    <n v="736383.92390629346"/>
    <n v="448524.75365201512"/>
    <n v="448524.75365201512"/>
    <n v="373770.62804334593"/>
    <n v="373770.62804334593"/>
    <n v="523278.87926068425"/>
    <n v="523278.87926068425"/>
    <n v="523278.87926068425"/>
    <n v="523278.87926068425"/>
    <n v="523278.87926068425"/>
    <n v="523278.87926068425"/>
    <n v="5190390.9303213293"/>
    <n v="5190390.9303213293"/>
    <n v="0.58150000000000002"/>
  </r>
  <r>
    <x v="34"/>
    <x v="20"/>
    <s v="96. Sustainable Rural Development"/>
    <n v="8268750.0182812503"/>
    <n v="545737.50120656262"/>
    <n v="545737.50120656262"/>
    <n v="682171.87650820322"/>
    <n v="682171.87650820322"/>
    <n v="682171.87650820322"/>
    <n v="682171.87650820322"/>
    <n v="682171.87650820322"/>
    <n v="682171.87650820322"/>
    <n v="415504.68841863284"/>
    <n v="415504.68841863284"/>
    <n v="346253.90701552737"/>
    <n v="346253.90701552737"/>
    <n v="484755.46982173825"/>
    <n v="484755.46982173825"/>
    <n v="484755.46982173825"/>
    <n v="484755.46982173825"/>
    <n v="484755.46982173825"/>
    <n v="484755.46982173825"/>
    <n v="4808278.135630548"/>
    <n v="4808278.135630548"/>
    <n v="0.58150000000000013"/>
  </r>
  <r>
    <x v="34"/>
    <x v="21"/>
    <s v="18. Labour Employment and Manpower Development"/>
    <n v="7819371.1211538427"/>
    <n v="516078.4939961537"/>
    <n v="516078.4939961537"/>
    <n v="645098.1174951921"/>
    <n v="645098.1174951921"/>
    <n v="645098.1174951921"/>
    <n v="645098.1174951921"/>
    <n v="645098.1174951921"/>
    <n v="645098.1174951921"/>
    <n v="392923.39883798052"/>
    <n v="392923.39883798052"/>
    <n v="327436.16569831711"/>
    <n v="327436.16569831711"/>
    <n v="458410.63197764393"/>
    <n v="458410.63197764393"/>
    <n v="458410.63197764393"/>
    <n v="458410.63197764393"/>
    <n v="458410.63197764393"/>
    <n v="458410.63197764393"/>
    <n v="4546964.3069509603"/>
    <n v="4546964.3069509603"/>
    <n v="0.58150000000000013"/>
  </r>
  <r>
    <x v="34"/>
    <x v="22"/>
    <s v="15. Security Services"/>
    <n v="10366678.074418619"/>
    <n v="684200.75291162892"/>
    <n v="684200.75291162892"/>
    <n v="855250.94113953609"/>
    <n v="855250.94113953609"/>
    <n v="855250.94113953609"/>
    <n v="855250.94113953609"/>
    <n v="855250.94113953609"/>
    <n v="855250.94113953609"/>
    <n v="520925.57323953562"/>
    <n v="520925.57323953562"/>
    <n v="434104.64436627971"/>
    <n v="434104.64436627971"/>
    <n v="607746.50211279152"/>
    <n v="607746.50211279152"/>
    <n v="607746.50211279152"/>
    <n v="607746.50211279152"/>
    <n v="607746.50211279152"/>
    <n v="607746.50211279152"/>
    <n v="6028223.300274427"/>
    <n v="6028223.300274427"/>
    <n v="0.58150000000000002"/>
  </r>
  <r>
    <x v="34"/>
    <x v="9"/>
    <s v="95. Sports and Culture"/>
    <n v="5936111.5563627863"/>
    <n v="391783.36271994398"/>
    <n v="391783.36271994398"/>
    <n v="489729.20339992992"/>
    <n v="489729.20339992992"/>
    <n v="489729.20339992992"/>
    <n v="489729.20339992992"/>
    <n v="489729.20339992992"/>
    <n v="489729.20339992992"/>
    <n v="298289.60570722993"/>
    <n v="298289.60570722993"/>
    <n v="248574.67142269161"/>
    <n v="248574.67142269161"/>
    <n v="348004.53999176825"/>
    <n v="348004.53999176825"/>
    <n v="348004.53999176825"/>
    <n v="348004.53999176825"/>
    <n v="348004.53999176825"/>
    <n v="348004.53999176825"/>
    <n v="3451848.8700249596"/>
    <n v="3451848.8700249596"/>
    <n v="0.58149999999999991"/>
  </r>
  <r>
    <x v="34"/>
    <x v="11"/>
    <s v="88. Small Scale Business Development"/>
    <n v="10489132.514602674"/>
    <n v="692282.74596377648"/>
    <n v="692282.74596377648"/>
    <n v="865353.43245472061"/>
    <n v="865353.43245472061"/>
    <n v="865353.43245472061"/>
    <n v="865353.43245472061"/>
    <n v="865353.43245472061"/>
    <n v="865353.43245472061"/>
    <n v="527078.90885878436"/>
    <n v="527078.90885878436"/>
    <n v="439232.42404898698"/>
    <n v="439232.42404898698"/>
    <n v="614925.39366858173"/>
    <n v="614925.39366858173"/>
    <n v="614925.39366858173"/>
    <n v="614925.39366858173"/>
    <n v="614925.39366858173"/>
    <n v="614925.39366858173"/>
    <n v="6099430.5572414547"/>
    <n v="6099430.5572414547"/>
    <n v="0.58150000000000002"/>
  </r>
  <r>
    <x v="34"/>
    <x v="23"/>
    <s v="04. Water Resources Development Management and Supply"/>
    <n v="2781796.8932646206"/>
    <n v="183598.59495546497"/>
    <n v="183598.59495546497"/>
    <n v="229498.24369433121"/>
    <n v="229498.24369433121"/>
    <n v="229498.24369433121"/>
    <n v="229498.24369433121"/>
    <n v="229498.24369433121"/>
    <n v="229498.24369433121"/>
    <n v="139785.29388654718"/>
    <n v="139785.29388654718"/>
    <n v="116487.74490545598"/>
    <n v="116487.74490545598"/>
    <n v="163082.84286763836"/>
    <n v="163082.84286763836"/>
    <n v="163082.84286763836"/>
    <n v="163082.84286763836"/>
    <n v="163082.84286763836"/>
    <n v="163082.84286763836"/>
    <n v="1617614.8934333771"/>
    <n v="1617614.8934333771"/>
    <n v="0.58150000000000013"/>
  </r>
  <r>
    <x v="34"/>
    <x v="10"/>
    <s v="83. Youth Development"/>
    <n v="6232917.1341809239"/>
    <n v="411372.530855941"/>
    <n v="411372.530855941"/>
    <n v="514215.66356992623"/>
    <n v="514215.66356992623"/>
    <n v="514215.66356992623"/>
    <n v="514215.66356992623"/>
    <n v="514215.66356992623"/>
    <n v="514215.66356992623"/>
    <n v="313204.0859925914"/>
    <n v="313204.0859925914"/>
    <n v="261003.40499382617"/>
    <n v="261003.40499382617"/>
    <n v="365404.76699135662"/>
    <n v="365404.76699135662"/>
    <n v="365404.76699135662"/>
    <n v="365404.76699135662"/>
    <n v="365404.76699135662"/>
    <n v="365404.76699135662"/>
    <n v="3624441.3135262076"/>
    <n v="3624441.3135262076"/>
    <n v="0.5815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8" firstHeaderRow="0" firstDataRow="1" firstDataCol="1"/>
  <pivotFields count="25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25">
        <item x="12"/>
        <item x="0"/>
        <item x="1"/>
        <item x="2"/>
        <item x="3"/>
        <item x="13"/>
        <item x="14"/>
        <item x="4"/>
        <item x="5"/>
        <item x="15"/>
        <item x="16"/>
        <item x="6"/>
        <item x="7"/>
        <item x="17"/>
        <item x="18"/>
        <item x="8"/>
        <item x="19"/>
        <item x="20"/>
        <item x="21"/>
        <item x="22"/>
        <item x="9"/>
        <item x="11"/>
        <item x="23"/>
        <item x="10"/>
        <item t="default"/>
      </items>
    </pivotField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9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pproved Estimates" fld="3" baseField="0" baseItem="0"/>
    <dataField name="Sum of Cumulative funding March " fld="2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1"/>
  <sheetViews>
    <sheetView workbookViewId="0">
      <selection activeCell="D9" sqref="D9"/>
    </sheetView>
  </sheetViews>
  <sheetFormatPr defaultRowHeight="15" x14ac:dyDescent="0.25"/>
  <cols>
    <col min="1" max="1" width="29.5703125" customWidth="1"/>
    <col min="2" max="2" width="33.5703125" customWidth="1"/>
    <col min="3" max="3" width="42.85546875" customWidth="1"/>
    <col min="4" max="4" width="20.42578125" bestFit="1" customWidth="1"/>
    <col min="5" max="5" width="17" bestFit="1" customWidth="1"/>
    <col min="6" max="6" width="15.7109375" bestFit="1" customWidth="1"/>
    <col min="7" max="7" width="17" bestFit="1" customWidth="1"/>
    <col min="8" max="8" width="15.7109375" bestFit="1" customWidth="1"/>
    <col min="9" max="9" width="17.7109375" bestFit="1" customWidth="1"/>
    <col min="10" max="10" width="16.28515625" bestFit="1" customWidth="1"/>
    <col min="11" max="11" width="16.5703125" bestFit="1" customWidth="1"/>
    <col min="12" max="12" width="15.28515625" bestFit="1" customWidth="1"/>
    <col min="13" max="13" width="28.85546875" bestFit="1" customWidth="1"/>
    <col min="14" max="14" width="19.42578125" bestFit="1" customWidth="1"/>
    <col min="15" max="15" width="28.5703125" bestFit="1" customWidth="1"/>
    <col min="16" max="16" width="19.140625" bestFit="1" customWidth="1"/>
    <col min="17" max="17" width="26.140625" bestFit="1" customWidth="1"/>
    <col min="18" max="18" width="16.5703125" bestFit="1" customWidth="1"/>
    <col min="19" max="19" width="27.28515625" bestFit="1" customWidth="1"/>
    <col min="20" max="20" width="17.85546875" bestFit="1" customWidth="1"/>
    <col min="21" max="21" width="24.7109375" bestFit="1" customWidth="1"/>
    <col min="22" max="22" width="15.28515625" bestFit="1" customWidth="1"/>
    <col min="23" max="24" width="12.5703125" bestFit="1" customWidth="1"/>
  </cols>
  <sheetData>
    <row r="1" spans="1:25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115</v>
      </c>
      <c r="X1" s="8" t="s">
        <v>116</v>
      </c>
      <c r="Y1" s="8" t="s">
        <v>117</v>
      </c>
    </row>
    <row r="2" spans="1:25" x14ac:dyDescent="0.25">
      <c r="A2" s="1" t="s">
        <v>32</v>
      </c>
      <c r="B2" s="1" t="s">
        <v>33</v>
      </c>
      <c r="C2" s="1" t="s">
        <v>34</v>
      </c>
      <c r="D2" s="1">
        <v>96000000</v>
      </c>
      <c r="E2" s="1">
        <v>0</v>
      </c>
      <c r="F2" s="1">
        <v>0</v>
      </c>
      <c r="G2" s="1">
        <v>19200000</v>
      </c>
      <c r="H2" s="1">
        <v>19200000</v>
      </c>
      <c r="I2" s="2"/>
      <c r="J2" s="2"/>
      <c r="K2" s="1">
        <v>0</v>
      </c>
      <c r="L2" s="1">
        <v>0</v>
      </c>
      <c r="M2" s="1">
        <v>0</v>
      </c>
      <c r="N2" s="1">
        <v>0</v>
      </c>
      <c r="O2" s="1">
        <v>57600000</v>
      </c>
      <c r="P2" s="1">
        <v>57600000</v>
      </c>
      <c r="Q2" s="1">
        <v>0</v>
      </c>
      <c r="R2" s="1">
        <v>0</v>
      </c>
      <c r="S2" s="1">
        <v>0</v>
      </c>
      <c r="T2" s="1">
        <v>0</v>
      </c>
      <c r="U2" s="1">
        <v>19200000</v>
      </c>
      <c r="V2" s="1">
        <v>19200000</v>
      </c>
      <c r="W2" s="4">
        <f t="shared" ref="W2:X2" si="0">U2+S2+Q2+O2+M2+K2+I2+G2+E2</f>
        <v>96000000</v>
      </c>
      <c r="X2" s="4">
        <f t="shared" si="0"/>
        <v>96000000</v>
      </c>
      <c r="Y2" s="5">
        <f>X2/D2</f>
        <v>1</v>
      </c>
    </row>
    <row r="3" spans="1:25" x14ac:dyDescent="0.25">
      <c r="A3" s="1" t="s">
        <v>32</v>
      </c>
      <c r="B3" s="1" t="s">
        <v>35</v>
      </c>
      <c r="C3" s="1" t="s">
        <v>34</v>
      </c>
      <c r="D3" s="1">
        <v>240000000</v>
      </c>
      <c r="E3" s="1">
        <v>0</v>
      </c>
      <c r="F3" s="1">
        <v>0</v>
      </c>
      <c r="G3" s="1">
        <v>66000000</v>
      </c>
      <c r="H3" s="1">
        <v>66000000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58000000</v>
      </c>
      <c r="P3" s="1">
        <v>58000000</v>
      </c>
      <c r="Q3" s="1">
        <v>0</v>
      </c>
      <c r="R3" s="1">
        <v>0</v>
      </c>
      <c r="S3" s="1">
        <v>58000000</v>
      </c>
      <c r="T3" s="1">
        <v>58000000</v>
      </c>
      <c r="U3" s="1">
        <v>58000000</v>
      </c>
      <c r="V3" s="1">
        <v>58000000</v>
      </c>
      <c r="W3" s="4">
        <f t="shared" ref="W3:W66" si="1">U3+S3+Q3+O3+M3+K3+I3+G3+E3</f>
        <v>240000000</v>
      </c>
      <c r="X3" s="4">
        <f t="shared" ref="X3:X66" si="2">V3+T3+R3+P3+N3+L3+J3+H3+F3</f>
        <v>240000000</v>
      </c>
      <c r="Y3" s="5">
        <f t="shared" ref="Y3:Y66" si="3">X3/D3</f>
        <v>1</v>
      </c>
    </row>
    <row r="4" spans="1:25" x14ac:dyDescent="0.25">
      <c r="A4" s="1" t="s">
        <v>32</v>
      </c>
      <c r="B4" s="1" t="s">
        <v>36</v>
      </c>
      <c r="C4" s="1" t="s">
        <v>37</v>
      </c>
      <c r="D4" s="1">
        <v>600000000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4">
        <f t="shared" si="1"/>
        <v>0</v>
      </c>
      <c r="X4" s="4">
        <f t="shared" si="2"/>
        <v>0</v>
      </c>
      <c r="Y4" s="5">
        <f t="shared" si="3"/>
        <v>0</v>
      </c>
    </row>
    <row r="5" spans="1:25" x14ac:dyDescent="0.25">
      <c r="A5" s="1" t="s">
        <v>32</v>
      </c>
      <c r="B5" s="1" t="s">
        <v>38</v>
      </c>
      <c r="C5" s="1" t="s">
        <v>39</v>
      </c>
      <c r="D5" s="1">
        <v>170173.80860326465</v>
      </c>
      <c r="E5" s="1">
        <v>11231.471367815468</v>
      </c>
      <c r="F5" s="1">
        <v>11231.471367815468</v>
      </c>
      <c r="G5" s="1">
        <v>14039.339209769334</v>
      </c>
      <c r="H5" s="1">
        <v>14039.339209769334</v>
      </c>
      <c r="I5" s="1">
        <v>14039.339209769334</v>
      </c>
      <c r="J5" s="1">
        <v>14039.339209769334</v>
      </c>
      <c r="K5" s="1">
        <v>14039.339209769334</v>
      </c>
      <c r="L5" s="1">
        <v>14039.339209769334</v>
      </c>
      <c r="M5" s="1">
        <v>68409.871058512406</v>
      </c>
      <c r="N5" s="1">
        <v>68409.871058512406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4">
        <f t="shared" si="1"/>
        <v>121759.36005563586</v>
      </c>
      <c r="X5" s="4">
        <f t="shared" si="2"/>
        <v>121759.36005563586</v>
      </c>
      <c r="Y5" s="5">
        <f t="shared" si="3"/>
        <v>0.71550000000000002</v>
      </c>
    </row>
    <row r="6" spans="1:25" x14ac:dyDescent="0.25">
      <c r="A6" s="1" t="s">
        <v>32</v>
      </c>
      <c r="B6" s="1" t="s">
        <v>40</v>
      </c>
      <c r="C6" s="1" t="s">
        <v>27</v>
      </c>
      <c r="D6" s="1">
        <v>94969431.170428202</v>
      </c>
      <c r="E6" s="1">
        <v>0</v>
      </c>
      <c r="F6" s="1">
        <v>0</v>
      </c>
      <c r="G6" s="1">
        <v>4748013.5352140935</v>
      </c>
      <c r="H6" s="1">
        <v>4748013.5352140935</v>
      </c>
      <c r="I6" s="1">
        <v>4748013.5352140935</v>
      </c>
      <c r="J6" s="1">
        <v>4748013.5352140935</v>
      </c>
      <c r="K6" s="1">
        <v>9497044.9000000004</v>
      </c>
      <c r="L6" s="1">
        <v>9497044.9000000004</v>
      </c>
      <c r="M6" s="1">
        <v>18994169.799999986</v>
      </c>
      <c r="N6" s="1">
        <v>18994169.799999986</v>
      </c>
      <c r="O6" s="1">
        <v>0</v>
      </c>
      <c r="P6" s="1">
        <v>0</v>
      </c>
      <c r="Q6" s="1">
        <v>9497044.9000000004</v>
      </c>
      <c r="R6" s="1">
        <v>9497044.9000000004</v>
      </c>
      <c r="S6" s="1">
        <v>9497044.9000000004</v>
      </c>
      <c r="T6" s="1">
        <v>9497044.9000000004</v>
      </c>
      <c r="U6" s="1">
        <v>9497004.9000000004</v>
      </c>
      <c r="V6" s="1">
        <v>9497004.9000000004</v>
      </c>
      <c r="W6" s="4">
        <f t="shared" si="1"/>
        <v>66478336.470428176</v>
      </c>
      <c r="X6" s="4">
        <f t="shared" si="2"/>
        <v>66478336.470428176</v>
      </c>
      <c r="Y6" s="5">
        <f t="shared" si="3"/>
        <v>0.69999720595492365</v>
      </c>
    </row>
    <row r="7" spans="1:25" x14ac:dyDescent="0.25">
      <c r="A7" s="1" t="s">
        <v>32</v>
      </c>
      <c r="B7" s="1" t="s">
        <v>41</v>
      </c>
      <c r="C7" s="1" t="s">
        <v>27</v>
      </c>
      <c r="D7" s="1">
        <v>91542341</v>
      </c>
      <c r="E7" s="1">
        <v>0</v>
      </c>
      <c r="F7" s="1">
        <v>0</v>
      </c>
      <c r="G7" s="1">
        <v>18144933.157906562</v>
      </c>
      <c r="H7" s="1">
        <v>18144933.157906562</v>
      </c>
      <c r="I7" s="1">
        <v>18144933.157906562</v>
      </c>
      <c r="J7" s="1">
        <v>18144933.157906562</v>
      </c>
      <c r="K7" s="1">
        <v>0</v>
      </c>
      <c r="L7" s="1">
        <v>0</v>
      </c>
      <c r="M7" s="1">
        <v>24070748.273023359</v>
      </c>
      <c r="N7" s="1">
        <v>24070748.273023359</v>
      </c>
      <c r="O7" s="1">
        <v>7110978.1381401569</v>
      </c>
      <c r="P7" s="1">
        <v>7110978.1381401569</v>
      </c>
      <c r="Q7" s="1">
        <v>24070748.273023359</v>
      </c>
      <c r="R7" s="1">
        <v>24070748.273023359</v>
      </c>
      <c r="S7" s="1">
        <v>0</v>
      </c>
      <c r="T7" s="1">
        <v>0</v>
      </c>
      <c r="U7" s="1">
        <v>0</v>
      </c>
      <c r="V7" s="1">
        <v>0</v>
      </c>
      <c r="W7" s="4">
        <f t="shared" si="1"/>
        <v>91542341</v>
      </c>
      <c r="X7" s="4">
        <f t="shared" si="2"/>
        <v>91542341</v>
      </c>
      <c r="Y7" s="5">
        <f t="shared" si="3"/>
        <v>1</v>
      </c>
    </row>
    <row r="8" spans="1:25" x14ac:dyDescent="0.25">
      <c r="A8" s="1" t="s">
        <v>32</v>
      </c>
      <c r="B8" s="1" t="s">
        <v>42</v>
      </c>
      <c r="C8" s="1" t="s">
        <v>27</v>
      </c>
      <c r="D8" s="1">
        <v>36858509</v>
      </c>
      <c r="E8" s="1">
        <v>0</v>
      </c>
      <c r="F8" s="1">
        <v>0</v>
      </c>
      <c r="G8" s="1">
        <v>9214627.25</v>
      </c>
      <c r="H8" s="1">
        <v>9214627.25</v>
      </c>
      <c r="I8" s="1">
        <v>9214627.25</v>
      </c>
      <c r="J8" s="1">
        <v>9214627.25</v>
      </c>
      <c r="K8" s="1">
        <v>0</v>
      </c>
      <c r="L8" s="1">
        <v>0</v>
      </c>
      <c r="M8" s="1">
        <v>4607313.625</v>
      </c>
      <c r="N8" s="1">
        <v>4607313.625</v>
      </c>
      <c r="O8" s="1">
        <v>0</v>
      </c>
      <c r="P8" s="1">
        <v>0</v>
      </c>
      <c r="Q8" s="1">
        <v>13821940.875</v>
      </c>
      <c r="R8" s="1">
        <v>13821940.875</v>
      </c>
      <c r="S8" s="1">
        <v>0</v>
      </c>
      <c r="T8" s="1">
        <v>0</v>
      </c>
      <c r="U8" s="1">
        <v>0</v>
      </c>
      <c r="V8" s="1">
        <v>0</v>
      </c>
      <c r="W8" s="4">
        <f t="shared" si="1"/>
        <v>36858509</v>
      </c>
      <c r="X8" s="4">
        <f t="shared" si="2"/>
        <v>36858509</v>
      </c>
      <c r="Y8" s="5">
        <f t="shared" si="3"/>
        <v>1</v>
      </c>
    </row>
    <row r="9" spans="1:25" x14ac:dyDescent="0.25">
      <c r="A9" s="1" t="s">
        <v>32</v>
      </c>
      <c r="B9" s="1" t="s">
        <v>43</v>
      </c>
      <c r="C9" s="1" t="s">
        <v>31</v>
      </c>
      <c r="D9" s="1">
        <v>2694410</v>
      </c>
      <c r="E9" s="1">
        <v>394730.89762161142</v>
      </c>
      <c r="F9" s="1">
        <v>394730.89762161142</v>
      </c>
      <c r="G9" s="1">
        <v>493413.62202701427</v>
      </c>
      <c r="H9" s="1">
        <v>493413.62202701427</v>
      </c>
      <c r="I9" s="1">
        <v>493413.62202701427</v>
      </c>
      <c r="J9" s="1">
        <v>493413.62202701427</v>
      </c>
      <c r="K9" s="1">
        <v>493413.62202701427</v>
      </c>
      <c r="L9" s="1">
        <v>493413.62202701427</v>
      </c>
      <c r="M9" s="1">
        <v>0</v>
      </c>
      <c r="N9" s="1">
        <v>0</v>
      </c>
      <c r="O9" s="1">
        <v>0</v>
      </c>
      <c r="P9" s="1">
        <v>0</v>
      </c>
      <c r="Q9" s="1">
        <v>504528.85832435964</v>
      </c>
      <c r="R9" s="1">
        <v>504528.85832435964</v>
      </c>
      <c r="S9" s="1">
        <v>0</v>
      </c>
      <c r="T9" s="1">
        <v>0</v>
      </c>
      <c r="U9" s="1">
        <v>0</v>
      </c>
      <c r="V9" s="1">
        <v>0</v>
      </c>
      <c r="W9" s="4">
        <f t="shared" si="1"/>
        <v>2379500.6220270139</v>
      </c>
      <c r="X9" s="4">
        <f t="shared" si="2"/>
        <v>2379500.6220270139</v>
      </c>
      <c r="Y9" s="5">
        <f t="shared" si="3"/>
        <v>0.88312492234923934</v>
      </c>
    </row>
    <row r="10" spans="1:25" x14ac:dyDescent="0.25">
      <c r="A10" s="1" t="s">
        <v>32</v>
      </c>
      <c r="B10" s="1" t="s">
        <v>44</v>
      </c>
      <c r="C10" s="1" t="s">
        <v>45</v>
      </c>
      <c r="D10" s="1">
        <v>170173.80860326465</v>
      </c>
      <c r="E10" s="1">
        <v>11231.471367815468</v>
      </c>
      <c r="F10" s="1">
        <v>11231.471367815468</v>
      </c>
      <c r="G10" s="1">
        <v>14039.339209769334</v>
      </c>
      <c r="H10" s="1">
        <v>14039.339209769334</v>
      </c>
      <c r="I10" s="1">
        <v>14039.339209769334</v>
      </c>
      <c r="J10" s="1">
        <v>14039.339209769334</v>
      </c>
      <c r="K10" s="1">
        <v>14039.339209769334</v>
      </c>
      <c r="L10" s="1">
        <v>14039.339209769334</v>
      </c>
      <c r="M10" s="1">
        <v>0</v>
      </c>
      <c r="N10" s="1">
        <v>0</v>
      </c>
      <c r="O10" s="1">
        <v>0</v>
      </c>
      <c r="P10" s="1">
        <v>0</v>
      </c>
      <c r="Q10" s="1">
        <v>79811.516234931129</v>
      </c>
      <c r="R10" s="1">
        <v>79811.516234931129</v>
      </c>
      <c r="S10" s="1">
        <v>0</v>
      </c>
      <c r="T10" s="1">
        <v>0</v>
      </c>
      <c r="U10" s="1">
        <v>0</v>
      </c>
      <c r="V10" s="1">
        <v>0</v>
      </c>
      <c r="W10" s="4">
        <f t="shared" si="1"/>
        <v>133161.00523205459</v>
      </c>
      <c r="X10" s="4">
        <f t="shared" si="2"/>
        <v>133161.00523205459</v>
      </c>
      <c r="Y10" s="5">
        <f t="shared" si="3"/>
        <v>0.78249999999999997</v>
      </c>
    </row>
    <row r="11" spans="1:25" x14ac:dyDescent="0.25">
      <c r="A11" s="1" t="s">
        <v>32</v>
      </c>
      <c r="B11" s="1" t="s">
        <v>46</v>
      </c>
      <c r="C11" s="1" t="s">
        <v>22</v>
      </c>
      <c r="D11" s="1">
        <v>108410017</v>
      </c>
      <c r="E11" s="1">
        <v>7161763.4118792377</v>
      </c>
      <c r="F11" s="1">
        <v>7161763.4118792377</v>
      </c>
      <c r="G11" s="1">
        <v>8952204.2648490462</v>
      </c>
      <c r="H11" s="1">
        <v>8952204.2648490462</v>
      </c>
      <c r="I11" s="1">
        <v>8952204.2648490462</v>
      </c>
      <c r="J11" s="1">
        <v>8952204.2648490462</v>
      </c>
      <c r="K11" s="1">
        <v>8952204.2648490462</v>
      </c>
      <c r="L11" s="1">
        <v>8952204.2648490462</v>
      </c>
      <c r="M11" s="1">
        <v>5556283.9287701743</v>
      </c>
      <c r="N11" s="1">
        <v>5556283.9287701743</v>
      </c>
      <c r="O11" s="1">
        <v>4567859.2857796159</v>
      </c>
      <c r="P11" s="1">
        <v>4567859.2857796159</v>
      </c>
      <c r="Q11" s="1">
        <v>6323917.6180165559</v>
      </c>
      <c r="R11" s="1">
        <v>6323917.6180165559</v>
      </c>
      <c r="S11" s="1">
        <v>6323917.6180165559</v>
      </c>
      <c r="T11" s="1">
        <v>6323917.6180165559</v>
      </c>
      <c r="U11" s="1">
        <v>6323917.6180165559</v>
      </c>
      <c r="V11" s="1">
        <v>6323917.6180165559</v>
      </c>
      <c r="W11" s="4">
        <f t="shared" si="1"/>
        <v>63114272.27502583</v>
      </c>
      <c r="X11" s="4">
        <f t="shared" si="2"/>
        <v>63114272.27502583</v>
      </c>
      <c r="Y11" s="5">
        <f t="shared" si="3"/>
        <v>0.58218118603399749</v>
      </c>
    </row>
    <row r="12" spans="1:25" x14ac:dyDescent="0.25">
      <c r="A12" s="1" t="s">
        <v>32</v>
      </c>
      <c r="B12" s="1" t="s">
        <v>47</v>
      </c>
      <c r="C12" s="1" t="s">
        <v>34</v>
      </c>
      <c r="D12" s="1">
        <v>171234388.30985916</v>
      </c>
      <c r="E12" s="1">
        <v>0</v>
      </c>
      <c r="F12" s="1">
        <v>0</v>
      </c>
      <c r="G12" s="1">
        <v>11275573.93253685</v>
      </c>
      <c r="H12" s="1">
        <v>11275573.93253685</v>
      </c>
      <c r="I12" s="1">
        <v>20000000</v>
      </c>
      <c r="J12" s="1">
        <v>20000000</v>
      </c>
      <c r="K12" s="1">
        <v>20094742</v>
      </c>
      <c r="L12" s="1">
        <v>20094742</v>
      </c>
      <c r="M12" s="1">
        <v>39884665.188661203</v>
      </c>
      <c r="N12" s="1">
        <v>39884665.188661203</v>
      </c>
      <c r="O12" s="1">
        <v>0</v>
      </c>
      <c r="P12" s="1">
        <v>0</v>
      </c>
      <c r="Q12" s="1">
        <v>0</v>
      </c>
      <c r="R12" s="1">
        <v>0</v>
      </c>
      <c r="S12" s="1">
        <v>79979407.188661158</v>
      </c>
      <c r="T12" s="1">
        <v>79979407.188661158</v>
      </c>
      <c r="U12" s="1">
        <v>0</v>
      </c>
      <c r="V12" s="1">
        <v>0</v>
      </c>
      <c r="W12" s="4">
        <f t="shared" si="1"/>
        <v>171234388.30985922</v>
      </c>
      <c r="X12" s="4">
        <f t="shared" si="2"/>
        <v>171234388.30985922</v>
      </c>
      <c r="Y12" s="5">
        <f t="shared" si="3"/>
        <v>1.0000000000000004</v>
      </c>
    </row>
    <row r="13" spans="1:25" x14ac:dyDescent="0.25">
      <c r="A13" s="1" t="s">
        <v>32</v>
      </c>
      <c r="B13" s="1" t="s">
        <v>48</v>
      </c>
      <c r="C13" s="1" t="s">
        <v>49</v>
      </c>
      <c r="D13" s="1">
        <v>5940905.5772700906</v>
      </c>
      <c r="E13" s="1">
        <v>392099.76809982606</v>
      </c>
      <c r="F13" s="1">
        <v>392099.76809982606</v>
      </c>
      <c r="G13" s="1">
        <v>490124.71012478252</v>
      </c>
      <c r="H13" s="1">
        <v>490124.71012478252</v>
      </c>
      <c r="I13" s="1">
        <v>490124.71012478252</v>
      </c>
      <c r="J13" s="1">
        <v>490124.71012478252</v>
      </c>
      <c r="K13" s="1">
        <v>490124.71012478252</v>
      </c>
      <c r="L13" s="1">
        <v>490124.71012478252</v>
      </c>
      <c r="M13" s="1">
        <v>298530.50525782211</v>
      </c>
      <c r="N13" s="1">
        <v>298530.50525782211</v>
      </c>
      <c r="O13" s="1">
        <v>248775.42104818509</v>
      </c>
      <c r="P13" s="1">
        <v>248775.42104818509</v>
      </c>
      <c r="Q13" s="1">
        <v>348285.58946745913</v>
      </c>
      <c r="R13" s="1">
        <v>348285.58946745913</v>
      </c>
      <c r="S13" s="1">
        <v>348285.58946745913</v>
      </c>
      <c r="T13" s="1">
        <v>348285.58946745913</v>
      </c>
      <c r="U13" s="1">
        <v>348285.58946745913</v>
      </c>
      <c r="V13" s="1">
        <v>348285.58946745913</v>
      </c>
      <c r="W13" s="4">
        <f t="shared" si="1"/>
        <v>3454636.5931825582</v>
      </c>
      <c r="X13" s="4">
        <f t="shared" si="2"/>
        <v>3454636.5931825582</v>
      </c>
      <c r="Y13" s="5">
        <f t="shared" si="3"/>
        <v>0.58150000000000013</v>
      </c>
    </row>
    <row r="14" spans="1:25" x14ac:dyDescent="0.25">
      <c r="A14" s="1" t="s">
        <v>32</v>
      </c>
      <c r="B14" s="1" t="s">
        <v>50</v>
      </c>
      <c r="C14" s="1" t="s">
        <v>25</v>
      </c>
      <c r="D14" s="1">
        <v>6237950.8561335942</v>
      </c>
      <c r="E14" s="1">
        <v>411704.75650481723</v>
      </c>
      <c r="F14" s="1">
        <v>411704.75650481723</v>
      </c>
      <c r="G14" s="1">
        <v>514630.94563102152</v>
      </c>
      <c r="H14" s="1">
        <v>514630.94563102152</v>
      </c>
      <c r="I14" s="1">
        <v>514630.94563102152</v>
      </c>
      <c r="J14" s="1">
        <v>514630.94563102152</v>
      </c>
      <c r="K14" s="1">
        <v>514630.94563102152</v>
      </c>
      <c r="L14" s="1">
        <v>514630.94563102152</v>
      </c>
      <c r="M14" s="1">
        <v>313457.03052071307</v>
      </c>
      <c r="N14" s="1">
        <v>313457.03052071307</v>
      </c>
      <c r="O14" s="1">
        <v>261214.19210059426</v>
      </c>
      <c r="P14" s="1">
        <v>261214.19210059426</v>
      </c>
      <c r="Q14" s="1">
        <v>365699.86894083192</v>
      </c>
      <c r="R14" s="1">
        <v>365699.86894083192</v>
      </c>
      <c r="S14" s="1">
        <v>365699.86894083192</v>
      </c>
      <c r="T14" s="1">
        <v>365699.86894083192</v>
      </c>
      <c r="U14" s="1">
        <v>365699.86894083192</v>
      </c>
      <c r="V14" s="1">
        <v>365699.86894083192</v>
      </c>
      <c r="W14" s="4">
        <f t="shared" si="1"/>
        <v>3627368.4228416854</v>
      </c>
      <c r="X14" s="4">
        <f t="shared" si="2"/>
        <v>3627368.4228416854</v>
      </c>
      <c r="Y14" s="5">
        <f t="shared" si="3"/>
        <v>0.58150000000000002</v>
      </c>
    </row>
    <row r="15" spans="1:25" x14ac:dyDescent="0.25">
      <c r="A15" s="1" t="s">
        <v>51</v>
      </c>
      <c r="B15" s="1" t="s">
        <v>33</v>
      </c>
      <c r="C15" s="1" t="s">
        <v>34</v>
      </c>
      <c r="D15" s="1">
        <v>48000000</v>
      </c>
      <c r="E15" s="1">
        <v>0</v>
      </c>
      <c r="F15" s="1">
        <v>0</v>
      </c>
      <c r="G15" s="1">
        <v>9600000</v>
      </c>
      <c r="H15" s="1">
        <v>9600000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28800000</v>
      </c>
      <c r="P15" s="1">
        <v>28800000</v>
      </c>
      <c r="Q15" s="1">
        <v>0</v>
      </c>
      <c r="R15" s="1">
        <v>0</v>
      </c>
      <c r="S15" s="1">
        <v>0</v>
      </c>
      <c r="T15" s="1">
        <v>0</v>
      </c>
      <c r="U15" s="1">
        <v>9600000</v>
      </c>
      <c r="V15" s="1">
        <v>9600000</v>
      </c>
      <c r="W15" s="4">
        <f t="shared" si="1"/>
        <v>48000000</v>
      </c>
      <c r="X15" s="4">
        <f t="shared" si="2"/>
        <v>48000000</v>
      </c>
      <c r="Y15" s="5">
        <f t="shared" si="3"/>
        <v>1</v>
      </c>
    </row>
    <row r="16" spans="1:25" x14ac:dyDescent="0.25">
      <c r="A16" s="1" t="s">
        <v>51</v>
      </c>
      <c r="B16" s="1" t="s">
        <v>35</v>
      </c>
      <c r="C16" s="1" t="s">
        <v>34</v>
      </c>
      <c r="D16" s="1">
        <v>120000000</v>
      </c>
      <c r="E16" s="1">
        <v>0</v>
      </c>
      <c r="F16" s="1">
        <v>0</v>
      </c>
      <c r="G16" s="1">
        <v>33000000</v>
      </c>
      <c r="H16" s="1">
        <v>33000000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29000000</v>
      </c>
      <c r="P16" s="1">
        <v>29000000</v>
      </c>
      <c r="Q16" s="1">
        <v>0</v>
      </c>
      <c r="R16" s="1">
        <v>0</v>
      </c>
      <c r="S16" s="1">
        <v>29000000</v>
      </c>
      <c r="T16" s="1">
        <v>29000000</v>
      </c>
      <c r="U16" s="1">
        <v>29000000</v>
      </c>
      <c r="V16" s="1">
        <v>29000000</v>
      </c>
      <c r="W16" s="4">
        <f t="shared" si="1"/>
        <v>120000000</v>
      </c>
      <c r="X16" s="4">
        <f t="shared" si="2"/>
        <v>120000000</v>
      </c>
      <c r="Y16" s="5">
        <f t="shared" si="3"/>
        <v>1</v>
      </c>
    </row>
    <row r="17" spans="1:25" x14ac:dyDescent="0.25">
      <c r="A17" s="1" t="s">
        <v>51</v>
      </c>
      <c r="B17" s="1" t="s">
        <v>36</v>
      </c>
      <c r="C17" s="1" t="s">
        <v>37</v>
      </c>
      <c r="D17" s="1">
        <v>600000000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4">
        <f t="shared" si="1"/>
        <v>0</v>
      </c>
      <c r="X17" s="4">
        <f t="shared" si="2"/>
        <v>0</v>
      </c>
      <c r="Y17" s="5">
        <f t="shared" si="3"/>
        <v>0</v>
      </c>
    </row>
    <row r="18" spans="1:25" x14ac:dyDescent="0.25">
      <c r="A18" s="1" t="s">
        <v>51</v>
      </c>
      <c r="B18" s="1" t="s">
        <v>38</v>
      </c>
      <c r="C18" s="1" t="s">
        <v>39</v>
      </c>
      <c r="D18" s="1">
        <v>173067.06936748541</v>
      </c>
      <c r="E18" s="1">
        <v>11422.426578254039</v>
      </c>
      <c r="F18" s="1">
        <v>11422.426578254039</v>
      </c>
      <c r="G18" s="1">
        <v>14278.033222817547</v>
      </c>
      <c r="H18" s="1">
        <v>14278.033222817547</v>
      </c>
      <c r="I18" s="1">
        <v>14278.033222817547</v>
      </c>
      <c r="J18" s="1">
        <v>14278.033222817547</v>
      </c>
      <c r="K18" s="1">
        <v>14278.033222817547</v>
      </c>
      <c r="L18" s="1">
        <v>14278.033222817547</v>
      </c>
      <c r="M18" s="1">
        <v>69572.961885729121</v>
      </c>
      <c r="N18" s="1">
        <v>69572.961885729121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4">
        <f t="shared" si="1"/>
        <v>123829.4881324358</v>
      </c>
      <c r="X18" s="4">
        <f t="shared" si="2"/>
        <v>123829.4881324358</v>
      </c>
      <c r="Y18" s="5">
        <f t="shared" si="3"/>
        <v>0.71549999999999991</v>
      </c>
    </row>
    <row r="19" spans="1:25" x14ac:dyDescent="0.25">
      <c r="A19" s="1" t="s">
        <v>51</v>
      </c>
      <c r="B19" s="1" t="s">
        <v>40</v>
      </c>
      <c r="C19" s="1" t="s">
        <v>27</v>
      </c>
      <c r="D19" s="1">
        <v>140403250.36000001</v>
      </c>
      <c r="E19" s="1">
        <v>10738215.699999999</v>
      </c>
      <c r="F19" s="1">
        <v>10738215.699999999</v>
      </c>
      <c r="G19" s="1">
        <v>12488001.109999999</v>
      </c>
      <c r="H19" s="1">
        <v>12488001.109999999</v>
      </c>
      <c r="I19" s="1">
        <v>7678882.4132971</v>
      </c>
      <c r="J19" s="1">
        <v>7678882.4132971</v>
      </c>
      <c r="K19" s="1">
        <v>5419395.6399999997</v>
      </c>
      <c r="L19" s="1">
        <v>5419395.6399999997</v>
      </c>
      <c r="M19" s="1">
        <v>25874121.567527182</v>
      </c>
      <c r="N19" s="1">
        <v>25874121.567527182</v>
      </c>
      <c r="O19" s="1">
        <v>25765308.039175726</v>
      </c>
      <c r="P19" s="1">
        <v>25765308.039175726</v>
      </c>
      <c r="Q19" s="1">
        <v>9198442.5</v>
      </c>
      <c r="R19" s="1">
        <v>9198442.5</v>
      </c>
      <c r="S19" s="1">
        <v>12765803</v>
      </c>
      <c r="T19" s="1">
        <v>12765803</v>
      </c>
      <c r="U19" s="1">
        <v>12113041</v>
      </c>
      <c r="V19" s="1">
        <v>12113041</v>
      </c>
      <c r="W19" s="4">
        <f t="shared" si="1"/>
        <v>122041210.97000001</v>
      </c>
      <c r="X19" s="4">
        <f t="shared" si="2"/>
        <v>122041210.97000001</v>
      </c>
      <c r="Y19" s="5">
        <f t="shared" si="3"/>
        <v>0.86921927132798604</v>
      </c>
    </row>
    <row r="20" spans="1:25" x14ac:dyDescent="0.25">
      <c r="A20" s="1" t="s">
        <v>51</v>
      </c>
      <c r="B20" s="1" t="s">
        <v>41</v>
      </c>
      <c r="C20" s="1" t="s">
        <v>27</v>
      </c>
      <c r="D20" s="1">
        <v>71777398</v>
      </c>
      <c r="E20" s="1">
        <v>0</v>
      </c>
      <c r="F20" s="1">
        <v>0</v>
      </c>
      <c r="G20" s="1">
        <v>0</v>
      </c>
      <c r="H20" s="1">
        <v>0</v>
      </c>
      <c r="I20" s="1">
        <v>19744133</v>
      </c>
      <c r="J20" s="1">
        <v>19744133</v>
      </c>
      <c r="K20" s="1">
        <v>0</v>
      </c>
      <c r="L20" s="1">
        <v>0</v>
      </c>
      <c r="M20" s="1">
        <v>13125000</v>
      </c>
      <c r="N20" s="1">
        <v>13125000</v>
      </c>
      <c r="O20" s="1">
        <v>15605816</v>
      </c>
      <c r="P20" s="1">
        <v>15605816</v>
      </c>
      <c r="Q20" s="1">
        <v>18425000</v>
      </c>
      <c r="R20" s="1">
        <v>18425000</v>
      </c>
      <c r="S20" s="1">
        <v>3251633</v>
      </c>
      <c r="T20" s="1">
        <v>3251633</v>
      </c>
      <c r="U20" s="1">
        <v>0</v>
      </c>
      <c r="V20" s="1">
        <v>0</v>
      </c>
      <c r="W20" s="4">
        <f t="shared" si="1"/>
        <v>70151582</v>
      </c>
      <c r="X20" s="4">
        <f t="shared" si="2"/>
        <v>70151582</v>
      </c>
      <c r="Y20" s="5">
        <f t="shared" si="3"/>
        <v>0.97734919284758692</v>
      </c>
    </row>
    <row r="21" spans="1:25" x14ac:dyDescent="0.25">
      <c r="A21" s="1" t="s">
        <v>51</v>
      </c>
      <c r="B21" s="1" t="s">
        <v>42</v>
      </c>
      <c r="C21" s="1" t="s">
        <v>27</v>
      </c>
      <c r="D21" s="1">
        <v>20822367</v>
      </c>
      <c r="E21" s="1">
        <v>0</v>
      </c>
      <c r="F21" s="1">
        <v>0</v>
      </c>
      <c r="G21" s="1">
        <v>20822367</v>
      </c>
      <c r="H21" s="1">
        <v>20822367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4">
        <f t="shared" si="1"/>
        <v>20822367</v>
      </c>
      <c r="X21" s="4">
        <f t="shared" si="2"/>
        <v>20822367</v>
      </c>
      <c r="Y21" s="5">
        <f t="shared" si="3"/>
        <v>1</v>
      </c>
    </row>
    <row r="22" spans="1:25" x14ac:dyDescent="0.25">
      <c r="A22" s="1" t="s">
        <v>51</v>
      </c>
      <c r="B22" s="1" t="s">
        <v>43</v>
      </c>
      <c r="C22" s="1" t="s">
        <v>31</v>
      </c>
      <c r="D22" s="1">
        <v>2934237.6533620418</v>
      </c>
      <c r="E22" s="1">
        <v>429865.59223844745</v>
      </c>
      <c r="F22" s="1">
        <v>429865.59223844745</v>
      </c>
      <c r="G22" s="1">
        <v>537331.9902980593</v>
      </c>
      <c r="H22" s="1">
        <v>537331.9902980593</v>
      </c>
      <c r="I22" s="1">
        <v>537331.9902980593</v>
      </c>
      <c r="J22" s="1">
        <v>537331.9902980593</v>
      </c>
      <c r="K22" s="1">
        <v>537331.9902980593</v>
      </c>
      <c r="L22" s="1">
        <v>537331.9902980593</v>
      </c>
      <c r="M22" s="1">
        <v>0</v>
      </c>
      <c r="N22" s="1">
        <v>0</v>
      </c>
      <c r="O22" s="1">
        <v>0</v>
      </c>
      <c r="P22" s="1">
        <v>0</v>
      </c>
      <c r="Q22" s="1">
        <v>551262.3147005965</v>
      </c>
      <c r="R22" s="1">
        <v>551262.3147005965</v>
      </c>
      <c r="S22" s="1">
        <v>0</v>
      </c>
      <c r="T22" s="1">
        <v>0</v>
      </c>
      <c r="U22" s="1">
        <v>0</v>
      </c>
      <c r="V22" s="1">
        <v>0</v>
      </c>
      <c r="W22" s="4">
        <f t="shared" si="1"/>
        <v>2593123.877833222</v>
      </c>
      <c r="X22" s="4">
        <f t="shared" si="2"/>
        <v>2593123.877833222</v>
      </c>
      <c r="Y22" s="5">
        <f t="shared" si="3"/>
        <v>0.88374705261587372</v>
      </c>
    </row>
    <row r="23" spans="1:25" x14ac:dyDescent="0.25">
      <c r="A23" s="1" t="s">
        <v>51</v>
      </c>
      <c r="B23" s="1" t="s">
        <v>44</v>
      </c>
      <c r="C23" s="1" t="s">
        <v>45</v>
      </c>
      <c r="D23" s="1">
        <v>173067.06936748541</v>
      </c>
      <c r="E23" s="1">
        <v>11422.426578254039</v>
      </c>
      <c r="F23" s="1">
        <v>11422.426578254039</v>
      </c>
      <c r="G23" s="1">
        <v>14278.033222817547</v>
      </c>
      <c r="H23" s="1">
        <v>14278.033222817547</v>
      </c>
      <c r="I23" s="1">
        <v>14278.033222817547</v>
      </c>
      <c r="J23" s="1">
        <v>14278.033222817547</v>
      </c>
      <c r="K23" s="1">
        <v>14278.033222817547</v>
      </c>
      <c r="L23" s="1">
        <v>14278.033222817547</v>
      </c>
      <c r="M23" s="1">
        <v>0</v>
      </c>
      <c r="N23" s="1">
        <v>0</v>
      </c>
      <c r="O23" s="1">
        <v>0</v>
      </c>
      <c r="P23" s="1">
        <v>0</v>
      </c>
      <c r="Q23" s="1">
        <v>81168.455533350629</v>
      </c>
      <c r="R23" s="1">
        <v>81168.455533350629</v>
      </c>
      <c r="S23" s="1">
        <v>0</v>
      </c>
      <c r="T23" s="1">
        <v>0</v>
      </c>
      <c r="U23" s="1">
        <v>0</v>
      </c>
      <c r="V23" s="1">
        <v>0</v>
      </c>
      <c r="W23" s="4">
        <f t="shared" si="1"/>
        <v>135424.98178005731</v>
      </c>
      <c r="X23" s="4">
        <f t="shared" si="2"/>
        <v>135424.98178005731</v>
      </c>
      <c r="Y23" s="5">
        <f t="shared" si="3"/>
        <v>0.78249999999999986</v>
      </c>
    </row>
    <row r="24" spans="1:25" x14ac:dyDescent="0.25">
      <c r="A24" s="1" t="s">
        <v>51</v>
      </c>
      <c r="B24" s="1" t="s">
        <v>46</v>
      </c>
      <c r="C24" s="1" t="s">
        <v>22</v>
      </c>
      <c r="D24" s="1">
        <v>113133847.40931363</v>
      </c>
      <c r="E24" s="1">
        <v>7473828.3104101736</v>
      </c>
      <c r="F24" s="1">
        <v>7473828.3104101736</v>
      </c>
      <c r="G24" s="1">
        <v>9342285.3880127165</v>
      </c>
      <c r="H24" s="1">
        <v>9342285.3880127165</v>
      </c>
      <c r="I24" s="1">
        <v>9342285.3880127165</v>
      </c>
      <c r="J24" s="1">
        <v>9342285.3880127165</v>
      </c>
      <c r="K24" s="1">
        <v>9342285.3880127165</v>
      </c>
      <c r="L24" s="1">
        <v>9342285.3880127165</v>
      </c>
      <c r="M24" s="1">
        <v>5861976.9210978905</v>
      </c>
      <c r="N24" s="1">
        <v>5861976.9210978905</v>
      </c>
      <c r="O24" s="1">
        <v>4766898.0507513816</v>
      </c>
      <c r="P24" s="1">
        <v>4766898.0507513816</v>
      </c>
      <c r="Q24" s="1">
        <v>6599474.432209962</v>
      </c>
      <c r="R24" s="1">
        <v>6599474.432209962</v>
      </c>
      <c r="S24" s="1">
        <v>6599474.432209962</v>
      </c>
      <c r="T24" s="1">
        <v>6599474.432209962</v>
      </c>
      <c r="U24" s="1">
        <v>6599474.432209962</v>
      </c>
      <c r="V24" s="1">
        <v>6599474.432209962</v>
      </c>
      <c r="W24" s="4">
        <f t="shared" si="1"/>
        <v>65927982.742927477</v>
      </c>
      <c r="X24" s="4">
        <f t="shared" si="2"/>
        <v>65927982.742927477</v>
      </c>
      <c r="Y24" s="5">
        <f t="shared" si="3"/>
        <v>0.58274322187950289</v>
      </c>
    </row>
    <row r="25" spans="1:25" x14ac:dyDescent="0.25">
      <c r="A25" s="1" t="s">
        <v>51</v>
      </c>
      <c r="B25" s="1" t="s">
        <v>47</v>
      </c>
      <c r="C25" s="1" t="s">
        <v>34</v>
      </c>
      <c r="D25" s="1">
        <v>171234388.30985916</v>
      </c>
      <c r="E25" s="1">
        <v>0</v>
      </c>
      <c r="F25" s="1">
        <v>0</v>
      </c>
      <c r="G25" s="1">
        <v>11275573.93253685</v>
      </c>
      <c r="H25" s="1">
        <v>11275573.93253685</v>
      </c>
      <c r="I25" s="1">
        <v>0</v>
      </c>
      <c r="J25" s="1">
        <v>0</v>
      </c>
      <c r="K25" s="1">
        <v>0</v>
      </c>
      <c r="L25" s="1">
        <v>0</v>
      </c>
      <c r="M25" s="1">
        <v>79979407.188661158</v>
      </c>
      <c r="N25" s="1">
        <v>79979407.188661158</v>
      </c>
      <c r="O25" s="1">
        <v>0</v>
      </c>
      <c r="P25" s="1">
        <v>0</v>
      </c>
      <c r="Q25" s="1">
        <v>0</v>
      </c>
      <c r="R25" s="1">
        <v>0</v>
      </c>
      <c r="S25" s="1">
        <v>79979407.188661158</v>
      </c>
      <c r="T25" s="1">
        <v>79979407.188661158</v>
      </c>
      <c r="U25" s="1">
        <v>0</v>
      </c>
      <c r="V25" s="1">
        <v>0</v>
      </c>
      <c r="W25" s="4">
        <f t="shared" si="1"/>
        <v>171234388.30985916</v>
      </c>
      <c r="X25" s="4">
        <f t="shared" si="2"/>
        <v>171234388.30985916</v>
      </c>
      <c r="Y25" s="5">
        <f t="shared" si="3"/>
        <v>1</v>
      </c>
    </row>
    <row r="26" spans="1:25" x14ac:dyDescent="0.25">
      <c r="A26" s="1" t="s">
        <v>51</v>
      </c>
      <c r="B26" s="1" t="s">
        <v>48</v>
      </c>
      <c r="C26" s="1" t="s">
        <v>49</v>
      </c>
      <c r="D26" s="1">
        <v>6024528.0438208515</v>
      </c>
      <c r="E26" s="1">
        <v>397618.85089217621</v>
      </c>
      <c r="F26" s="1">
        <v>397618.85089217621</v>
      </c>
      <c r="G26" s="1">
        <v>497023.56361522025</v>
      </c>
      <c r="H26" s="1">
        <v>497023.56361522025</v>
      </c>
      <c r="I26" s="1">
        <v>497023.56361522025</v>
      </c>
      <c r="J26" s="1">
        <v>497023.56361522025</v>
      </c>
      <c r="K26" s="1">
        <v>497023.56361522025</v>
      </c>
      <c r="L26" s="1">
        <v>497023.56361522025</v>
      </c>
      <c r="M26" s="1">
        <v>302732.53420199768</v>
      </c>
      <c r="N26" s="1">
        <v>302732.53420199768</v>
      </c>
      <c r="O26" s="1">
        <v>252277.1118349981</v>
      </c>
      <c r="P26" s="1">
        <v>252277.1118349981</v>
      </c>
      <c r="Q26" s="1">
        <v>353187.9565689973</v>
      </c>
      <c r="R26" s="1">
        <v>353187.9565689973</v>
      </c>
      <c r="S26" s="1">
        <v>353187.9565689973</v>
      </c>
      <c r="T26" s="1">
        <v>353187.9565689973</v>
      </c>
      <c r="U26" s="1">
        <v>353187.9565689973</v>
      </c>
      <c r="V26" s="1">
        <v>353187.9565689973</v>
      </c>
      <c r="W26" s="4">
        <f t="shared" si="1"/>
        <v>3503263.0574818244</v>
      </c>
      <c r="X26" s="4">
        <f t="shared" si="2"/>
        <v>3503263.0574818244</v>
      </c>
      <c r="Y26" s="5">
        <f t="shared" si="3"/>
        <v>0.58149999999999991</v>
      </c>
    </row>
    <row r="27" spans="1:25" x14ac:dyDescent="0.25">
      <c r="A27" s="1" t="s">
        <v>51</v>
      </c>
      <c r="B27" s="1" t="s">
        <v>50</v>
      </c>
      <c r="C27" s="1" t="s">
        <v>25</v>
      </c>
      <c r="D27" s="1">
        <v>6325754.4460118925</v>
      </c>
      <c r="E27" s="1">
        <v>417499.793436785</v>
      </c>
      <c r="F27" s="1">
        <v>417499.793436785</v>
      </c>
      <c r="G27" s="1">
        <v>521874.74179598119</v>
      </c>
      <c r="H27" s="1">
        <v>521874.74179598119</v>
      </c>
      <c r="I27" s="1">
        <v>521874.74179598119</v>
      </c>
      <c r="J27" s="1">
        <v>521874.74179598119</v>
      </c>
      <c r="K27" s="1">
        <v>521874.74179598119</v>
      </c>
      <c r="L27" s="1">
        <v>521874.74179598119</v>
      </c>
      <c r="M27" s="1">
        <v>317869.16091209761</v>
      </c>
      <c r="N27" s="1">
        <v>317869.16091209761</v>
      </c>
      <c r="O27" s="1">
        <v>264890.96742674801</v>
      </c>
      <c r="P27" s="1">
        <v>264890.96742674801</v>
      </c>
      <c r="Q27" s="1">
        <v>370847.3543974472</v>
      </c>
      <c r="R27" s="1">
        <v>370847.3543974472</v>
      </c>
      <c r="S27" s="1">
        <v>370847.3543974472</v>
      </c>
      <c r="T27" s="1">
        <v>370847.3543974472</v>
      </c>
      <c r="U27" s="1">
        <v>370847.3543974472</v>
      </c>
      <c r="V27" s="1">
        <v>370847.3543974472</v>
      </c>
      <c r="W27" s="4">
        <f t="shared" si="1"/>
        <v>3678426.2103559161</v>
      </c>
      <c r="X27" s="4">
        <f t="shared" si="2"/>
        <v>3678426.2103559161</v>
      </c>
      <c r="Y27" s="5">
        <f t="shared" si="3"/>
        <v>0.58150000000000013</v>
      </c>
    </row>
    <row r="28" spans="1:25" x14ac:dyDescent="0.25">
      <c r="A28" s="1" t="s">
        <v>52</v>
      </c>
      <c r="B28" s="1" t="s">
        <v>33</v>
      </c>
      <c r="C28" s="1" t="s">
        <v>34</v>
      </c>
      <c r="D28" s="1">
        <v>12000000</v>
      </c>
      <c r="E28" s="1">
        <v>0</v>
      </c>
      <c r="F28" s="1">
        <v>0</v>
      </c>
      <c r="G28" s="1">
        <v>2400000</v>
      </c>
      <c r="H28" s="1">
        <v>2400000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7200000</v>
      </c>
      <c r="P28" s="1">
        <v>7200000</v>
      </c>
      <c r="Q28" s="1">
        <v>0</v>
      </c>
      <c r="R28" s="1">
        <v>0</v>
      </c>
      <c r="S28" s="1">
        <v>0</v>
      </c>
      <c r="T28" s="1">
        <v>0</v>
      </c>
      <c r="U28" s="1">
        <v>2400000</v>
      </c>
      <c r="V28" s="1">
        <v>2400000</v>
      </c>
      <c r="W28" s="4">
        <f t="shared" si="1"/>
        <v>12000000</v>
      </c>
      <c r="X28" s="4">
        <f t="shared" si="2"/>
        <v>12000000</v>
      </c>
      <c r="Y28" s="5">
        <f t="shared" si="3"/>
        <v>1</v>
      </c>
    </row>
    <row r="29" spans="1:25" x14ac:dyDescent="0.25">
      <c r="A29" s="1" t="s">
        <v>52</v>
      </c>
      <c r="B29" s="1" t="s">
        <v>35</v>
      </c>
      <c r="C29" s="1" t="s">
        <v>34</v>
      </c>
      <c r="D29" s="1">
        <v>30000000</v>
      </c>
      <c r="E29" s="1">
        <v>0</v>
      </c>
      <c r="F29" s="1">
        <v>0</v>
      </c>
      <c r="G29" s="1">
        <v>8250000</v>
      </c>
      <c r="H29" s="1">
        <v>8250000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7250000</v>
      </c>
      <c r="P29" s="1">
        <v>7250000</v>
      </c>
      <c r="Q29" s="1">
        <v>0</v>
      </c>
      <c r="R29" s="1">
        <v>0</v>
      </c>
      <c r="S29" s="1">
        <v>7250000</v>
      </c>
      <c r="T29" s="1">
        <v>7250000</v>
      </c>
      <c r="U29" s="1">
        <v>7250000</v>
      </c>
      <c r="V29" s="1">
        <v>7250000</v>
      </c>
      <c r="W29" s="4">
        <f t="shared" si="1"/>
        <v>30000000</v>
      </c>
      <c r="X29" s="4">
        <f t="shared" si="2"/>
        <v>30000000</v>
      </c>
      <c r="Y29" s="5">
        <f t="shared" si="3"/>
        <v>1</v>
      </c>
    </row>
    <row r="30" spans="1:25" x14ac:dyDescent="0.25">
      <c r="A30" s="1" t="s">
        <v>52</v>
      </c>
      <c r="B30" s="1" t="s">
        <v>36</v>
      </c>
      <c r="C30" s="1" t="s">
        <v>37</v>
      </c>
      <c r="D30" s="1">
        <v>500000000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4">
        <f t="shared" si="1"/>
        <v>0</v>
      </c>
      <c r="X30" s="4">
        <f t="shared" si="2"/>
        <v>0</v>
      </c>
      <c r="Y30" s="5">
        <f t="shared" si="3"/>
        <v>0</v>
      </c>
    </row>
    <row r="31" spans="1:25" x14ac:dyDescent="0.25">
      <c r="A31" s="1" t="s">
        <v>52</v>
      </c>
      <c r="B31" s="1" t="s">
        <v>38</v>
      </c>
      <c r="C31" s="1" t="s">
        <v>39</v>
      </c>
      <c r="D31" s="1">
        <v>173067.06936748559</v>
      </c>
      <c r="E31" s="1">
        <v>11422.42657825405</v>
      </c>
      <c r="F31" s="1">
        <v>11422.42657825405</v>
      </c>
      <c r="G31" s="1">
        <v>14278.033222817561</v>
      </c>
      <c r="H31" s="1">
        <v>14278.033222817561</v>
      </c>
      <c r="I31" s="1">
        <v>14278.033222817561</v>
      </c>
      <c r="J31" s="1">
        <v>14278.033222817561</v>
      </c>
      <c r="K31" s="1">
        <v>14278.033222817561</v>
      </c>
      <c r="L31" s="1">
        <v>14278.033222817561</v>
      </c>
      <c r="M31" s="1">
        <v>69572.961885729223</v>
      </c>
      <c r="N31" s="1">
        <v>69572.961885729223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4">
        <f t="shared" si="1"/>
        <v>123829.48813243593</v>
      </c>
      <c r="X31" s="4">
        <f t="shared" si="2"/>
        <v>123829.48813243593</v>
      </c>
      <c r="Y31" s="5">
        <f t="shared" si="3"/>
        <v>0.71549999999999991</v>
      </c>
    </row>
    <row r="32" spans="1:25" x14ac:dyDescent="0.25">
      <c r="A32" s="1" t="s">
        <v>52</v>
      </c>
      <c r="B32" s="1" t="s">
        <v>40</v>
      </c>
      <c r="C32" s="1" t="s">
        <v>27</v>
      </c>
      <c r="D32" s="1">
        <v>79142257</v>
      </c>
      <c r="E32" s="1">
        <v>3512550.6666667</v>
      </c>
      <c r="F32" s="1">
        <v>3512550.6666667</v>
      </c>
      <c r="G32" s="1">
        <v>5675009</v>
      </c>
      <c r="H32" s="1">
        <v>5675009</v>
      </c>
      <c r="I32" s="1">
        <v>3590525</v>
      </c>
      <c r="J32" s="1">
        <v>3590525</v>
      </c>
      <c r="K32" s="1">
        <v>5164511.3333333004</v>
      </c>
      <c r="L32" s="1">
        <v>5164511.3333333004</v>
      </c>
      <c r="M32" s="1">
        <v>12750000</v>
      </c>
      <c r="N32" s="1">
        <v>12750000</v>
      </c>
      <c r="O32" s="1">
        <v>20397898</v>
      </c>
      <c r="P32" s="1">
        <v>20397898</v>
      </c>
      <c r="Q32" s="1">
        <v>8442511.3333333321</v>
      </c>
      <c r="R32" s="1">
        <v>8442511.3333333321</v>
      </c>
      <c r="S32" s="1">
        <v>3390008.9933333397</v>
      </c>
      <c r="T32" s="1">
        <v>3390008.9933333397</v>
      </c>
      <c r="U32" s="1">
        <v>6500229</v>
      </c>
      <c r="V32" s="1">
        <v>6500229</v>
      </c>
      <c r="W32" s="4">
        <f t="shared" si="1"/>
        <v>69423243.326666668</v>
      </c>
      <c r="X32" s="4">
        <f t="shared" si="2"/>
        <v>69423243.326666668</v>
      </c>
      <c r="Y32" s="5">
        <f t="shared" si="3"/>
        <v>0.87719564690537788</v>
      </c>
    </row>
    <row r="33" spans="1:25" x14ac:dyDescent="0.25">
      <c r="A33" s="1" t="s">
        <v>52</v>
      </c>
      <c r="B33" s="1" t="s">
        <v>41</v>
      </c>
      <c r="C33" s="1" t="s">
        <v>27</v>
      </c>
      <c r="D33" s="1">
        <v>43419688</v>
      </c>
      <c r="E33" s="1">
        <v>0</v>
      </c>
      <c r="F33" s="1">
        <v>0</v>
      </c>
      <c r="G33" s="1">
        <v>11307116</v>
      </c>
      <c r="H33" s="1">
        <v>11307116</v>
      </c>
      <c r="I33" s="1">
        <v>4040253.8587022275</v>
      </c>
      <c r="J33" s="1">
        <v>4040253.8587022275</v>
      </c>
      <c r="K33" s="1">
        <v>0</v>
      </c>
      <c r="L33" s="1">
        <v>0</v>
      </c>
      <c r="M33" s="1">
        <v>9350241.8029866647</v>
      </c>
      <c r="N33" s="1">
        <v>9350241.8029866647</v>
      </c>
      <c r="O33" s="1">
        <v>9371834.5353244431</v>
      </c>
      <c r="P33" s="1">
        <v>9371834.5353244431</v>
      </c>
      <c r="Q33" s="1">
        <v>9350241.8029866647</v>
      </c>
      <c r="R33" s="1">
        <v>9350241.8029866647</v>
      </c>
      <c r="S33" s="1">
        <v>0</v>
      </c>
      <c r="T33" s="1">
        <v>0</v>
      </c>
      <c r="U33" s="1">
        <v>0</v>
      </c>
      <c r="V33" s="1">
        <v>0</v>
      </c>
      <c r="W33" s="4">
        <f t="shared" si="1"/>
        <v>43419688</v>
      </c>
      <c r="X33" s="4">
        <f t="shared" si="2"/>
        <v>43419688</v>
      </c>
      <c r="Y33" s="5">
        <f t="shared" si="3"/>
        <v>1</v>
      </c>
    </row>
    <row r="34" spans="1:25" x14ac:dyDescent="0.25">
      <c r="A34" s="1" t="s">
        <v>52</v>
      </c>
      <c r="B34" s="1" t="s">
        <v>42</v>
      </c>
      <c r="C34" s="1" t="s">
        <v>27</v>
      </c>
      <c r="D34" s="1">
        <v>10679815</v>
      </c>
      <c r="E34" s="1">
        <v>10679815</v>
      </c>
      <c r="F34" s="1">
        <v>10679815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4">
        <f t="shared" si="1"/>
        <v>10679815</v>
      </c>
      <c r="X34" s="4">
        <f t="shared" si="2"/>
        <v>10679815</v>
      </c>
      <c r="Y34" s="5">
        <f t="shared" si="3"/>
        <v>1</v>
      </c>
    </row>
    <row r="35" spans="1:25" x14ac:dyDescent="0.25">
      <c r="A35" s="1" t="s">
        <v>52</v>
      </c>
      <c r="B35" s="1" t="s">
        <v>43</v>
      </c>
      <c r="C35" s="1" t="s">
        <v>31</v>
      </c>
      <c r="D35" s="1">
        <v>2136975.3411420039</v>
      </c>
      <c r="E35" s="1">
        <v>313066.72397167597</v>
      </c>
      <c r="F35" s="1">
        <v>313066.72397167597</v>
      </c>
      <c r="G35" s="1">
        <v>391333.40496459493</v>
      </c>
      <c r="H35" s="1">
        <v>391333.40496459493</v>
      </c>
      <c r="I35" s="1">
        <v>391333.40496459493</v>
      </c>
      <c r="J35" s="1">
        <v>391333.40496459493</v>
      </c>
      <c r="K35" s="1">
        <v>391333.40496459493</v>
      </c>
      <c r="L35" s="1">
        <v>391333.40496459493</v>
      </c>
      <c r="M35" s="1">
        <v>0</v>
      </c>
      <c r="N35" s="1">
        <v>0</v>
      </c>
      <c r="O35" s="1">
        <v>0</v>
      </c>
      <c r="P35" s="1">
        <v>0</v>
      </c>
      <c r="Q35" s="1">
        <v>401478.71806550055</v>
      </c>
      <c r="R35" s="1">
        <v>401478.71806550055</v>
      </c>
      <c r="S35" s="1">
        <v>0</v>
      </c>
      <c r="T35" s="1">
        <v>0</v>
      </c>
      <c r="U35" s="1">
        <v>0</v>
      </c>
      <c r="V35" s="1">
        <v>0</v>
      </c>
      <c r="W35" s="4">
        <f t="shared" si="1"/>
        <v>1888545.6569309612</v>
      </c>
      <c r="X35" s="4">
        <f t="shared" si="2"/>
        <v>1888545.6569309612</v>
      </c>
      <c r="Y35" s="5">
        <f t="shared" si="3"/>
        <v>0.88374705153205868</v>
      </c>
    </row>
    <row r="36" spans="1:25" x14ac:dyDescent="0.25">
      <c r="A36" s="1" t="s">
        <v>52</v>
      </c>
      <c r="B36" s="1" t="s">
        <v>44</v>
      </c>
      <c r="C36" s="1" t="s">
        <v>45</v>
      </c>
      <c r="D36" s="1">
        <v>173067.06936748559</v>
      </c>
      <c r="E36" s="1">
        <v>11422.42657825405</v>
      </c>
      <c r="F36" s="1">
        <v>11422.42657825405</v>
      </c>
      <c r="G36" s="1">
        <v>14278.033222817561</v>
      </c>
      <c r="H36" s="1">
        <v>14278.033222817561</v>
      </c>
      <c r="I36" s="1">
        <v>14278.033222817561</v>
      </c>
      <c r="J36" s="1">
        <v>14278.033222817561</v>
      </c>
      <c r="K36" s="1">
        <v>14278.033222817561</v>
      </c>
      <c r="L36" s="1">
        <v>14278.033222817561</v>
      </c>
      <c r="M36" s="1">
        <v>0</v>
      </c>
      <c r="N36" s="1">
        <v>0</v>
      </c>
      <c r="O36" s="1">
        <v>0</v>
      </c>
      <c r="P36" s="1">
        <v>0</v>
      </c>
      <c r="Q36" s="1">
        <v>81168.45553335076</v>
      </c>
      <c r="R36" s="1">
        <v>81168.45553335076</v>
      </c>
      <c r="S36" s="1">
        <v>0</v>
      </c>
      <c r="T36" s="1">
        <v>0</v>
      </c>
      <c r="U36" s="1">
        <v>0</v>
      </c>
      <c r="V36" s="1">
        <v>0</v>
      </c>
      <c r="W36" s="4">
        <f t="shared" si="1"/>
        <v>135424.98178005748</v>
      </c>
      <c r="X36" s="4">
        <f t="shared" si="2"/>
        <v>135424.98178005748</v>
      </c>
      <c r="Y36" s="5">
        <f t="shared" si="3"/>
        <v>0.78250000000000008</v>
      </c>
    </row>
    <row r="37" spans="1:25" x14ac:dyDescent="0.25">
      <c r="A37" s="1" t="s">
        <v>52</v>
      </c>
      <c r="B37" s="1" t="s">
        <v>46</v>
      </c>
      <c r="C37" s="1" t="s">
        <v>22</v>
      </c>
      <c r="D37" s="1">
        <v>48761289.115422517</v>
      </c>
      <c r="E37" s="1">
        <v>3221259.6971482346</v>
      </c>
      <c r="F37" s="1">
        <v>3221259.6971482346</v>
      </c>
      <c r="G37" s="1">
        <v>4026574.621435293</v>
      </c>
      <c r="H37" s="1">
        <v>4026574.621435293</v>
      </c>
      <c r="I37" s="1">
        <v>4026574.621435293</v>
      </c>
      <c r="J37" s="1">
        <v>4026574.621435293</v>
      </c>
      <c r="K37" s="1">
        <v>4026574.621435293</v>
      </c>
      <c r="L37" s="1">
        <v>4026574.621435293</v>
      </c>
      <c r="M37" s="1">
        <v>2526543.187410926</v>
      </c>
      <c r="N37" s="1">
        <v>2526543.187410926</v>
      </c>
      <c r="O37" s="1">
        <v>2054558.3780552708</v>
      </c>
      <c r="P37" s="1">
        <v>2054558.3780552708</v>
      </c>
      <c r="Q37" s="1">
        <v>2844408.5317329778</v>
      </c>
      <c r="R37" s="1">
        <v>2844408.5317329778</v>
      </c>
      <c r="S37" s="1">
        <v>2844408.5317329802</v>
      </c>
      <c r="T37" s="1">
        <v>2844408.5317329802</v>
      </c>
      <c r="U37" s="1">
        <v>2844408.5317329802</v>
      </c>
      <c r="V37" s="1">
        <v>2844408.5317329802</v>
      </c>
      <c r="W37" s="4">
        <f t="shared" si="1"/>
        <v>28415310.722119246</v>
      </c>
      <c r="X37" s="4">
        <f t="shared" si="2"/>
        <v>28415310.722119246</v>
      </c>
      <c r="Y37" s="5">
        <f t="shared" si="3"/>
        <v>0.58274322187950278</v>
      </c>
    </row>
    <row r="38" spans="1:25" x14ac:dyDescent="0.25">
      <c r="A38" s="1" t="s">
        <v>52</v>
      </c>
      <c r="B38" s="1" t="s">
        <v>47</v>
      </c>
      <c r="C38" s="1" t="s">
        <v>34</v>
      </c>
      <c r="D38" s="1">
        <v>171234388.30985916</v>
      </c>
      <c r="E38" s="1">
        <v>0</v>
      </c>
      <c r="F38" s="1">
        <v>0</v>
      </c>
      <c r="G38" s="1">
        <v>11275573.93253685</v>
      </c>
      <c r="H38" s="1">
        <v>11275573.93253685</v>
      </c>
      <c r="I38" s="1">
        <v>20000000</v>
      </c>
      <c r="J38" s="1">
        <v>20000000</v>
      </c>
      <c r="K38" s="1">
        <v>0</v>
      </c>
      <c r="L38" s="1">
        <v>0</v>
      </c>
      <c r="M38" s="1">
        <v>59979407.188661203</v>
      </c>
      <c r="N38" s="1">
        <v>59979407.188661203</v>
      </c>
      <c r="O38" s="1">
        <v>0</v>
      </c>
      <c r="P38" s="1">
        <v>0</v>
      </c>
      <c r="Q38" s="1">
        <v>0</v>
      </c>
      <c r="R38" s="1">
        <v>0</v>
      </c>
      <c r="S38" s="1">
        <v>79979407.188661158</v>
      </c>
      <c r="T38" s="1">
        <v>79979407.188661158</v>
      </c>
      <c r="U38" s="1">
        <v>0</v>
      </c>
      <c r="V38" s="1">
        <v>0</v>
      </c>
      <c r="W38" s="4">
        <f t="shared" si="1"/>
        <v>171234388.30985922</v>
      </c>
      <c r="X38" s="4">
        <f t="shared" si="2"/>
        <v>171234388.30985922</v>
      </c>
      <c r="Y38" s="5">
        <f t="shared" si="3"/>
        <v>1.0000000000000004</v>
      </c>
    </row>
    <row r="39" spans="1:25" x14ac:dyDescent="0.25">
      <c r="A39" s="1" t="s">
        <v>52</v>
      </c>
      <c r="B39" s="1" t="s">
        <v>48</v>
      </c>
      <c r="C39" s="1" t="s">
        <v>49</v>
      </c>
      <c r="D39" s="1">
        <v>5028661.7284917152</v>
      </c>
      <c r="E39" s="1">
        <v>331891.67408045323</v>
      </c>
      <c r="F39" s="1">
        <v>331891.67408045323</v>
      </c>
      <c r="G39" s="1">
        <v>414864.59260056651</v>
      </c>
      <c r="H39" s="1">
        <v>414864.59260056651</v>
      </c>
      <c r="I39" s="1">
        <v>414864.59260056651</v>
      </c>
      <c r="J39" s="1">
        <v>414864.59260056651</v>
      </c>
      <c r="K39" s="1">
        <v>414864.59260056651</v>
      </c>
      <c r="L39" s="1">
        <v>414864.59260056651</v>
      </c>
      <c r="M39" s="1">
        <v>252690.25185670872</v>
      </c>
      <c r="N39" s="1">
        <v>252690.25185670872</v>
      </c>
      <c r="O39" s="1">
        <v>210575.20988059061</v>
      </c>
      <c r="P39" s="1">
        <v>210575.20988059061</v>
      </c>
      <c r="Q39" s="1">
        <v>294805.29383282684</v>
      </c>
      <c r="R39" s="1">
        <v>294805.29383282684</v>
      </c>
      <c r="S39" s="1">
        <v>294805.29383282684</v>
      </c>
      <c r="T39" s="1">
        <v>294805.29383282684</v>
      </c>
      <c r="U39" s="1">
        <v>294805.29383282684</v>
      </c>
      <c r="V39" s="1">
        <v>294805.29383282684</v>
      </c>
      <c r="W39" s="4">
        <f t="shared" si="1"/>
        <v>2924166.7951179324</v>
      </c>
      <c r="X39" s="4">
        <f t="shared" si="2"/>
        <v>2924166.7951179324</v>
      </c>
      <c r="Y39" s="5">
        <f t="shared" si="3"/>
        <v>0.58150000000000002</v>
      </c>
    </row>
    <row r="40" spans="1:25" x14ac:dyDescent="0.25">
      <c r="A40" s="1" t="s">
        <v>52</v>
      </c>
      <c r="B40" s="1" t="s">
        <v>53</v>
      </c>
      <c r="C40" s="1" t="s">
        <v>30</v>
      </c>
      <c r="D40" s="1">
        <v>8803809.7835806534</v>
      </c>
      <c r="E40" s="1">
        <v>581051.44571632321</v>
      </c>
      <c r="F40" s="1">
        <v>581051.44571632321</v>
      </c>
      <c r="G40" s="1">
        <v>726314.30714540393</v>
      </c>
      <c r="H40" s="1">
        <v>726314.30714540393</v>
      </c>
      <c r="I40" s="1">
        <v>726314.30714540393</v>
      </c>
      <c r="J40" s="1">
        <v>726314.30714540393</v>
      </c>
      <c r="K40" s="1">
        <v>726314.30714540393</v>
      </c>
      <c r="L40" s="1">
        <v>726314.30714540393</v>
      </c>
      <c r="M40" s="1">
        <v>442391.4416249278</v>
      </c>
      <c r="N40" s="1">
        <v>442391.4416249278</v>
      </c>
      <c r="O40" s="1">
        <v>368659.53468743985</v>
      </c>
      <c r="P40" s="1">
        <v>368659.53468743985</v>
      </c>
      <c r="Q40" s="1">
        <v>516123.34856241575</v>
      </c>
      <c r="R40" s="1">
        <v>516123.34856241575</v>
      </c>
      <c r="S40" s="1">
        <v>516123.34856241575</v>
      </c>
      <c r="T40" s="1">
        <v>516123.34856241575</v>
      </c>
      <c r="U40" s="1">
        <v>516123.34856241575</v>
      </c>
      <c r="V40" s="1">
        <v>516123.34856241575</v>
      </c>
      <c r="W40" s="4">
        <f t="shared" si="1"/>
        <v>5119415.3891521497</v>
      </c>
      <c r="X40" s="4">
        <f t="shared" si="2"/>
        <v>5119415.3891521497</v>
      </c>
      <c r="Y40" s="5">
        <f t="shared" si="3"/>
        <v>0.58150000000000002</v>
      </c>
    </row>
    <row r="41" spans="1:25" x14ac:dyDescent="0.25">
      <c r="A41" s="1" t="s">
        <v>52</v>
      </c>
      <c r="B41" s="1" t="s">
        <v>50</v>
      </c>
      <c r="C41" s="1" t="s">
        <v>25</v>
      </c>
      <c r="D41" s="1">
        <v>5280094.8149162997</v>
      </c>
      <c r="E41" s="1">
        <v>348486.25778447581</v>
      </c>
      <c r="F41" s="1">
        <v>348486.25778447581</v>
      </c>
      <c r="G41" s="1">
        <v>435607.82223059476</v>
      </c>
      <c r="H41" s="1">
        <v>435607.82223059476</v>
      </c>
      <c r="I41" s="1">
        <v>435607.82223059476</v>
      </c>
      <c r="J41" s="1">
        <v>435607.82223059476</v>
      </c>
      <c r="K41" s="1">
        <v>435607.82223059476</v>
      </c>
      <c r="L41" s="1">
        <v>435607.82223059476</v>
      </c>
      <c r="M41" s="1">
        <v>265324.76444954408</v>
      </c>
      <c r="N41" s="1">
        <v>265324.76444954408</v>
      </c>
      <c r="O41" s="1">
        <v>221103.97037462005</v>
      </c>
      <c r="P41" s="1">
        <v>221103.97037462005</v>
      </c>
      <c r="Q41" s="1">
        <v>309545.55852446804</v>
      </c>
      <c r="R41" s="1">
        <v>309545.55852446804</v>
      </c>
      <c r="S41" s="1">
        <v>309545.55852446804</v>
      </c>
      <c r="T41" s="1">
        <v>309545.55852446804</v>
      </c>
      <c r="U41" s="1">
        <v>309545.55852446804</v>
      </c>
      <c r="V41" s="1">
        <v>309545.55852446804</v>
      </c>
      <c r="W41" s="4">
        <f t="shared" si="1"/>
        <v>3070375.1348738279</v>
      </c>
      <c r="X41" s="4">
        <f t="shared" si="2"/>
        <v>3070375.1348738279</v>
      </c>
      <c r="Y41" s="5">
        <f t="shared" si="3"/>
        <v>0.58149999999999991</v>
      </c>
    </row>
    <row r="42" spans="1:25" x14ac:dyDescent="0.25">
      <c r="A42" s="1" t="s">
        <v>54</v>
      </c>
      <c r="B42" s="1" t="s">
        <v>33</v>
      </c>
      <c r="C42" s="1" t="s">
        <v>34</v>
      </c>
      <c r="D42" s="1">
        <v>12000000</v>
      </c>
      <c r="E42" s="1">
        <v>0</v>
      </c>
      <c r="F42" s="1">
        <v>0</v>
      </c>
      <c r="G42" s="1">
        <v>2400000</v>
      </c>
      <c r="H42" s="1">
        <v>2400000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7200000</v>
      </c>
      <c r="P42" s="1">
        <v>7200000</v>
      </c>
      <c r="Q42" s="1">
        <v>0</v>
      </c>
      <c r="R42" s="1">
        <v>0</v>
      </c>
      <c r="S42" s="1">
        <v>0</v>
      </c>
      <c r="T42" s="1">
        <v>0</v>
      </c>
      <c r="U42" s="1">
        <v>2400000</v>
      </c>
      <c r="V42" s="1">
        <v>2400000</v>
      </c>
      <c r="W42" s="4">
        <f t="shared" si="1"/>
        <v>12000000</v>
      </c>
      <c r="X42" s="4">
        <f t="shared" si="2"/>
        <v>12000000</v>
      </c>
      <c r="Y42" s="5">
        <f t="shared" si="3"/>
        <v>1</v>
      </c>
    </row>
    <row r="43" spans="1:25" x14ac:dyDescent="0.25">
      <c r="A43" s="1" t="s">
        <v>54</v>
      </c>
      <c r="B43" s="1" t="s">
        <v>35</v>
      </c>
      <c r="C43" s="1" t="s">
        <v>34</v>
      </c>
      <c r="D43" s="1">
        <v>30000000</v>
      </c>
      <c r="E43" s="1">
        <v>0</v>
      </c>
      <c r="F43" s="1">
        <v>0</v>
      </c>
      <c r="G43" s="1">
        <v>8250000</v>
      </c>
      <c r="H43" s="1">
        <v>8250000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7250000</v>
      </c>
      <c r="P43" s="1">
        <v>7250000</v>
      </c>
      <c r="Q43" s="1">
        <v>0</v>
      </c>
      <c r="R43" s="1">
        <v>0</v>
      </c>
      <c r="S43" s="1">
        <v>7250000</v>
      </c>
      <c r="T43" s="1">
        <v>7250000</v>
      </c>
      <c r="U43" s="1">
        <v>7250000</v>
      </c>
      <c r="V43" s="1">
        <v>7250000</v>
      </c>
      <c r="W43" s="4">
        <f t="shared" si="1"/>
        <v>30000000</v>
      </c>
      <c r="X43" s="4">
        <f t="shared" si="2"/>
        <v>30000000</v>
      </c>
      <c r="Y43" s="5">
        <f t="shared" si="3"/>
        <v>1</v>
      </c>
    </row>
    <row r="44" spans="1:25" x14ac:dyDescent="0.25">
      <c r="A44" s="1" t="s">
        <v>54</v>
      </c>
      <c r="B44" s="1" t="s">
        <v>36</v>
      </c>
      <c r="C44" s="1" t="s">
        <v>37</v>
      </c>
      <c r="D44" s="1">
        <v>500000000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4">
        <f t="shared" si="1"/>
        <v>0</v>
      </c>
      <c r="X44" s="4">
        <f t="shared" si="2"/>
        <v>0</v>
      </c>
      <c r="Y44" s="5">
        <f t="shared" si="3"/>
        <v>0</v>
      </c>
    </row>
    <row r="45" spans="1:25" x14ac:dyDescent="0.25">
      <c r="A45" s="1" t="s">
        <v>54</v>
      </c>
      <c r="B45" s="1" t="s">
        <v>38</v>
      </c>
      <c r="C45" s="1" t="s">
        <v>39</v>
      </c>
      <c r="D45" s="1">
        <v>173067.06936748559</v>
      </c>
      <c r="E45" s="1">
        <v>11422.42657825405</v>
      </c>
      <c r="F45" s="1">
        <v>11422.42657825405</v>
      </c>
      <c r="G45" s="1">
        <v>14278.033222817561</v>
      </c>
      <c r="H45" s="1">
        <v>14278.033222817561</v>
      </c>
      <c r="I45" s="1">
        <v>14278.033222817561</v>
      </c>
      <c r="J45" s="1">
        <v>14278.033222817561</v>
      </c>
      <c r="K45" s="1">
        <v>14278.033222817561</v>
      </c>
      <c r="L45" s="1">
        <v>14278.033222817561</v>
      </c>
      <c r="M45" s="1">
        <v>69572.961885729223</v>
      </c>
      <c r="N45" s="1">
        <v>69572.961885729223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4">
        <f t="shared" si="1"/>
        <v>123829.48813243593</v>
      </c>
      <c r="X45" s="4">
        <f t="shared" si="2"/>
        <v>123829.48813243593</v>
      </c>
      <c r="Y45" s="5">
        <f t="shared" si="3"/>
        <v>0.71549999999999991</v>
      </c>
    </row>
    <row r="46" spans="1:25" x14ac:dyDescent="0.25">
      <c r="A46" s="1" t="s">
        <v>54</v>
      </c>
      <c r="B46" s="1" t="s">
        <v>40</v>
      </c>
      <c r="C46" s="1" t="s">
        <v>27</v>
      </c>
      <c r="D46" s="1">
        <v>45316769</v>
      </c>
      <c r="E46" s="1">
        <v>2421719</v>
      </c>
      <c r="F46" s="1">
        <v>2421719</v>
      </c>
      <c r="G46" s="1">
        <v>2135237</v>
      </c>
      <c r="H46" s="1">
        <v>2135237</v>
      </c>
      <c r="I46" s="1">
        <v>2125191</v>
      </c>
      <c r="J46" s="1">
        <v>2125191</v>
      </c>
      <c r="K46" s="1">
        <v>2370422.6358684152</v>
      </c>
      <c r="L46" s="1">
        <v>2370422.6358684152</v>
      </c>
      <c r="M46" s="1">
        <v>5400597.2730986886</v>
      </c>
      <c r="N46" s="1">
        <v>5400597.2730986886</v>
      </c>
      <c r="O46" s="1">
        <v>10941947.091032896</v>
      </c>
      <c r="P46" s="1">
        <v>10941947.091032896</v>
      </c>
      <c r="Q46" s="1">
        <v>2686719</v>
      </c>
      <c r="R46" s="1">
        <v>2686719</v>
      </c>
      <c r="S46" s="1">
        <v>4567177</v>
      </c>
      <c r="T46" s="1">
        <v>4567177</v>
      </c>
      <c r="U46" s="1">
        <v>5281692</v>
      </c>
      <c r="V46" s="1">
        <v>5281692</v>
      </c>
      <c r="W46" s="4">
        <f t="shared" si="1"/>
        <v>37930702</v>
      </c>
      <c r="X46" s="4">
        <f t="shared" si="2"/>
        <v>37930702</v>
      </c>
      <c r="Y46" s="5">
        <f t="shared" si="3"/>
        <v>0.83701249751499274</v>
      </c>
    </row>
    <row r="47" spans="1:25" x14ac:dyDescent="0.25">
      <c r="A47" s="1" t="s">
        <v>54</v>
      </c>
      <c r="B47" s="1" t="s">
        <v>41</v>
      </c>
      <c r="C47" s="1" t="s">
        <v>27</v>
      </c>
      <c r="D47" s="1">
        <v>15561264</v>
      </c>
      <c r="E47" s="1">
        <v>0</v>
      </c>
      <c r="F47" s="1">
        <v>0</v>
      </c>
      <c r="G47" s="1">
        <v>7561264</v>
      </c>
      <c r="H47" s="1">
        <v>7561264</v>
      </c>
      <c r="I47" s="1">
        <v>0</v>
      </c>
      <c r="J47" s="1">
        <v>0</v>
      </c>
      <c r="K47" s="1">
        <v>0</v>
      </c>
      <c r="L47" s="1">
        <v>0</v>
      </c>
      <c r="M47" s="1">
        <v>3000000</v>
      </c>
      <c r="N47" s="1">
        <v>3000000</v>
      </c>
      <c r="O47" s="1">
        <v>2000000</v>
      </c>
      <c r="P47" s="1">
        <v>2000000</v>
      </c>
      <c r="Q47" s="1">
        <v>3000000</v>
      </c>
      <c r="R47" s="1">
        <v>3000000</v>
      </c>
      <c r="S47" s="1">
        <v>0</v>
      </c>
      <c r="T47" s="1">
        <v>0</v>
      </c>
      <c r="U47" s="1">
        <v>0</v>
      </c>
      <c r="V47" s="1">
        <v>0</v>
      </c>
      <c r="W47" s="4">
        <f t="shared" si="1"/>
        <v>15561264</v>
      </c>
      <c r="X47" s="4">
        <f t="shared" si="2"/>
        <v>15561264</v>
      </c>
      <c r="Y47" s="5">
        <f t="shared" si="3"/>
        <v>1</v>
      </c>
    </row>
    <row r="48" spans="1:25" x14ac:dyDescent="0.25">
      <c r="A48" s="1" t="s">
        <v>54</v>
      </c>
      <c r="B48" s="1" t="s">
        <v>42</v>
      </c>
      <c r="C48" s="1" t="s">
        <v>27</v>
      </c>
      <c r="D48" s="1">
        <v>5187936</v>
      </c>
      <c r="E48" s="1">
        <v>0</v>
      </c>
      <c r="F48" s="1">
        <v>0</v>
      </c>
      <c r="G48" s="1">
        <v>0</v>
      </c>
      <c r="H48" s="1">
        <v>0</v>
      </c>
      <c r="I48" s="1">
        <v>5187936</v>
      </c>
      <c r="J48" s="1">
        <v>5187936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4">
        <f t="shared" si="1"/>
        <v>5187936</v>
      </c>
      <c r="X48" s="4">
        <f t="shared" si="2"/>
        <v>5187936</v>
      </c>
      <c r="Y48" s="5">
        <f t="shared" si="3"/>
        <v>1</v>
      </c>
    </row>
    <row r="49" spans="1:25" x14ac:dyDescent="0.25">
      <c r="A49" s="1" t="s">
        <v>54</v>
      </c>
      <c r="B49" s="1" t="s">
        <v>43</v>
      </c>
      <c r="C49" s="1" t="s">
        <v>31</v>
      </c>
      <c r="D49" s="1">
        <v>2413587.824770404</v>
      </c>
      <c r="E49" s="1">
        <v>353590.43165888498</v>
      </c>
      <c r="F49" s="1">
        <v>353590.43165888498</v>
      </c>
      <c r="G49" s="1">
        <v>441988.03957360616</v>
      </c>
      <c r="H49" s="1">
        <v>441988.03957360616</v>
      </c>
      <c r="I49" s="1">
        <v>441988.03957360616</v>
      </c>
      <c r="J49" s="1">
        <v>441988.03957360616</v>
      </c>
      <c r="K49" s="1">
        <v>441988.03957360616</v>
      </c>
      <c r="L49" s="1">
        <v>441988.03957360616</v>
      </c>
      <c r="M49" s="1">
        <v>0</v>
      </c>
      <c r="N49" s="1">
        <v>0</v>
      </c>
      <c r="O49" s="1">
        <v>0</v>
      </c>
      <c r="P49" s="1">
        <v>0</v>
      </c>
      <c r="Q49" s="1">
        <v>453446.57337481662</v>
      </c>
      <c r="R49" s="1">
        <v>453446.57337481662</v>
      </c>
      <c r="S49" s="1">
        <v>0</v>
      </c>
      <c r="T49" s="1">
        <v>0</v>
      </c>
      <c r="U49" s="1">
        <v>0</v>
      </c>
      <c r="V49" s="1">
        <v>0</v>
      </c>
      <c r="W49" s="4">
        <f t="shared" si="1"/>
        <v>2133001.12375452</v>
      </c>
      <c r="X49" s="4">
        <f t="shared" si="2"/>
        <v>2133001.12375452</v>
      </c>
      <c r="Y49" s="5">
        <f t="shared" si="3"/>
        <v>0.88374705153205879</v>
      </c>
    </row>
    <row r="50" spans="1:25" x14ac:dyDescent="0.25">
      <c r="A50" s="1" t="s">
        <v>54</v>
      </c>
      <c r="B50" s="1" t="s">
        <v>44</v>
      </c>
      <c r="C50" s="1" t="s">
        <v>45</v>
      </c>
      <c r="D50" s="1">
        <v>173067.06936748559</v>
      </c>
      <c r="E50" s="1">
        <v>11422.42657825405</v>
      </c>
      <c r="F50" s="1">
        <v>11422.42657825405</v>
      </c>
      <c r="G50" s="1">
        <v>14278.033222817561</v>
      </c>
      <c r="H50" s="1">
        <v>14278.033222817561</v>
      </c>
      <c r="I50" s="1">
        <v>14278.033222817561</v>
      </c>
      <c r="J50" s="1">
        <v>14278.033222817561</v>
      </c>
      <c r="K50" s="1">
        <v>14278.033222817561</v>
      </c>
      <c r="L50" s="1">
        <v>14278.033222817561</v>
      </c>
      <c r="M50" s="1">
        <v>0</v>
      </c>
      <c r="N50" s="1">
        <v>0</v>
      </c>
      <c r="O50" s="1">
        <v>0</v>
      </c>
      <c r="P50" s="1">
        <v>0</v>
      </c>
      <c r="Q50" s="1">
        <v>81168.45553335076</v>
      </c>
      <c r="R50" s="1">
        <v>81168.45553335076</v>
      </c>
      <c r="S50" s="1">
        <v>0</v>
      </c>
      <c r="T50" s="1">
        <v>0</v>
      </c>
      <c r="U50" s="1">
        <v>0</v>
      </c>
      <c r="V50" s="1">
        <v>0</v>
      </c>
      <c r="W50" s="4">
        <f t="shared" si="1"/>
        <v>135424.98178005748</v>
      </c>
      <c r="X50" s="4">
        <f t="shared" si="2"/>
        <v>135424.98178005748</v>
      </c>
      <c r="Y50" s="5">
        <f t="shared" si="3"/>
        <v>0.78250000000000008</v>
      </c>
    </row>
    <row r="51" spans="1:25" x14ac:dyDescent="0.25">
      <c r="A51" s="1" t="s">
        <v>54</v>
      </c>
      <c r="B51" s="1" t="s">
        <v>46</v>
      </c>
      <c r="C51" s="1" t="s">
        <v>22</v>
      </c>
      <c r="D51" s="1">
        <v>37112948.60693156</v>
      </c>
      <c r="E51" s="1">
        <v>2451749.0771594513</v>
      </c>
      <c r="F51" s="1">
        <v>2451749.0771594513</v>
      </c>
      <c r="G51" s="1">
        <v>3064686.3464493142</v>
      </c>
      <c r="H51" s="1">
        <v>3064686.3464493142</v>
      </c>
      <c r="I51" s="1">
        <v>3064686.3464493142</v>
      </c>
      <c r="J51" s="1">
        <v>3064686.3464493142</v>
      </c>
      <c r="K51" s="1">
        <v>3064686.3464493142</v>
      </c>
      <c r="L51" s="1">
        <v>3064686.3464493142</v>
      </c>
      <c r="M51" s="1">
        <v>1922989.9202545364</v>
      </c>
      <c r="N51" s="1">
        <v>1922989.9202545364</v>
      </c>
      <c r="O51" s="1">
        <v>1563755.2016767522</v>
      </c>
      <c r="P51" s="1">
        <v>1563755.2016767522</v>
      </c>
      <c r="Q51" s="1">
        <v>2164922.0020710076</v>
      </c>
      <c r="R51" s="1">
        <v>2164922.0020710076</v>
      </c>
      <c r="S51" s="1">
        <v>2164922.0020710076</v>
      </c>
      <c r="T51" s="1">
        <v>2164922.0020710076</v>
      </c>
      <c r="U51" s="1">
        <v>2164922.0020710076</v>
      </c>
      <c r="V51" s="1">
        <v>2164922.0020710076</v>
      </c>
      <c r="W51" s="4">
        <f t="shared" si="1"/>
        <v>21627319.244651705</v>
      </c>
      <c r="X51" s="4">
        <f t="shared" si="2"/>
        <v>21627319.244651705</v>
      </c>
      <c r="Y51" s="5">
        <f t="shared" si="3"/>
        <v>0.58274322187950289</v>
      </c>
    </row>
    <row r="52" spans="1:25" x14ac:dyDescent="0.25">
      <c r="A52" s="1" t="s">
        <v>54</v>
      </c>
      <c r="B52" s="1" t="s">
        <v>47</v>
      </c>
      <c r="C52" s="1" t="s">
        <v>34</v>
      </c>
      <c r="D52" s="1">
        <v>171234388.30985916</v>
      </c>
      <c r="E52" s="1">
        <v>0</v>
      </c>
      <c r="F52" s="1">
        <v>0</v>
      </c>
      <c r="G52" s="1">
        <v>11275573.93253685</v>
      </c>
      <c r="H52" s="1">
        <v>11275573.93253685</v>
      </c>
      <c r="I52" s="1">
        <v>30094742.067463201</v>
      </c>
      <c r="J52" s="1">
        <v>30094742.067463201</v>
      </c>
      <c r="K52" s="1">
        <v>0</v>
      </c>
      <c r="L52" s="1">
        <v>0</v>
      </c>
      <c r="M52" s="1">
        <v>79979407.188661158</v>
      </c>
      <c r="N52" s="1">
        <v>79979407.188661158</v>
      </c>
      <c r="O52" s="1">
        <v>0</v>
      </c>
      <c r="P52" s="1">
        <v>0</v>
      </c>
      <c r="Q52" s="1">
        <v>0</v>
      </c>
      <c r="R52" s="1">
        <v>0</v>
      </c>
      <c r="S52" s="1">
        <v>29979407.188661199</v>
      </c>
      <c r="T52" s="1">
        <v>29979407.188661199</v>
      </c>
      <c r="U52" s="1">
        <v>0</v>
      </c>
      <c r="V52" s="1">
        <v>0</v>
      </c>
      <c r="W52" s="4">
        <f t="shared" si="1"/>
        <v>151329130.37732241</v>
      </c>
      <c r="X52" s="4">
        <f t="shared" si="2"/>
        <v>151329130.37732241</v>
      </c>
      <c r="Y52" s="5">
        <f t="shared" si="3"/>
        <v>0.88375431985941422</v>
      </c>
    </row>
    <row r="53" spans="1:25" x14ac:dyDescent="0.25">
      <c r="A53" s="1" t="s">
        <v>54</v>
      </c>
      <c r="B53" s="1" t="s">
        <v>48</v>
      </c>
      <c r="C53" s="1" t="s">
        <v>49</v>
      </c>
      <c r="D53" s="1">
        <v>3033988.9838319239</v>
      </c>
      <c r="E53" s="1">
        <v>200243.27293290698</v>
      </c>
      <c r="F53" s="1">
        <v>200243.27293290698</v>
      </c>
      <c r="G53" s="1">
        <v>250304.09116613373</v>
      </c>
      <c r="H53" s="1">
        <v>250304.09116613373</v>
      </c>
      <c r="I53" s="1">
        <v>250304.09116613373</v>
      </c>
      <c r="J53" s="1">
        <v>250304.09116613373</v>
      </c>
      <c r="K53" s="1">
        <v>250304.09116613373</v>
      </c>
      <c r="L53" s="1">
        <v>250304.09116613373</v>
      </c>
      <c r="M53" s="1">
        <v>152457.9464375542</v>
      </c>
      <c r="N53" s="1">
        <v>152457.9464375542</v>
      </c>
      <c r="O53" s="1">
        <v>127048.28869796185</v>
      </c>
      <c r="P53" s="1">
        <v>127048.28869796185</v>
      </c>
      <c r="Q53" s="1">
        <v>177867.60417714657</v>
      </c>
      <c r="R53" s="1">
        <v>177867.60417714657</v>
      </c>
      <c r="S53" s="1">
        <v>177867.60417714657</v>
      </c>
      <c r="T53" s="1">
        <v>177867.60417714657</v>
      </c>
      <c r="U53" s="1">
        <v>177867.60417714657</v>
      </c>
      <c r="V53" s="1">
        <v>177867.60417714657</v>
      </c>
      <c r="W53" s="4">
        <f t="shared" si="1"/>
        <v>1764264.5940982639</v>
      </c>
      <c r="X53" s="4">
        <f t="shared" si="2"/>
        <v>1764264.5940982639</v>
      </c>
      <c r="Y53" s="5">
        <f t="shared" si="3"/>
        <v>0.58150000000000002</v>
      </c>
    </row>
    <row r="54" spans="1:25" x14ac:dyDescent="0.25">
      <c r="A54" s="1" t="s">
        <v>54</v>
      </c>
      <c r="B54" s="1" t="s">
        <v>50</v>
      </c>
      <c r="C54" s="1" t="s">
        <v>25</v>
      </c>
      <c r="D54" s="1">
        <v>3185688.4330235198</v>
      </c>
      <c r="E54" s="1">
        <v>210255.43657955236</v>
      </c>
      <c r="F54" s="1">
        <v>210255.43657955236</v>
      </c>
      <c r="G54" s="1">
        <v>262819.29572444042</v>
      </c>
      <c r="H54" s="1">
        <v>262819.29572444042</v>
      </c>
      <c r="I54" s="1">
        <v>262819.29572444042</v>
      </c>
      <c r="J54" s="1">
        <v>262819.29572444042</v>
      </c>
      <c r="K54" s="1">
        <v>262819.29572444042</v>
      </c>
      <c r="L54" s="1">
        <v>262819.29572444042</v>
      </c>
      <c r="M54" s="1">
        <v>160080.84375943188</v>
      </c>
      <c r="N54" s="1">
        <v>160080.84375943188</v>
      </c>
      <c r="O54" s="1">
        <v>133400.7031328599</v>
      </c>
      <c r="P54" s="1">
        <v>133400.7031328599</v>
      </c>
      <c r="Q54" s="1">
        <v>186760.98438600384</v>
      </c>
      <c r="R54" s="1">
        <v>186760.98438600384</v>
      </c>
      <c r="S54" s="1">
        <v>186760.98438600384</v>
      </c>
      <c r="T54" s="1">
        <v>186760.98438600384</v>
      </c>
      <c r="U54" s="1">
        <v>186760.98438600384</v>
      </c>
      <c r="V54" s="1">
        <v>186760.98438600384</v>
      </c>
      <c r="W54" s="4">
        <f t="shared" si="1"/>
        <v>1852477.8238031766</v>
      </c>
      <c r="X54" s="4">
        <f t="shared" si="2"/>
        <v>1852477.8238031766</v>
      </c>
      <c r="Y54" s="5">
        <f t="shared" si="3"/>
        <v>0.58149999999999991</v>
      </c>
    </row>
    <row r="55" spans="1:25" x14ac:dyDescent="0.25">
      <c r="A55" s="1" t="s">
        <v>55</v>
      </c>
      <c r="B55" s="1" t="s">
        <v>43</v>
      </c>
      <c r="C55" s="1" t="s">
        <v>31</v>
      </c>
      <c r="D55" s="1">
        <v>2084645.1913082558</v>
      </c>
      <c r="E55" s="1">
        <v>330280.6619928382</v>
      </c>
      <c r="F55" s="1">
        <v>330280.6619928382</v>
      </c>
      <c r="G55" s="1">
        <v>412850.82749104773</v>
      </c>
      <c r="H55" s="1">
        <v>412850.82749104773</v>
      </c>
      <c r="I55" s="1">
        <v>412850.82749104773</v>
      </c>
      <c r="J55" s="1">
        <v>412850.82749104773</v>
      </c>
      <c r="K55" s="1">
        <v>412850.82749104773</v>
      </c>
      <c r="L55" s="1">
        <v>412850.82749104773</v>
      </c>
      <c r="M55" s="1">
        <v>0</v>
      </c>
      <c r="N55" s="1">
        <v>0</v>
      </c>
      <c r="O55" s="1">
        <v>0</v>
      </c>
      <c r="P55" s="1">
        <v>0</v>
      </c>
      <c r="Q55" s="1">
        <v>303269.31694084505</v>
      </c>
      <c r="R55" s="1">
        <v>303269.31694084505</v>
      </c>
      <c r="S55" s="1">
        <v>0</v>
      </c>
      <c r="T55" s="1">
        <v>0</v>
      </c>
      <c r="U55" s="1">
        <v>0</v>
      </c>
      <c r="V55" s="1">
        <v>0</v>
      </c>
      <c r="W55" s="4">
        <f t="shared" si="1"/>
        <v>1872102.4614068265</v>
      </c>
      <c r="X55" s="4">
        <f t="shared" si="2"/>
        <v>1872102.4614068265</v>
      </c>
      <c r="Y55" s="5">
        <f t="shared" si="3"/>
        <v>0.89804369070208812</v>
      </c>
    </row>
    <row r="56" spans="1:25" x14ac:dyDescent="0.25">
      <c r="A56" s="1" t="s">
        <v>55</v>
      </c>
      <c r="B56" s="1" t="s">
        <v>46</v>
      </c>
      <c r="C56" s="1" t="s">
        <v>22</v>
      </c>
      <c r="D56" s="1">
        <v>28970283.78270169</v>
      </c>
      <c r="E56" s="1">
        <v>1963087.5466505615</v>
      </c>
      <c r="F56" s="1">
        <v>1963087.5466505615</v>
      </c>
      <c r="G56" s="1">
        <v>2453859.4333132016</v>
      </c>
      <c r="H56" s="1">
        <v>2453859.4333132016</v>
      </c>
      <c r="I56" s="1">
        <v>2453859.4333132016</v>
      </c>
      <c r="J56" s="1">
        <v>2453859.4333132016</v>
      </c>
      <c r="K56" s="1">
        <v>2453859.4333132016</v>
      </c>
      <c r="L56" s="1">
        <v>2453859.4333132016</v>
      </c>
      <c r="M56" s="1">
        <v>1539716.1153048631</v>
      </c>
      <c r="N56" s="1">
        <v>1539716.1153048631</v>
      </c>
      <c r="O56" s="1">
        <v>1252080.9698757061</v>
      </c>
      <c r="P56" s="1">
        <v>1252080.9698757061</v>
      </c>
      <c r="Q56" s="1">
        <v>1192001.5277999162</v>
      </c>
      <c r="R56" s="1">
        <v>1192001.5277999162</v>
      </c>
      <c r="S56" s="1">
        <v>1733428.3762265276</v>
      </c>
      <c r="T56" s="1">
        <v>1733428.3762265276</v>
      </c>
      <c r="U56" s="1">
        <v>1733428.3762265276</v>
      </c>
      <c r="V56" s="1">
        <v>1733428.3762265276</v>
      </c>
      <c r="W56" s="4">
        <f t="shared" si="1"/>
        <v>16775321.212023709</v>
      </c>
      <c r="X56" s="4">
        <f t="shared" si="2"/>
        <v>16775321.212023709</v>
      </c>
      <c r="Y56" s="5">
        <f t="shared" si="3"/>
        <v>0.57905270579504442</v>
      </c>
    </row>
    <row r="57" spans="1:25" x14ac:dyDescent="0.25">
      <c r="A57" s="1" t="s">
        <v>55</v>
      </c>
      <c r="B57" s="1" t="s">
        <v>47</v>
      </c>
      <c r="C57" s="1" t="s">
        <v>34</v>
      </c>
      <c r="D57" s="1">
        <v>22831251.774647892</v>
      </c>
      <c r="E57" s="1">
        <v>0</v>
      </c>
      <c r="F57" s="1">
        <v>0</v>
      </c>
      <c r="G57" s="1">
        <v>1503409.8576715803</v>
      </c>
      <c r="H57" s="1">
        <v>1503409.8576715803</v>
      </c>
      <c r="I57" s="1">
        <v>0</v>
      </c>
      <c r="J57" s="1">
        <v>0</v>
      </c>
      <c r="K57" s="1">
        <v>0</v>
      </c>
      <c r="L57" s="1">
        <v>0</v>
      </c>
      <c r="M57" s="1">
        <v>10663920.958488155</v>
      </c>
      <c r="N57" s="1">
        <v>10663920.958488155</v>
      </c>
      <c r="O57" s="1">
        <v>0</v>
      </c>
      <c r="P57" s="1">
        <v>0</v>
      </c>
      <c r="Q57" s="1">
        <v>0</v>
      </c>
      <c r="R57" s="1">
        <v>0</v>
      </c>
      <c r="S57" s="1">
        <v>10663920.958488155</v>
      </c>
      <c r="T57" s="1">
        <v>10663920.958488155</v>
      </c>
      <c r="U57" s="1">
        <v>0</v>
      </c>
      <c r="V57" s="1">
        <v>0</v>
      </c>
      <c r="W57" s="4">
        <f t="shared" si="1"/>
        <v>22831251.774647892</v>
      </c>
      <c r="X57" s="4">
        <f t="shared" si="2"/>
        <v>22831251.774647892</v>
      </c>
      <c r="Y57" s="5">
        <f t="shared" si="3"/>
        <v>1</v>
      </c>
    </row>
    <row r="58" spans="1:25" x14ac:dyDescent="0.25">
      <c r="A58" s="1" t="s">
        <v>56</v>
      </c>
      <c r="B58" s="1" t="s">
        <v>43</v>
      </c>
      <c r="C58" s="1" t="s">
        <v>31</v>
      </c>
      <c r="D58" s="1">
        <v>2084645.1887516764</v>
      </c>
      <c r="E58" s="1">
        <v>312794</v>
      </c>
      <c r="F58" s="1">
        <v>312794</v>
      </c>
      <c r="G58" s="1">
        <v>390993</v>
      </c>
      <c r="H58" s="1">
        <v>390993</v>
      </c>
      <c r="I58" s="1">
        <v>390993</v>
      </c>
      <c r="J58" s="1">
        <v>390993</v>
      </c>
      <c r="K58" s="1">
        <v>390993</v>
      </c>
      <c r="L58" s="1">
        <v>390993</v>
      </c>
      <c r="M58" s="1">
        <v>0</v>
      </c>
      <c r="N58" s="1">
        <v>0</v>
      </c>
      <c r="O58" s="1">
        <v>0</v>
      </c>
      <c r="P58" s="1">
        <v>0</v>
      </c>
      <c r="Q58" s="1">
        <v>386833.50700791646</v>
      </c>
      <c r="R58" s="1">
        <v>386833.50700791646</v>
      </c>
      <c r="S58" s="1">
        <v>0</v>
      </c>
      <c r="T58" s="1">
        <v>0</v>
      </c>
      <c r="U58" s="1">
        <v>0</v>
      </c>
      <c r="V58" s="1">
        <v>0</v>
      </c>
      <c r="W58" s="4">
        <f t="shared" si="1"/>
        <v>1872606.5070079165</v>
      </c>
      <c r="X58" s="4">
        <f t="shared" si="2"/>
        <v>1872606.5070079165</v>
      </c>
      <c r="Y58" s="5">
        <f t="shared" si="3"/>
        <v>0.89828548143929832</v>
      </c>
    </row>
    <row r="59" spans="1:25" x14ac:dyDescent="0.25">
      <c r="A59" s="1" t="s">
        <v>56</v>
      </c>
      <c r="B59" s="1" t="s">
        <v>46</v>
      </c>
      <c r="C59" s="1" t="s">
        <v>22</v>
      </c>
      <c r="D59" s="1">
        <v>32401343.805783842</v>
      </c>
      <c r="E59" s="1">
        <v>1913829.7870522868</v>
      </c>
      <c r="F59" s="1">
        <v>1913829.7870522868</v>
      </c>
      <c r="G59" s="1">
        <v>2392287</v>
      </c>
      <c r="H59" s="1">
        <v>2392287</v>
      </c>
      <c r="I59" s="1">
        <v>2392287</v>
      </c>
      <c r="J59" s="1">
        <v>2392287</v>
      </c>
      <c r="K59" s="1">
        <v>2392287</v>
      </c>
      <c r="L59" s="1">
        <v>2392287</v>
      </c>
      <c r="M59" s="1">
        <v>1501081.5845185618</v>
      </c>
      <c r="N59" s="1">
        <v>1501081.5845185618</v>
      </c>
      <c r="O59" s="1">
        <v>1220663.7753053762</v>
      </c>
      <c r="P59" s="1">
        <v>1220663.7753053762</v>
      </c>
      <c r="Q59" s="1">
        <v>2389933.2206575978</v>
      </c>
      <c r="R59" s="1">
        <v>2389933.2206575978</v>
      </c>
      <c r="S59" s="1">
        <v>2389933.2206575978</v>
      </c>
      <c r="T59" s="1">
        <v>2389933.2206575978</v>
      </c>
      <c r="U59" s="1">
        <v>1689933.2206575985</v>
      </c>
      <c r="V59" s="1">
        <v>1689933.2206575985</v>
      </c>
      <c r="W59" s="4">
        <f t="shared" si="1"/>
        <v>18282235.808849022</v>
      </c>
      <c r="X59" s="4">
        <f t="shared" si="2"/>
        <v>18282235.808849022</v>
      </c>
      <c r="Y59" s="5">
        <f t="shared" si="3"/>
        <v>0.56424313505125456</v>
      </c>
    </row>
    <row r="60" spans="1:25" x14ac:dyDescent="0.25">
      <c r="A60" s="1" t="s">
        <v>56</v>
      </c>
      <c r="B60" s="1" t="s">
        <v>47</v>
      </c>
      <c r="C60" s="1" t="s">
        <v>34</v>
      </c>
      <c r="D60" s="1">
        <v>22831251.774647892</v>
      </c>
      <c r="E60" s="1">
        <v>0</v>
      </c>
      <c r="F60" s="1">
        <v>0</v>
      </c>
      <c r="G60" s="1">
        <v>1503409.8576715803</v>
      </c>
      <c r="H60" s="1">
        <v>1503409.8576715803</v>
      </c>
      <c r="I60" s="1">
        <v>0</v>
      </c>
      <c r="J60" s="1">
        <v>0</v>
      </c>
      <c r="K60" s="1">
        <v>0</v>
      </c>
      <c r="L60" s="1">
        <v>0</v>
      </c>
      <c r="M60" s="1">
        <v>10663920.958488155</v>
      </c>
      <c r="N60" s="1">
        <v>10663920.958488155</v>
      </c>
      <c r="O60" s="1">
        <v>0</v>
      </c>
      <c r="P60" s="1">
        <v>0</v>
      </c>
      <c r="Q60" s="1">
        <v>0</v>
      </c>
      <c r="R60" s="1">
        <v>0</v>
      </c>
      <c r="S60" s="1">
        <v>10663920.958488155</v>
      </c>
      <c r="T60" s="1">
        <v>10663920.958488155</v>
      </c>
      <c r="U60" s="1">
        <v>0</v>
      </c>
      <c r="V60" s="1">
        <v>0</v>
      </c>
      <c r="W60" s="4">
        <f t="shared" si="1"/>
        <v>22831251.774647892</v>
      </c>
      <c r="X60" s="4">
        <f t="shared" si="2"/>
        <v>22831251.774647892</v>
      </c>
      <c r="Y60" s="5">
        <f t="shared" si="3"/>
        <v>1</v>
      </c>
    </row>
    <row r="61" spans="1:25" x14ac:dyDescent="0.25">
      <c r="A61" s="1" t="s">
        <v>57</v>
      </c>
      <c r="B61" s="1" t="s">
        <v>43</v>
      </c>
      <c r="C61" s="1" t="s">
        <v>31</v>
      </c>
      <c r="D61" s="1">
        <v>2042064.4672637989</v>
      </c>
      <c r="E61" s="1">
        <v>306405</v>
      </c>
      <c r="F61" s="1">
        <v>306405</v>
      </c>
      <c r="G61" s="1">
        <v>383006</v>
      </c>
      <c r="H61" s="1">
        <v>383006</v>
      </c>
      <c r="I61" s="1">
        <v>383006</v>
      </c>
      <c r="J61" s="1">
        <v>383006</v>
      </c>
      <c r="K61" s="1">
        <v>383006.47325652029</v>
      </c>
      <c r="L61" s="1">
        <v>383006.47325652029</v>
      </c>
      <c r="M61" s="1">
        <v>0</v>
      </c>
      <c r="N61" s="1">
        <v>0</v>
      </c>
      <c r="O61" s="1">
        <v>0</v>
      </c>
      <c r="P61" s="1">
        <v>0</v>
      </c>
      <c r="Q61" s="1">
        <v>335935.61614185077</v>
      </c>
      <c r="R61" s="1">
        <v>335935.61614185077</v>
      </c>
      <c r="S61" s="1">
        <v>0</v>
      </c>
      <c r="T61" s="1">
        <v>0</v>
      </c>
      <c r="U61" s="1">
        <v>0</v>
      </c>
      <c r="V61" s="1">
        <v>0</v>
      </c>
      <c r="W61" s="4">
        <f t="shared" si="1"/>
        <v>1791359.0893983711</v>
      </c>
      <c r="X61" s="4">
        <f t="shared" si="2"/>
        <v>1791359.0893983711</v>
      </c>
      <c r="Y61" s="5">
        <f t="shared" si="3"/>
        <v>0.87722944995886798</v>
      </c>
    </row>
    <row r="62" spans="1:25" x14ac:dyDescent="0.25">
      <c r="A62" s="1" t="s">
        <v>57</v>
      </c>
      <c r="B62" s="1" t="s">
        <v>46</v>
      </c>
      <c r="C62" s="1" t="s">
        <v>22</v>
      </c>
      <c r="D62" s="1">
        <v>32401343.805783842</v>
      </c>
      <c r="E62" s="1">
        <v>2140491.8702611434</v>
      </c>
      <c r="F62" s="1">
        <v>2140491.8702611434</v>
      </c>
      <c r="G62" s="1">
        <v>2675615</v>
      </c>
      <c r="H62" s="1">
        <v>2675615</v>
      </c>
      <c r="I62" s="1">
        <v>2675615</v>
      </c>
      <c r="J62" s="1">
        <v>2675615</v>
      </c>
      <c r="K62" s="1">
        <v>2675614.8378264294</v>
      </c>
      <c r="L62" s="1">
        <v>2675614.8378264294</v>
      </c>
      <c r="M62" s="1">
        <v>1678860.3406625304</v>
      </c>
      <c r="N62" s="1">
        <v>1678860.3406625304</v>
      </c>
      <c r="O62" s="1">
        <v>1365231.5921928158</v>
      </c>
      <c r="P62" s="1">
        <v>1365231.5921928158</v>
      </c>
      <c r="Q62" s="1">
        <v>1890078.3886707241</v>
      </c>
      <c r="R62" s="1">
        <v>1890078.3886707241</v>
      </c>
      <c r="S62" s="1">
        <v>1890078.3886707241</v>
      </c>
      <c r="T62" s="1">
        <v>1890078.3886707241</v>
      </c>
      <c r="U62" s="1">
        <v>1890078.3886707241</v>
      </c>
      <c r="V62" s="1">
        <v>1890078.3886707241</v>
      </c>
      <c r="W62" s="4">
        <f t="shared" si="1"/>
        <v>18881663.806955092</v>
      </c>
      <c r="X62" s="4">
        <f t="shared" si="2"/>
        <v>18881663.806955092</v>
      </c>
      <c r="Y62" s="5">
        <f t="shared" si="3"/>
        <v>0.58274323188980193</v>
      </c>
    </row>
    <row r="63" spans="1:25" x14ac:dyDescent="0.25">
      <c r="A63" s="1" t="s">
        <v>57</v>
      </c>
      <c r="B63" s="1" t="s">
        <v>47</v>
      </c>
      <c r="C63" s="1" t="s">
        <v>34</v>
      </c>
      <c r="D63" s="1">
        <v>22831251.774647892</v>
      </c>
      <c r="E63" s="1">
        <v>0</v>
      </c>
      <c r="F63" s="1">
        <v>0</v>
      </c>
      <c r="G63" s="1">
        <v>1503409.8576715803</v>
      </c>
      <c r="H63" s="1">
        <v>1503409.8576715803</v>
      </c>
      <c r="I63" s="1">
        <v>0</v>
      </c>
      <c r="J63" s="1">
        <v>0</v>
      </c>
      <c r="K63" s="1">
        <v>0</v>
      </c>
      <c r="L63" s="1">
        <v>0</v>
      </c>
      <c r="M63" s="1">
        <v>10663920.958488155</v>
      </c>
      <c r="N63" s="1">
        <v>10663920.958488155</v>
      </c>
      <c r="O63" s="1">
        <v>0</v>
      </c>
      <c r="P63" s="1">
        <v>0</v>
      </c>
      <c r="Q63" s="1">
        <v>0</v>
      </c>
      <c r="R63" s="1">
        <v>0</v>
      </c>
      <c r="S63" s="1">
        <v>10663920.958488155</v>
      </c>
      <c r="T63" s="1">
        <v>10663920.958488155</v>
      </c>
      <c r="U63" s="1">
        <v>0</v>
      </c>
      <c r="V63" s="1">
        <v>0</v>
      </c>
      <c r="W63" s="4">
        <f t="shared" si="1"/>
        <v>22831251.774647892</v>
      </c>
      <c r="X63" s="4">
        <f t="shared" si="2"/>
        <v>22831251.774647892</v>
      </c>
      <c r="Y63" s="5">
        <f t="shared" si="3"/>
        <v>1</v>
      </c>
    </row>
    <row r="64" spans="1:25" x14ac:dyDescent="0.25">
      <c r="A64" s="1" t="s">
        <v>58</v>
      </c>
      <c r="B64" s="1" t="s">
        <v>59</v>
      </c>
      <c r="C64" s="1" t="s">
        <v>26</v>
      </c>
      <c r="D64" s="1">
        <v>41305392.009999998</v>
      </c>
      <c r="E64" s="1">
        <v>3658527.1006209143</v>
      </c>
      <c r="F64" s="1">
        <v>3658527.1006209143</v>
      </c>
      <c r="G64" s="1">
        <v>4573158.8757761428</v>
      </c>
      <c r="H64" s="1">
        <v>4573158.8757761428</v>
      </c>
      <c r="I64" s="1">
        <v>4573158.8757761428</v>
      </c>
      <c r="J64" s="1">
        <v>4573158.8757761428</v>
      </c>
      <c r="K64" s="1">
        <v>4573158.8757761428</v>
      </c>
      <c r="L64" s="1">
        <v>4573158.8757761428</v>
      </c>
      <c r="M64" s="1">
        <v>2876594.5633619288</v>
      </c>
      <c r="N64" s="1">
        <v>2876594.5633619288</v>
      </c>
      <c r="O64" s="1">
        <v>2876594.5633619288</v>
      </c>
      <c r="P64" s="1">
        <v>2876594.5633619288</v>
      </c>
      <c r="Q64" s="1">
        <v>2876594.5633619288</v>
      </c>
      <c r="R64" s="1">
        <v>2876594.5633619288</v>
      </c>
      <c r="S64" s="1">
        <v>2876594.5633619288</v>
      </c>
      <c r="T64" s="1">
        <v>2876594.5633619288</v>
      </c>
      <c r="U64" s="1">
        <v>2876594.5633619288</v>
      </c>
      <c r="V64" s="1">
        <v>2876594.5633619288</v>
      </c>
      <c r="W64" s="4">
        <f t="shared" si="1"/>
        <v>31760976.544758983</v>
      </c>
      <c r="X64" s="4">
        <f t="shared" si="2"/>
        <v>31760976.544758983</v>
      </c>
      <c r="Y64" s="5">
        <f t="shared" si="3"/>
        <v>0.76893051970235937</v>
      </c>
    </row>
    <row r="65" spans="1:25" x14ac:dyDescent="0.25">
      <c r="A65" s="1" t="s">
        <v>58</v>
      </c>
      <c r="B65" s="1" t="s">
        <v>60</v>
      </c>
      <c r="C65" s="1" t="s">
        <v>26</v>
      </c>
      <c r="D65" s="1">
        <v>14126837.449999999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7063418.7249999996</v>
      </c>
      <c r="N65" s="1">
        <v>7063418.7249999996</v>
      </c>
      <c r="O65" s="1">
        <v>7063418.7249999996</v>
      </c>
      <c r="P65" s="1">
        <v>7063418.7249999996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4">
        <f t="shared" si="1"/>
        <v>14126837.449999999</v>
      </c>
      <c r="X65" s="4">
        <f t="shared" si="2"/>
        <v>14126837.449999999</v>
      </c>
      <c r="Y65" s="5">
        <f t="shared" si="3"/>
        <v>1</v>
      </c>
    </row>
    <row r="66" spans="1:25" x14ac:dyDescent="0.25">
      <c r="A66" s="1" t="s">
        <v>58</v>
      </c>
      <c r="B66" s="1" t="s">
        <v>33</v>
      </c>
      <c r="C66" s="1" t="s">
        <v>34</v>
      </c>
      <c r="D66" s="1">
        <v>48000000</v>
      </c>
      <c r="E66" s="1">
        <v>0</v>
      </c>
      <c r="F66" s="1">
        <v>0</v>
      </c>
      <c r="G66" s="1">
        <v>9600000</v>
      </c>
      <c r="H66" s="1">
        <v>9600000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14400000</v>
      </c>
      <c r="P66" s="1">
        <v>14400000</v>
      </c>
      <c r="Q66" s="1">
        <v>0</v>
      </c>
      <c r="R66" s="1">
        <v>0</v>
      </c>
      <c r="S66" s="1">
        <v>14400000</v>
      </c>
      <c r="T66" s="1">
        <v>14400000</v>
      </c>
      <c r="U66" s="1">
        <v>9600000</v>
      </c>
      <c r="V66" s="1">
        <v>9600000</v>
      </c>
      <c r="W66" s="4">
        <f t="shared" si="1"/>
        <v>48000000</v>
      </c>
      <c r="X66" s="4">
        <f t="shared" si="2"/>
        <v>48000000</v>
      </c>
      <c r="Y66" s="5">
        <f t="shared" si="3"/>
        <v>1</v>
      </c>
    </row>
    <row r="67" spans="1:25" x14ac:dyDescent="0.25">
      <c r="A67" s="1" t="s">
        <v>58</v>
      </c>
      <c r="B67" s="1" t="s">
        <v>35</v>
      </c>
      <c r="C67" s="1" t="s">
        <v>34</v>
      </c>
      <c r="D67" s="1">
        <v>120000000</v>
      </c>
      <c r="E67" s="1">
        <v>0</v>
      </c>
      <c r="F67" s="1">
        <v>0</v>
      </c>
      <c r="G67" s="1">
        <v>33000000</v>
      </c>
      <c r="H67" s="1">
        <v>33000000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29000000</v>
      </c>
      <c r="P67" s="1">
        <v>29000000</v>
      </c>
      <c r="Q67" s="1">
        <v>0</v>
      </c>
      <c r="R67" s="1">
        <v>0</v>
      </c>
      <c r="S67" s="1">
        <v>29000000</v>
      </c>
      <c r="T67" s="1">
        <v>29000000</v>
      </c>
      <c r="U67" s="1">
        <v>29000000</v>
      </c>
      <c r="V67" s="1">
        <v>29000000</v>
      </c>
      <c r="W67" s="4">
        <f t="shared" ref="W67:W130" si="4">U67+S67+Q67+O67+M67+K67+I67+G67+E67</f>
        <v>120000000</v>
      </c>
      <c r="X67" s="4">
        <f t="shared" ref="X67:X130" si="5">V67+T67+R67+P67+N67+L67+J67+H67+F67</f>
        <v>120000000</v>
      </c>
      <c r="Y67" s="5">
        <f t="shared" ref="Y67:Y130" si="6">X67/D67</f>
        <v>1</v>
      </c>
    </row>
    <row r="68" spans="1:25" x14ac:dyDescent="0.25">
      <c r="A68" s="1" t="s">
        <v>58</v>
      </c>
      <c r="B68" s="1" t="s">
        <v>38</v>
      </c>
      <c r="C68" s="1" t="s">
        <v>39</v>
      </c>
      <c r="D68" s="1">
        <v>8366251.7104947614</v>
      </c>
      <c r="E68" s="1">
        <v>552172.61289265426</v>
      </c>
      <c r="F68" s="1">
        <v>552172.61289265426</v>
      </c>
      <c r="G68" s="1">
        <v>690215.76611581782</v>
      </c>
      <c r="H68" s="1">
        <v>690215.76611581782</v>
      </c>
      <c r="I68" s="1">
        <v>690215.76611581782</v>
      </c>
      <c r="J68" s="1">
        <v>690215.76611581782</v>
      </c>
      <c r="K68" s="1">
        <v>690215.76611581782</v>
      </c>
      <c r="L68" s="1">
        <v>690215.76611581782</v>
      </c>
      <c r="M68" s="1">
        <v>420404.14845236164</v>
      </c>
      <c r="N68" s="1">
        <v>420404.14845236164</v>
      </c>
      <c r="O68" s="1">
        <v>350336.79037696804</v>
      </c>
      <c r="P68" s="1">
        <v>350336.79037696804</v>
      </c>
      <c r="Q68" s="1">
        <v>490471.50652775523</v>
      </c>
      <c r="R68" s="1">
        <v>490471.50652775523</v>
      </c>
      <c r="S68" s="1">
        <v>490471.50652775523</v>
      </c>
      <c r="T68" s="1">
        <v>490471.50652775523</v>
      </c>
      <c r="U68" s="1">
        <v>490471.50652775523</v>
      </c>
      <c r="V68" s="1">
        <v>490471.50652775523</v>
      </c>
      <c r="W68" s="4">
        <f t="shared" si="4"/>
        <v>4864975.3696527034</v>
      </c>
      <c r="X68" s="4">
        <f t="shared" si="5"/>
        <v>4864975.3696527034</v>
      </c>
      <c r="Y68" s="5">
        <f t="shared" si="6"/>
        <v>0.58149999999999991</v>
      </c>
    </row>
    <row r="69" spans="1:25" x14ac:dyDescent="0.25">
      <c r="A69" s="1" t="s">
        <v>58</v>
      </c>
      <c r="B69" s="1" t="s">
        <v>61</v>
      </c>
      <c r="C69" s="1" t="s">
        <v>34</v>
      </c>
      <c r="D69" s="1">
        <v>109230701</v>
      </c>
      <c r="E69" s="1">
        <v>0</v>
      </c>
      <c r="F69" s="1">
        <v>0</v>
      </c>
      <c r="G69" s="1">
        <v>8738456.0790046733</v>
      </c>
      <c r="H69" s="1">
        <v>8738456.0790046733</v>
      </c>
      <c r="I69" s="1">
        <v>0</v>
      </c>
      <c r="J69" s="1">
        <v>0</v>
      </c>
      <c r="K69" s="1">
        <v>0</v>
      </c>
      <c r="L69" s="1">
        <v>0</v>
      </c>
      <c r="M69" s="1">
        <v>25123061.230248831</v>
      </c>
      <c r="N69" s="1">
        <v>25123061.230248831</v>
      </c>
      <c r="O69" s="1">
        <v>0</v>
      </c>
      <c r="P69" s="1">
        <v>0</v>
      </c>
      <c r="Q69" s="1">
        <v>0</v>
      </c>
      <c r="R69" s="1">
        <v>0</v>
      </c>
      <c r="S69" s="1">
        <v>37684591.845373243</v>
      </c>
      <c r="T69" s="1">
        <v>37684591.845373243</v>
      </c>
      <c r="U69" s="1">
        <v>0</v>
      </c>
      <c r="V69" s="1">
        <v>0</v>
      </c>
      <c r="W69" s="4">
        <f t="shared" si="4"/>
        <v>71546109.154626742</v>
      </c>
      <c r="X69" s="4">
        <f t="shared" si="5"/>
        <v>71546109.154626742</v>
      </c>
      <c r="Y69" s="5">
        <f t="shared" si="6"/>
        <v>0.65499999999658287</v>
      </c>
    </row>
    <row r="70" spans="1:25" x14ac:dyDescent="0.25">
      <c r="A70" s="1" t="s">
        <v>58</v>
      </c>
      <c r="B70" s="1" t="s">
        <v>62</v>
      </c>
      <c r="C70" s="1" t="s">
        <v>63</v>
      </c>
      <c r="D70" s="1">
        <v>47142857</v>
      </c>
      <c r="E70" s="1">
        <v>15399999.999120001</v>
      </c>
      <c r="F70" s="1">
        <v>15399999.999120001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2091964.2857967855</v>
      </c>
      <c r="N70" s="1">
        <v>2091964.2857967855</v>
      </c>
      <c r="O70" s="1">
        <v>1743303.5714973214</v>
      </c>
      <c r="P70" s="1">
        <v>1743303.5714973214</v>
      </c>
      <c r="Q70" s="1">
        <v>2440625.0000962499</v>
      </c>
      <c r="R70" s="1">
        <v>2440625.0000962499</v>
      </c>
      <c r="S70" s="1">
        <v>2440625.0000962499</v>
      </c>
      <c r="T70" s="1">
        <v>2440625.0000962499</v>
      </c>
      <c r="U70" s="1">
        <v>2440625.0000962499</v>
      </c>
      <c r="V70" s="1">
        <v>2440625.0000962499</v>
      </c>
      <c r="W70" s="4">
        <f t="shared" si="4"/>
        <v>26557142.856702857</v>
      </c>
      <c r="X70" s="4">
        <f t="shared" si="5"/>
        <v>26557142.856702857</v>
      </c>
      <c r="Y70" s="5">
        <f t="shared" si="6"/>
        <v>0.56333333503107075</v>
      </c>
    </row>
    <row r="71" spans="1:25" x14ac:dyDescent="0.25">
      <c r="A71" s="1" t="s">
        <v>58</v>
      </c>
      <c r="B71" s="1" t="s">
        <v>40</v>
      </c>
      <c r="C71" s="1" t="s">
        <v>27</v>
      </c>
      <c r="D71" s="1">
        <v>126567486</v>
      </c>
      <c r="E71" s="1">
        <v>10982845.018959999</v>
      </c>
      <c r="F71" s="1">
        <v>10982845.018959999</v>
      </c>
      <c r="G71" s="1">
        <v>11902198.46896</v>
      </c>
      <c r="H71" s="1">
        <v>11902198.46896</v>
      </c>
      <c r="I71" s="1">
        <v>14284218.935626701</v>
      </c>
      <c r="J71" s="1">
        <v>14284218.935626701</v>
      </c>
      <c r="K71" s="1">
        <v>16299809.452106621</v>
      </c>
      <c r="L71" s="1">
        <v>16299809.452106621</v>
      </c>
      <c r="M71" s="1">
        <v>15000000.000000006</v>
      </c>
      <c r="N71" s="1">
        <v>15000000.000000006</v>
      </c>
      <c r="O71" s="1">
        <v>23898451.411626667</v>
      </c>
      <c r="P71" s="1">
        <v>23898451.411626667</v>
      </c>
      <c r="Q71" s="1">
        <v>6979170.0189599991</v>
      </c>
      <c r="R71" s="1">
        <v>6979170.0189599991</v>
      </c>
      <c r="S71" s="1">
        <v>6688862.1471999995</v>
      </c>
      <c r="T71" s="1">
        <v>6688862.1471999995</v>
      </c>
      <c r="U71" s="1">
        <v>5277032.0289599998</v>
      </c>
      <c r="V71" s="1">
        <v>5277032.0289599998</v>
      </c>
      <c r="W71" s="4">
        <f t="shared" si="4"/>
        <v>111312587.4824</v>
      </c>
      <c r="X71" s="4">
        <f t="shared" si="5"/>
        <v>111312587.4824</v>
      </c>
      <c r="Y71" s="5">
        <f t="shared" si="6"/>
        <v>0.87947221676189413</v>
      </c>
    </row>
    <row r="72" spans="1:25" x14ac:dyDescent="0.25">
      <c r="A72" s="1" t="s">
        <v>58</v>
      </c>
      <c r="B72" s="1" t="s">
        <v>41</v>
      </c>
      <c r="C72" s="1" t="s">
        <v>27</v>
      </c>
      <c r="D72" s="1">
        <v>120004737</v>
      </c>
      <c r="E72" s="1">
        <v>0</v>
      </c>
      <c r="F72" s="1">
        <v>0</v>
      </c>
      <c r="G72" s="1">
        <v>22495581.537204787</v>
      </c>
      <c r="H72" s="1">
        <v>22495581.537204787</v>
      </c>
      <c r="I72" s="1">
        <v>0</v>
      </c>
      <c r="J72" s="1">
        <v>0</v>
      </c>
      <c r="K72" s="1">
        <v>0</v>
      </c>
      <c r="L72" s="1">
        <v>0</v>
      </c>
      <c r="M72" s="1">
        <v>36565933.298548207</v>
      </c>
      <c r="N72" s="1">
        <v>36565933.298548207</v>
      </c>
      <c r="O72" s="1">
        <v>24377288.865698803</v>
      </c>
      <c r="P72" s="1">
        <v>24377288.865698803</v>
      </c>
      <c r="Q72" s="1">
        <v>36565933.298548207</v>
      </c>
      <c r="R72" s="1">
        <v>36565933.298548207</v>
      </c>
      <c r="S72" s="1">
        <v>0</v>
      </c>
      <c r="T72" s="1">
        <v>0</v>
      </c>
      <c r="U72" s="1">
        <v>0</v>
      </c>
      <c r="V72" s="1">
        <v>0</v>
      </c>
      <c r="W72" s="4">
        <f t="shared" si="4"/>
        <v>120004737</v>
      </c>
      <c r="X72" s="4">
        <f t="shared" si="5"/>
        <v>120004737</v>
      </c>
      <c r="Y72" s="5">
        <f t="shared" si="6"/>
        <v>1</v>
      </c>
    </row>
    <row r="73" spans="1:25" x14ac:dyDescent="0.25">
      <c r="A73" s="1" t="s">
        <v>58</v>
      </c>
      <c r="B73" s="1" t="s">
        <v>42</v>
      </c>
      <c r="C73" s="1" t="s">
        <v>27</v>
      </c>
      <c r="D73" s="1">
        <v>30730733</v>
      </c>
      <c r="E73" s="1">
        <v>0</v>
      </c>
      <c r="F73" s="1">
        <v>0</v>
      </c>
      <c r="G73" s="1">
        <v>15545322.000000002</v>
      </c>
      <c r="H73" s="1">
        <v>15545322.000000002</v>
      </c>
      <c r="I73" s="1">
        <v>0</v>
      </c>
      <c r="J73" s="1">
        <v>0</v>
      </c>
      <c r="K73" s="1">
        <v>0</v>
      </c>
      <c r="L73" s="1">
        <v>0</v>
      </c>
      <c r="M73" s="1">
        <v>2847264.5624999995</v>
      </c>
      <c r="N73" s="1">
        <v>2847264.5624999995</v>
      </c>
      <c r="O73" s="1">
        <v>3796352.7499999995</v>
      </c>
      <c r="P73" s="1">
        <v>3796352.7499999995</v>
      </c>
      <c r="Q73" s="1">
        <v>8541793.6874999981</v>
      </c>
      <c r="R73" s="1">
        <v>8541793.6874999981</v>
      </c>
      <c r="S73" s="1">
        <v>0</v>
      </c>
      <c r="T73" s="1">
        <v>0</v>
      </c>
      <c r="U73" s="1">
        <v>0</v>
      </c>
      <c r="V73" s="1">
        <v>0</v>
      </c>
      <c r="W73" s="4">
        <f t="shared" si="4"/>
        <v>30730733</v>
      </c>
      <c r="X73" s="4">
        <f t="shared" si="5"/>
        <v>30730733</v>
      </c>
      <c r="Y73" s="5">
        <f t="shared" si="6"/>
        <v>1</v>
      </c>
    </row>
    <row r="74" spans="1:25" x14ac:dyDescent="0.25">
      <c r="A74" s="1" t="s">
        <v>58</v>
      </c>
      <c r="B74" s="1" t="s">
        <v>43</v>
      </c>
      <c r="C74" s="1" t="s">
        <v>31</v>
      </c>
      <c r="D74" s="1">
        <v>5940098.9005559655</v>
      </c>
      <c r="E74" s="1">
        <v>243172.22333037021</v>
      </c>
      <c r="F74" s="1">
        <v>243172.22333037021</v>
      </c>
      <c r="G74" s="1">
        <v>303965.27916296275</v>
      </c>
      <c r="H74" s="1">
        <v>303965.27916296275</v>
      </c>
      <c r="I74" s="1">
        <v>303965.27916296275</v>
      </c>
      <c r="J74" s="1">
        <v>303965.27916296275</v>
      </c>
      <c r="K74" s="1">
        <v>303965.27916296275</v>
      </c>
      <c r="L74" s="1">
        <v>303965.27916296275</v>
      </c>
      <c r="M74" s="1">
        <v>226020.85300847617</v>
      </c>
      <c r="N74" s="1">
        <v>226020.85300847617</v>
      </c>
      <c r="O74" s="1">
        <v>188350.71084039682</v>
      </c>
      <c r="P74" s="1">
        <v>188350.71084039682</v>
      </c>
      <c r="Q74" s="1">
        <v>263690.99517655553</v>
      </c>
      <c r="R74" s="1">
        <v>263690.99517655553</v>
      </c>
      <c r="S74" s="1">
        <v>1461129.4824969908</v>
      </c>
      <c r="T74" s="1">
        <v>1461129.4824969908</v>
      </c>
      <c r="U74" s="1">
        <v>263690.99517655553</v>
      </c>
      <c r="V74" s="1">
        <v>263690.99517655553</v>
      </c>
      <c r="W74" s="4">
        <f t="shared" si="4"/>
        <v>3557951.0975182336</v>
      </c>
      <c r="X74" s="4">
        <f t="shared" si="5"/>
        <v>3557951.0975182336</v>
      </c>
      <c r="Y74" s="5">
        <f t="shared" si="6"/>
        <v>0.59897169341494061</v>
      </c>
    </row>
    <row r="75" spans="1:25" x14ac:dyDescent="0.25">
      <c r="A75" s="1" t="s">
        <v>58</v>
      </c>
      <c r="B75" s="1" t="s">
        <v>64</v>
      </c>
      <c r="C75" s="1" t="s">
        <v>23</v>
      </c>
      <c r="D75" s="1">
        <v>3874496.5033007446</v>
      </c>
      <c r="E75" s="1">
        <v>255716.76921784916</v>
      </c>
      <c r="F75" s="1">
        <v>255716.76921784916</v>
      </c>
      <c r="G75" s="1">
        <v>319645.96152231144</v>
      </c>
      <c r="H75" s="1">
        <v>319645.96152231144</v>
      </c>
      <c r="I75" s="1">
        <v>319645.96152231144</v>
      </c>
      <c r="J75" s="1">
        <v>319645.96152231144</v>
      </c>
      <c r="K75" s="1">
        <v>319645.96152231144</v>
      </c>
      <c r="L75" s="1">
        <v>319645.96152231144</v>
      </c>
      <c r="M75" s="1">
        <v>194693.44929086239</v>
      </c>
      <c r="N75" s="1">
        <v>194693.44929086239</v>
      </c>
      <c r="O75" s="1">
        <v>162244.54107571868</v>
      </c>
      <c r="P75" s="1">
        <v>162244.54107571868</v>
      </c>
      <c r="Q75" s="1">
        <v>227142.35750600614</v>
      </c>
      <c r="R75" s="1">
        <v>227142.35750600614</v>
      </c>
      <c r="S75" s="1">
        <v>227142.35750600614</v>
      </c>
      <c r="T75" s="1">
        <v>227142.35750600614</v>
      </c>
      <c r="U75" s="1">
        <v>227142.35750600614</v>
      </c>
      <c r="V75" s="1">
        <v>227142.35750600614</v>
      </c>
      <c r="W75" s="4">
        <f t="shared" si="4"/>
        <v>2253019.716669383</v>
      </c>
      <c r="X75" s="4">
        <f t="shared" si="5"/>
        <v>2253019.716669383</v>
      </c>
      <c r="Y75" s="5">
        <f t="shared" si="6"/>
        <v>0.58150000000000002</v>
      </c>
    </row>
    <row r="76" spans="1:25" x14ac:dyDescent="0.25">
      <c r="A76" s="1" t="s">
        <v>58</v>
      </c>
      <c r="B76" s="1" t="s">
        <v>65</v>
      </c>
      <c r="C76" s="1" t="s">
        <v>31</v>
      </c>
      <c r="D76" s="1">
        <v>2372201.7527254755</v>
      </c>
      <c r="E76" s="1">
        <v>156565.3156798814</v>
      </c>
      <c r="F76" s="1">
        <v>156565.3156798814</v>
      </c>
      <c r="G76" s="1">
        <v>195706.64459985174</v>
      </c>
      <c r="H76" s="1">
        <v>195706.64459985174</v>
      </c>
      <c r="I76" s="1">
        <v>195706.64459985174</v>
      </c>
      <c r="J76" s="1">
        <v>195706.64459985174</v>
      </c>
      <c r="K76" s="1">
        <v>195706.64459985174</v>
      </c>
      <c r="L76" s="1">
        <v>195706.64459985174</v>
      </c>
      <c r="M76" s="1">
        <v>119203.13807445513</v>
      </c>
      <c r="N76" s="1">
        <v>119203.13807445513</v>
      </c>
      <c r="O76" s="1">
        <v>99335.948395379281</v>
      </c>
      <c r="P76" s="1">
        <v>99335.948395379281</v>
      </c>
      <c r="Q76" s="1">
        <v>139070.32775353099</v>
      </c>
      <c r="R76" s="1">
        <v>139070.32775353099</v>
      </c>
      <c r="S76" s="1">
        <v>139070.32775353099</v>
      </c>
      <c r="T76" s="1">
        <v>139070.32775353099</v>
      </c>
      <c r="U76" s="1">
        <v>139070.32775353099</v>
      </c>
      <c r="V76" s="1">
        <v>139070.32775353099</v>
      </c>
      <c r="W76" s="4">
        <f t="shared" si="4"/>
        <v>1379435.3192098639</v>
      </c>
      <c r="X76" s="4">
        <f t="shared" si="5"/>
        <v>1379435.3192098639</v>
      </c>
      <c r="Y76" s="5">
        <f t="shared" si="6"/>
        <v>0.58150000000000002</v>
      </c>
    </row>
    <row r="77" spans="1:25" x14ac:dyDescent="0.25">
      <c r="A77" s="1" t="s">
        <v>58</v>
      </c>
      <c r="B77" s="1" t="s">
        <v>44</v>
      </c>
      <c r="C77" s="1" t="s">
        <v>45</v>
      </c>
      <c r="D77" s="1">
        <v>8366251.7104947614</v>
      </c>
      <c r="E77" s="1">
        <v>552172.61289265426</v>
      </c>
      <c r="F77" s="1">
        <v>552172.61289265426</v>
      </c>
      <c r="G77" s="1">
        <v>690215.76611581782</v>
      </c>
      <c r="H77" s="1">
        <v>690215.76611581782</v>
      </c>
      <c r="I77" s="1">
        <v>690215.76611581782</v>
      </c>
      <c r="J77" s="1">
        <v>690215.76611581782</v>
      </c>
      <c r="K77" s="1">
        <v>690215.76611581782</v>
      </c>
      <c r="L77" s="1">
        <v>690215.76611581782</v>
      </c>
      <c r="M77" s="1">
        <v>420404.14845236164</v>
      </c>
      <c r="N77" s="1">
        <v>420404.14845236164</v>
      </c>
      <c r="O77" s="1">
        <v>350336.79037696804</v>
      </c>
      <c r="P77" s="1">
        <v>350336.79037696804</v>
      </c>
      <c r="Q77" s="1">
        <v>490471.50652775523</v>
      </c>
      <c r="R77" s="1">
        <v>490471.50652775523</v>
      </c>
      <c r="S77" s="1">
        <v>490471.50652775523</v>
      </c>
      <c r="T77" s="1">
        <v>490471.50652775523</v>
      </c>
      <c r="U77" s="1">
        <v>490471.50652775523</v>
      </c>
      <c r="V77" s="1">
        <v>490471.50652775523</v>
      </c>
      <c r="W77" s="4">
        <f t="shared" si="4"/>
        <v>4864975.3696527034</v>
      </c>
      <c r="X77" s="4">
        <f t="shared" si="5"/>
        <v>4864975.3696527034</v>
      </c>
      <c r="Y77" s="5">
        <f t="shared" si="6"/>
        <v>0.58149999999999991</v>
      </c>
    </row>
    <row r="78" spans="1:25" x14ac:dyDescent="0.25">
      <c r="A78" s="1" t="s">
        <v>58</v>
      </c>
      <c r="B78" s="1" t="s">
        <v>46</v>
      </c>
      <c r="C78" s="1" t="s">
        <v>22</v>
      </c>
      <c r="D78" s="1">
        <v>75528947.17256254</v>
      </c>
      <c r="E78" s="1">
        <v>4989580.0112893647</v>
      </c>
      <c r="F78" s="1">
        <v>4989580.0112893647</v>
      </c>
      <c r="G78" s="1">
        <v>6236975.0141117051</v>
      </c>
      <c r="H78" s="1">
        <v>6236975.0141117051</v>
      </c>
      <c r="I78" s="1">
        <v>6236975.0141117051</v>
      </c>
      <c r="J78" s="1">
        <v>6236975.0141117051</v>
      </c>
      <c r="K78" s="1">
        <v>6236975.0141117051</v>
      </c>
      <c r="L78" s="1">
        <v>6236975.0141117051</v>
      </c>
      <c r="M78" s="1">
        <v>3913496.7592725414</v>
      </c>
      <c r="N78" s="1">
        <v>3913496.7592725414</v>
      </c>
      <c r="O78" s="1">
        <v>3182414.4524104022</v>
      </c>
      <c r="P78" s="1">
        <v>3182414.4524104022</v>
      </c>
      <c r="Q78" s="1">
        <v>4405855.2517328141</v>
      </c>
      <c r="R78" s="1">
        <v>4405855.2517328141</v>
      </c>
      <c r="S78" s="1">
        <v>4356330.2700910661</v>
      </c>
      <c r="T78" s="1">
        <v>4356330.2700910661</v>
      </c>
      <c r="U78" s="1">
        <v>4405855.2517328141</v>
      </c>
      <c r="V78" s="1">
        <v>4405855.2517328141</v>
      </c>
      <c r="W78" s="4">
        <f t="shared" si="4"/>
        <v>43964457.038864113</v>
      </c>
      <c r="X78" s="4">
        <f t="shared" si="5"/>
        <v>43964457.038864113</v>
      </c>
      <c r="Y78" s="5">
        <f t="shared" si="6"/>
        <v>0.58208751326054653</v>
      </c>
    </row>
    <row r="79" spans="1:25" x14ac:dyDescent="0.25">
      <c r="A79" s="1" t="s">
        <v>58</v>
      </c>
      <c r="B79" s="1" t="s">
        <v>66</v>
      </c>
      <c r="C79" s="1" t="s">
        <v>24</v>
      </c>
      <c r="D79" s="1">
        <v>243225491.67008853</v>
      </c>
      <c r="E79" s="1">
        <v>20066103.062782306</v>
      </c>
      <c r="F79" s="1">
        <v>20066103.062782306</v>
      </c>
      <c r="G79" s="1">
        <v>20066103.062782306</v>
      </c>
      <c r="H79" s="1">
        <v>20066103.062782306</v>
      </c>
      <c r="I79" s="1">
        <v>20066103.062782306</v>
      </c>
      <c r="J79" s="1">
        <v>20066103.062782306</v>
      </c>
      <c r="K79" s="1">
        <v>20066103.062782306</v>
      </c>
      <c r="L79" s="1">
        <v>20066103.062782306</v>
      </c>
      <c r="M79" s="1">
        <v>23788897.748870775</v>
      </c>
      <c r="N79" s="1">
        <v>23788897.748870775</v>
      </c>
      <c r="O79" s="1">
        <v>20804437</v>
      </c>
      <c r="P79" s="1">
        <v>20804437</v>
      </c>
      <c r="Q79" s="1">
        <v>18978436</v>
      </c>
      <c r="R79" s="1">
        <v>18978436</v>
      </c>
      <c r="S79" s="1">
        <v>19928437</v>
      </c>
      <c r="T79" s="1">
        <v>19928437</v>
      </c>
      <c r="U79" s="1">
        <v>21412500</v>
      </c>
      <c r="V79" s="1">
        <v>21412500</v>
      </c>
      <c r="W79" s="4">
        <f t="shared" si="4"/>
        <v>185177120.00000003</v>
      </c>
      <c r="X79" s="4">
        <f t="shared" si="5"/>
        <v>185177120.00000003</v>
      </c>
      <c r="Y79" s="5">
        <f t="shared" si="6"/>
        <v>0.7613392770983668</v>
      </c>
    </row>
    <row r="80" spans="1:25" x14ac:dyDescent="0.25">
      <c r="A80" s="1" t="s">
        <v>58</v>
      </c>
      <c r="B80" s="1" t="s">
        <v>67</v>
      </c>
      <c r="C80" s="1" t="s">
        <v>68</v>
      </c>
      <c r="D80" s="1">
        <v>1972253.5120233039</v>
      </c>
      <c r="E80" s="1">
        <v>130168.73179353807</v>
      </c>
      <c r="F80" s="1">
        <v>130168.73179353807</v>
      </c>
      <c r="G80" s="1">
        <v>162710.91474192258</v>
      </c>
      <c r="H80" s="1">
        <v>162710.91474192258</v>
      </c>
      <c r="I80" s="1">
        <v>162710.91474192258</v>
      </c>
      <c r="J80" s="1">
        <v>162710.91474192258</v>
      </c>
      <c r="K80" s="1">
        <v>162710.91474192258</v>
      </c>
      <c r="L80" s="1">
        <v>162710.91474192258</v>
      </c>
      <c r="M80" s="1">
        <v>102557.18262521176</v>
      </c>
      <c r="N80" s="1">
        <v>102557.18262521176</v>
      </c>
      <c r="O80" s="1">
        <v>82177.229667637657</v>
      </c>
      <c r="P80" s="1">
        <v>82177.229667637657</v>
      </c>
      <c r="Q80" s="1">
        <v>115048.12153469271</v>
      </c>
      <c r="R80" s="1">
        <v>115048.12153469271</v>
      </c>
      <c r="S80" s="1">
        <v>115048.12153469271</v>
      </c>
      <c r="T80" s="1">
        <v>115048.12153469271</v>
      </c>
      <c r="U80" s="1">
        <v>115048.12153469271</v>
      </c>
      <c r="V80" s="1">
        <v>115048.12153469271</v>
      </c>
      <c r="W80" s="4">
        <f t="shared" si="4"/>
        <v>1148180.2529162334</v>
      </c>
      <c r="X80" s="4">
        <f t="shared" si="5"/>
        <v>1148180.2529162334</v>
      </c>
      <c r="Y80" s="5">
        <f t="shared" si="6"/>
        <v>0.58216666666666661</v>
      </c>
    </row>
    <row r="81" spans="1:25" x14ac:dyDescent="0.25">
      <c r="A81" s="1" t="s">
        <v>58</v>
      </c>
      <c r="B81" s="1" t="s">
        <v>47</v>
      </c>
      <c r="C81" s="1" t="s">
        <v>34</v>
      </c>
      <c r="D81" s="1">
        <v>11415625.887323946</v>
      </c>
      <c r="E81" s="1">
        <v>0</v>
      </c>
      <c r="F81" s="1">
        <v>0</v>
      </c>
      <c r="G81" s="1">
        <v>751704.92883579014</v>
      </c>
      <c r="H81" s="1">
        <v>751704.92883579014</v>
      </c>
      <c r="I81" s="1">
        <v>0</v>
      </c>
      <c r="J81" s="1">
        <v>0</v>
      </c>
      <c r="K81" s="1">
        <v>0</v>
      </c>
      <c r="L81" s="1">
        <v>0</v>
      </c>
      <c r="M81" s="1">
        <v>5331960.4792440776</v>
      </c>
      <c r="N81" s="1">
        <v>5331960.4792440776</v>
      </c>
      <c r="O81" s="1">
        <v>0</v>
      </c>
      <c r="P81" s="1">
        <v>0</v>
      </c>
      <c r="Q81" s="1">
        <v>0</v>
      </c>
      <c r="R81" s="1">
        <v>0</v>
      </c>
      <c r="S81" s="1">
        <v>5331960.4792440776</v>
      </c>
      <c r="T81" s="1">
        <v>5331960.4792440776</v>
      </c>
      <c r="U81" s="1">
        <v>0</v>
      </c>
      <c r="V81" s="1">
        <v>0</v>
      </c>
      <c r="W81" s="4">
        <f t="shared" si="4"/>
        <v>11415625.887323946</v>
      </c>
      <c r="X81" s="4">
        <f t="shared" si="5"/>
        <v>11415625.887323946</v>
      </c>
      <c r="Y81" s="5">
        <f t="shared" si="6"/>
        <v>1</v>
      </c>
    </row>
    <row r="82" spans="1:25" x14ac:dyDescent="0.25">
      <c r="A82" s="1" t="s">
        <v>58</v>
      </c>
      <c r="B82" s="1" t="s">
        <v>69</v>
      </c>
      <c r="C82" s="1" t="s">
        <v>28</v>
      </c>
      <c r="D82" s="1">
        <v>5974940.3939736327</v>
      </c>
      <c r="E82" s="1">
        <v>394346.06600225979</v>
      </c>
      <c r="F82" s="1">
        <v>394346.06600225979</v>
      </c>
      <c r="G82" s="1">
        <v>492932.58250282472</v>
      </c>
      <c r="H82" s="1">
        <v>492932.58250282472</v>
      </c>
      <c r="I82" s="1">
        <v>492932.58250282472</v>
      </c>
      <c r="J82" s="1">
        <v>492932.58250282472</v>
      </c>
      <c r="K82" s="1">
        <v>492932.58250282472</v>
      </c>
      <c r="L82" s="1">
        <v>492932.58250282472</v>
      </c>
      <c r="M82" s="1">
        <v>300240.754797175</v>
      </c>
      <c r="N82" s="1">
        <v>300240.754797175</v>
      </c>
      <c r="O82" s="1">
        <v>250200.62899764586</v>
      </c>
      <c r="P82" s="1">
        <v>250200.62899764586</v>
      </c>
      <c r="Q82" s="1">
        <v>350280.8805967042</v>
      </c>
      <c r="R82" s="1">
        <v>350280.8805967042</v>
      </c>
      <c r="S82" s="1">
        <v>350280.8805967042</v>
      </c>
      <c r="T82" s="1">
        <v>350280.8805967042</v>
      </c>
      <c r="U82" s="1">
        <v>350280.8805967042</v>
      </c>
      <c r="V82" s="1">
        <v>350280.8805967042</v>
      </c>
      <c r="W82" s="4">
        <f t="shared" si="4"/>
        <v>3474427.8390956675</v>
      </c>
      <c r="X82" s="4">
        <f t="shared" si="5"/>
        <v>3474427.8390956675</v>
      </c>
      <c r="Y82" s="5">
        <f t="shared" si="6"/>
        <v>0.58150000000000002</v>
      </c>
    </row>
    <row r="83" spans="1:25" x14ac:dyDescent="0.25">
      <c r="A83" s="1" t="s">
        <v>58</v>
      </c>
      <c r="B83" s="1" t="s">
        <v>70</v>
      </c>
      <c r="C83" s="1" t="s">
        <v>23</v>
      </c>
      <c r="D83" s="1">
        <v>6890625.0152343744</v>
      </c>
      <c r="E83" s="1">
        <v>454781.25100546872</v>
      </c>
      <c r="F83" s="1">
        <v>454781.25100546872</v>
      </c>
      <c r="G83" s="1">
        <v>568476.56375683588</v>
      </c>
      <c r="H83" s="1">
        <v>568476.56375683588</v>
      </c>
      <c r="I83" s="1">
        <v>568476.56375683588</v>
      </c>
      <c r="J83" s="1">
        <v>568476.56375683588</v>
      </c>
      <c r="K83" s="1">
        <v>568476.56375683588</v>
      </c>
      <c r="L83" s="1">
        <v>568476.56375683588</v>
      </c>
      <c r="M83" s="1">
        <v>346253.90701552731</v>
      </c>
      <c r="N83" s="1">
        <v>346253.90701552731</v>
      </c>
      <c r="O83" s="1">
        <v>288544.92251293943</v>
      </c>
      <c r="P83" s="1">
        <v>288544.92251293943</v>
      </c>
      <c r="Q83" s="1">
        <v>403962.89151811518</v>
      </c>
      <c r="R83" s="1">
        <v>403962.89151811518</v>
      </c>
      <c r="S83" s="1">
        <v>403962.89151811518</v>
      </c>
      <c r="T83" s="1">
        <v>403962.89151811518</v>
      </c>
      <c r="U83" s="1">
        <v>403962.89151811518</v>
      </c>
      <c r="V83" s="1">
        <v>403962.89151811518</v>
      </c>
      <c r="W83" s="4">
        <f t="shared" si="4"/>
        <v>4006898.4463587888</v>
      </c>
      <c r="X83" s="4">
        <f t="shared" si="5"/>
        <v>4006898.4463587888</v>
      </c>
      <c r="Y83" s="5">
        <f t="shared" si="6"/>
        <v>0.58150000000000002</v>
      </c>
    </row>
    <row r="84" spans="1:25" x14ac:dyDescent="0.25">
      <c r="A84" s="1" t="s">
        <v>58</v>
      </c>
      <c r="B84" s="1" t="s">
        <v>71</v>
      </c>
      <c r="C84" s="1" t="s">
        <v>29</v>
      </c>
      <c r="D84" s="1">
        <v>6952864.9211538434</v>
      </c>
      <c r="E84" s="1">
        <v>458889.08479615371</v>
      </c>
      <c r="F84" s="1">
        <v>458889.08479615371</v>
      </c>
      <c r="G84" s="1">
        <v>573611.35599519208</v>
      </c>
      <c r="H84" s="1">
        <v>573611.35599519208</v>
      </c>
      <c r="I84" s="1">
        <v>573611.35599519208</v>
      </c>
      <c r="J84" s="1">
        <v>573611.35599519208</v>
      </c>
      <c r="K84" s="1">
        <v>573611.35599519208</v>
      </c>
      <c r="L84" s="1">
        <v>573611.35599519208</v>
      </c>
      <c r="M84" s="1">
        <v>349381.4622879806</v>
      </c>
      <c r="N84" s="1">
        <v>349381.4622879806</v>
      </c>
      <c r="O84" s="1">
        <v>291151.21857331716</v>
      </c>
      <c r="P84" s="1">
        <v>291151.21857331716</v>
      </c>
      <c r="Q84" s="1">
        <v>407611.70600264403</v>
      </c>
      <c r="R84" s="1">
        <v>407611.70600264403</v>
      </c>
      <c r="S84" s="1">
        <v>407611.70600264403</v>
      </c>
      <c r="T84" s="1">
        <v>407611.70600264403</v>
      </c>
      <c r="U84" s="1">
        <v>407611.70600264403</v>
      </c>
      <c r="V84" s="1">
        <v>407611.70600264403</v>
      </c>
      <c r="W84" s="4">
        <f t="shared" si="4"/>
        <v>4043090.9516509604</v>
      </c>
      <c r="X84" s="4">
        <f t="shared" si="5"/>
        <v>4043090.9516509604</v>
      </c>
      <c r="Y84" s="5">
        <f t="shared" si="6"/>
        <v>0.58150000000000002</v>
      </c>
    </row>
    <row r="85" spans="1:25" x14ac:dyDescent="0.25">
      <c r="A85" s="1" t="s">
        <v>58</v>
      </c>
      <c r="B85" s="1" t="s">
        <v>72</v>
      </c>
      <c r="C85" s="1" t="s">
        <v>73</v>
      </c>
      <c r="D85" s="1">
        <v>6102004.1480104551</v>
      </c>
      <c r="E85" s="1">
        <v>402732.27376869007</v>
      </c>
      <c r="F85" s="1">
        <v>402732.27376869007</v>
      </c>
      <c r="G85" s="1">
        <v>503415.34221086255</v>
      </c>
      <c r="H85" s="1">
        <v>503415.34221086255</v>
      </c>
      <c r="I85" s="1">
        <v>503415.34221086255</v>
      </c>
      <c r="J85" s="1">
        <v>503415.34221086255</v>
      </c>
      <c r="K85" s="1">
        <v>503415.34221086255</v>
      </c>
      <c r="L85" s="1">
        <v>503415.34221086255</v>
      </c>
      <c r="M85" s="1">
        <v>306625.70843752538</v>
      </c>
      <c r="N85" s="1">
        <v>306625.70843752538</v>
      </c>
      <c r="O85" s="1">
        <v>255521.4236979378</v>
      </c>
      <c r="P85" s="1">
        <v>255521.4236979378</v>
      </c>
      <c r="Q85" s="1">
        <v>357729.99317711289</v>
      </c>
      <c r="R85" s="1">
        <v>357729.99317711289</v>
      </c>
      <c r="S85" s="1">
        <v>357729.99317711289</v>
      </c>
      <c r="T85" s="1">
        <v>357729.99317711289</v>
      </c>
      <c r="U85" s="1">
        <v>357729.99317711289</v>
      </c>
      <c r="V85" s="1">
        <v>357729.99317711289</v>
      </c>
      <c r="W85" s="4">
        <f t="shared" si="4"/>
        <v>3548315.4120680797</v>
      </c>
      <c r="X85" s="4">
        <f t="shared" si="5"/>
        <v>3548315.4120680797</v>
      </c>
      <c r="Y85" s="5">
        <f t="shared" si="6"/>
        <v>0.58150000000000002</v>
      </c>
    </row>
    <row r="86" spans="1:25" x14ac:dyDescent="0.25">
      <c r="A86" s="1" t="s">
        <v>58</v>
      </c>
      <c r="B86" s="1" t="s">
        <v>48</v>
      </c>
      <c r="C86" s="1" t="s">
        <v>49</v>
      </c>
      <c r="D86" s="1">
        <v>4559548.771986505</v>
      </c>
      <c r="E86" s="1">
        <v>300930.21895110933</v>
      </c>
      <c r="F86" s="1">
        <v>300930.21895110933</v>
      </c>
      <c r="G86" s="1">
        <v>376162.77368888666</v>
      </c>
      <c r="H86" s="1">
        <v>376162.77368888666</v>
      </c>
      <c r="I86" s="1">
        <v>376162.77368888666</v>
      </c>
      <c r="J86" s="1">
        <v>376162.77368888666</v>
      </c>
      <c r="K86" s="1">
        <v>376162.77368888666</v>
      </c>
      <c r="L86" s="1">
        <v>376162.77368888666</v>
      </c>
      <c r="M86" s="1">
        <v>229117.32579232185</v>
      </c>
      <c r="N86" s="1">
        <v>229117.32579232185</v>
      </c>
      <c r="O86" s="1">
        <v>190931.10482693487</v>
      </c>
      <c r="P86" s="1">
        <v>190931.10482693487</v>
      </c>
      <c r="Q86" s="1">
        <v>267303.54675770883</v>
      </c>
      <c r="R86" s="1">
        <v>267303.54675770883</v>
      </c>
      <c r="S86" s="1">
        <v>267303.54675770883</v>
      </c>
      <c r="T86" s="1">
        <v>267303.54675770883</v>
      </c>
      <c r="U86" s="1">
        <v>267303.54675770883</v>
      </c>
      <c r="V86" s="1">
        <v>267303.54675770883</v>
      </c>
      <c r="W86" s="4">
        <f t="shared" si="4"/>
        <v>2651377.610910153</v>
      </c>
      <c r="X86" s="4">
        <f t="shared" si="5"/>
        <v>2651377.610910153</v>
      </c>
      <c r="Y86" s="5">
        <f t="shared" si="6"/>
        <v>0.58150000000000013</v>
      </c>
    </row>
    <row r="87" spans="1:25" x14ac:dyDescent="0.25">
      <c r="A87" s="1" t="s">
        <v>58</v>
      </c>
      <c r="B87" s="1" t="s">
        <v>53</v>
      </c>
      <c r="C87" s="1" t="s">
        <v>30</v>
      </c>
      <c r="D87" s="1">
        <v>3286014.9262045384</v>
      </c>
      <c r="E87" s="1">
        <v>216876.98512949955</v>
      </c>
      <c r="F87" s="1">
        <v>216876.98512949955</v>
      </c>
      <c r="G87" s="1">
        <v>271096.23141187441</v>
      </c>
      <c r="H87" s="1">
        <v>271096.23141187441</v>
      </c>
      <c r="I87" s="1">
        <v>271096.23141187441</v>
      </c>
      <c r="J87" s="1">
        <v>271096.23141187441</v>
      </c>
      <c r="K87" s="1">
        <v>271096.23141187441</v>
      </c>
      <c r="L87" s="1">
        <v>271096.23141187441</v>
      </c>
      <c r="M87" s="1">
        <v>165122.25004177805</v>
      </c>
      <c r="N87" s="1">
        <v>165122.25004177805</v>
      </c>
      <c r="O87" s="1">
        <v>137601.87503481505</v>
      </c>
      <c r="P87" s="1">
        <v>137601.87503481505</v>
      </c>
      <c r="Q87" s="1">
        <v>192642.62504874106</v>
      </c>
      <c r="R87" s="1">
        <v>192642.62504874106</v>
      </c>
      <c r="S87" s="1">
        <v>192642.62504874106</v>
      </c>
      <c r="T87" s="1">
        <v>192642.62504874106</v>
      </c>
      <c r="U87" s="1">
        <v>192642.62504874106</v>
      </c>
      <c r="V87" s="1">
        <v>192642.62504874106</v>
      </c>
      <c r="W87" s="4">
        <f t="shared" si="4"/>
        <v>1910817.6795879391</v>
      </c>
      <c r="X87" s="4">
        <f t="shared" si="5"/>
        <v>1910817.6795879391</v>
      </c>
      <c r="Y87" s="5">
        <f t="shared" si="6"/>
        <v>0.58150000000000002</v>
      </c>
    </row>
    <row r="88" spans="1:25" x14ac:dyDescent="0.25">
      <c r="A88" s="1" t="s">
        <v>58</v>
      </c>
      <c r="B88" s="1" t="s">
        <v>74</v>
      </c>
      <c r="C88" s="1" t="s">
        <v>75</v>
      </c>
      <c r="D88" s="1">
        <v>4202403.7756456211</v>
      </c>
      <c r="E88" s="1">
        <v>277358.64919261099</v>
      </c>
      <c r="F88" s="1">
        <v>277358.64919261099</v>
      </c>
      <c r="G88" s="1">
        <v>346698.31149076374</v>
      </c>
      <c r="H88" s="1">
        <v>346698.31149076374</v>
      </c>
      <c r="I88" s="1">
        <v>346698.31149076374</v>
      </c>
      <c r="J88" s="1">
        <v>346698.31149076374</v>
      </c>
      <c r="K88" s="1">
        <v>346698.31149076374</v>
      </c>
      <c r="L88" s="1">
        <v>346698.31149076374</v>
      </c>
      <c r="M88" s="1">
        <v>211170.78972619248</v>
      </c>
      <c r="N88" s="1">
        <v>211170.78972619248</v>
      </c>
      <c r="O88" s="1">
        <v>175975.6581051604</v>
      </c>
      <c r="P88" s="1">
        <v>175975.6581051604</v>
      </c>
      <c r="Q88" s="1">
        <v>246365.92134722453</v>
      </c>
      <c r="R88" s="1">
        <v>246365.92134722453</v>
      </c>
      <c r="S88" s="1">
        <v>246365.92134722453</v>
      </c>
      <c r="T88" s="1">
        <v>246365.92134722453</v>
      </c>
      <c r="U88" s="1">
        <v>246365.92134722453</v>
      </c>
      <c r="V88" s="1">
        <v>246365.92134722453</v>
      </c>
      <c r="W88" s="4">
        <f t="shared" si="4"/>
        <v>2443697.7955379291</v>
      </c>
      <c r="X88" s="4">
        <f t="shared" si="5"/>
        <v>2443697.7955379291</v>
      </c>
      <c r="Y88" s="5">
        <f t="shared" si="6"/>
        <v>0.58150000000000013</v>
      </c>
    </row>
    <row r="89" spans="1:25" x14ac:dyDescent="0.25">
      <c r="A89" s="1" t="s">
        <v>58</v>
      </c>
      <c r="B89" s="1" t="s">
        <v>50</v>
      </c>
      <c r="C89" s="1" t="s">
        <v>25</v>
      </c>
      <c r="D89" s="1">
        <v>4787526.2105858289</v>
      </c>
      <c r="E89" s="1">
        <v>315976.72989866475</v>
      </c>
      <c r="F89" s="1">
        <v>315976.72989866475</v>
      </c>
      <c r="G89" s="1">
        <v>394970.91237333091</v>
      </c>
      <c r="H89" s="1">
        <v>394970.91237333091</v>
      </c>
      <c r="I89" s="1">
        <v>394970.91237333091</v>
      </c>
      <c r="J89" s="1">
        <v>394970.91237333091</v>
      </c>
      <c r="K89" s="1">
        <v>394970.91237333091</v>
      </c>
      <c r="L89" s="1">
        <v>394970.91237333091</v>
      </c>
      <c r="M89" s="1">
        <v>240573.19208193789</v>
      </c>
      <c r="N89" s="1">
        <v>240573.19208193789</v>
      </c>
      <c r="O89" s="1">
        <v>200477.66006828158</v>
      </c>
      <c r="P89" s="1">
        <v>200477.66006828158</v>
      </c>
      <c r="Q89" s="1">
        <v>280668.7240955942</v>
      </c>
      <c r="R89" s="1">
        <v>280668.7240955942</v>
      </c>
      <c r="S89" s="1">
        <v>280668.7240955942</v>
      </c>
      <c r="T89" s="1">
        <v>280668.7240955942</v>
      </c>
      <c r="U89" s="1">
        <v>280668.7240955942</v>
      </c>
      <c r="V89" s="1">
        <v>280668.7240955942</v>
      </c>
      <c r="W89" s="4">
        <f t="shared" si="4"/>
        <v>2783946.4914556597</v>
      </c>
      <c r="X89" s="4">
        <f t="shared" si="5"/>
        <v>2783946.4914556597</v>
      </c>
      <c r="Y89" s="5">
        <f t="shared" si="6"/>
        <v>0.58150000000000002</v>
      </c>
    </row>
    <row r="90" spans="1:25" x14ac:dyDescent="0.25">
      <c r="A90" s="1" t="s">
        <v>76</v>
      </c>
      <c r="B90" s="1" t="s">
        <v>59</v>
      </c>
      <c r="C90" s="1" t="s">
        <v>26</v>
      </c>
      <c r="D90" s="1">
        <v>41087682.748172127</v>
      </c>
      <c r="E90" s="1">
        <v>3659241.8773793611</v>
      </c>
      <c r="F90" s="1">
        <v>3659241.8773793611</v>
      </c>
      <c r="G90" s="1">
        <v>4574052.346724201</v>
      </c>
      <c r="H90" s="1">
        <v>4574052.346724201</v>
      </c>
      <c r="I90" s="1">
        <v>4574052.346724201</v>
      </c>
      <c r="J90" s="1">
        <v>4574052.346724201</v>
      </c>
      <c r="K90" s="1">
        <v>4574052.346724201</v>
      </c>
      <c r="L90" s="1">
        <v>4574052.346724201</v>
      </c>
      <c r="M90" s="1">
        <v>2848934.1701594149</v>
      </c>
      <c r="N90" s="1">
        <v>2848934.1701594149</v>
      </c>
      <c r="O90" s="1">
        <v>2848934.1701594149</v>
      </c>
      <c r="P90" s="1">
        <v>2848934.1701594149</v>
      </c>
      <c r="Q90" s="1">
        <v>2848934.1701594149</v>
      </c>
      <c r="R90" s="1">
        <v>2848934.1701594149</v>
      </c>
      <c r="S90" s="1">
        <v>2848934.1701594149</v>
      </c>
      <c r="T90" s="1">
        <v>2848934.1701594149</v>
      </c>
      <c r="U90" s="1">
        <v>2848934.1701594149</v>
      </c>
      <c r="V90" s="1">
        <v>2848934.1701594149</v>
      </c>
      <c r="W90" s="4">
        <f t="shared" si="4"/>
        <v>31626069.76834904</v>
      </c>
      <c r="X90" s="4">
        <f t="shared" si="5"/>
        <v>31626069.76834904</v>
      </c>
      <c r="Y90" s="5">
        <f t="shared" si="6"/>
        <v>0.76972142630155982</v>
      </c>
    </row>
    <row r="91" spans="1:25" x14ac:dyDescent="0.25">
      <c r="A91" s="1" t="s">
        <v>76</v>
      </c>
      <c r="B91" s="1" t="s">
        <v>60</v>
      </c>
      <c r="C91" s="1" t="s">
        <v>26</v>
      </c>
      <c r="D91" s="1">
        <v>14355376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7177688</v>
      </c>
      <c r="N91" s="1">
        <v>7177688</v>
      </c>
      <c r="O91" s="1">
        <v>7177688</v>
      </c>
      <c r="P91" s="1">
        <v>7177688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4">
        <f t="shared" si="4"/>
        <v>14355376</v>
      </c>
      <c r="X91" s="4">
        <f t="shared" si="5"/>
        <v>14355376</v>
      </c>
      <c r="Y91" s="5">
        <f t="shared" si="6"/>
        <v>1</v>
      </c>
    </row>
    <row r="92" spans="1:25" x14ac:dyDescent="0.25">
      <c r="A92" s="1" t="s">
        <v>76</v>
      </c>
      <c r="B92" s="1" t="s">
        <v>33</v>
      </c>
      <c r="C92" s="1" t="s">
        <v>34</v>
      </c>
      <c r="D92" s="1">
        <v>60000000</v>
      </c>
      <c r="E92" s="1">
        <v>0</v>
      </c>
      <c r="F92" s="1">
        <v>0</v>
      </c>
      <c r="G92" s="1">
        <v>12000000</v>
      </c>
      <c r="H92" s="1">
        <v>12000000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18000000</v>
      </c>
      <c r="P92" s="1">
        <v>18000000</v>
      </c>
      <c r="Q92" s="1">
        <v>0</v>
      </c>
      <c r="R92" s="1">
        <v>0</v>
      </c>
      <c r="S92" s="1">
        <v>18000000</v>
      </c>
      <c r="T92" s="1">
        <v>18000000</v>
      </c>
      <c r="U92" s="1">
        <v>12000000</v>
      </c>
      <c r="V92" s="1">
        <v>12000000</v>
      </c>
      <c r="W92" s="4">
        <f t="shared" si="4"/>
        <v>60000000</v>
      </c>
      <c r="X92" s="4">
        <f t="shared" si="5"/>
        <v>60000000</v>
      </c>
      <c r="Y92" s="5">
        <f t="shared" si="6"/>
        <v>1</v>
      </c>
    </row>
    <row r="93" spans="1:25" x14ac:dyDescent="0.25">
      <c r="A93" s="1" t="s">
        <v>76</v>
      </c>
      <c r="B93" s="1" t="s">
        <v>35</v>
      </c>
      <c r="C93" s="1" t="s">
        <v>34</v>
      </c>
      <c r="D93" s="1">
        <v>150000000</v>
      </c>
      <c r="E93" s="1">
        <v>0</v>
      </c>
      <c r="F93" s="1">
        <v>0</v>
      </c>
      <c r="G93" s="1">
        <v>41250000</v>
      </c>
      <c r="H93" s="1">
        <v>41250000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36250000</v>
      </c>
      <c r="P93" s="1">
        <v>36250000</v>
      </c>
      <c r="Q93" s="1">
        <v>0</v>
      </c>
      <c r="R93" s="1">
        <v>0</v>
      </c>
      <c r="S93" s="1">
        <v>36250000</v>
      </c>
      <c r="T93" s="1">
        <v>36250000</v>
      </c>
      <c r="U93" s="1">
        <v>36250000</v>
      </c>
      <c r="V93" s="1">
        <v>36250000</v>
      </c>
      <c r="W93" s="4">
        <f t="shared" si="4"/>
        <v>150000000</v>
      </c>
      <c r="X93" s="4">
        <f t="shared" si="5"/>
        <v>150000000</v>
      </c>
      <c r="Y93" s="5">
        <f t="shared" si="6"/>
        <v>1</v>
      </c>
    </row>
    <row r="94" spans="1:25" x14ac:dyDescent="0.25">
      <c r="A94" s="1" t="s">
        <v>76</v>
      </c>
      <c r="B94" s="1" t="s">
        <v>38</v>
      </c>
      <c r="C94" s="1" t="s">
        <v>39</v>
      </c>
      <c r="D94" s="1">
        <v>9429908.0665411185</v>
      </c>
      <c r="E94" s="1">
        <v>622373.93239171396</v>
      </c>
      <c r="F94" s="1">
        <v>622373.93239171396</v>
      </c>
      <c r="G94" s="1">
        <v>777967.41548964242</v>
      </c>
      <c r="H94" s="1">
        <v>777967.41548964242</v>
      </c>
      <c r="I94" s="1">
        <v>777967.41548964242</v>
      </c>
      <c r="J94" s="1">
        <v>777967.41548964242</v>
      </c>
      <c r="K94" s="1">
        <v>777967.41548964242</v>
      </c>
      <c r="L94" s="1">
        <v>777967.41548964242</v>
      </c>
      <c r="M94" s="1">
        <v>473852.88034369127</v>
      </c>
      <c r="N94" s="1">
        <v>473852.88034369127</v>
      </c>
      <c r="O94" s="1">
        <v>394877.40028640942</v>
      </c>
      <c r="P94" s="1">
        <v>394877.40028640942</v>
      </c>
      <c r="Q94" s="1">
        <v>552828.36040097312</v>
      </c>
      <c r="R94" s="1">
        <v>552828.36040097312</v>
      </c>
      <c r="S94" s="1">
        <v>552828.36040097312</v>
      </c>
      <c r="T94" s="1">
        <v>552828.36040097312</v>
      </c>
      <c r="U94" s="1">
        <v>552828.36040097312</v>
      </c>
      <c r="V94" s="1">
        <v>552828.36040097312</v>
      </c>
      <c r="W94" s="4">
        <f t="shared" si="4"/>
        <v>5483491.5406936612</v>
      </c>
      <c r="X94" s="4">
        <f t="shared" si="5"/>
        <v>5483491.5406936612</v>
      </c>
      <c r="Y94" s="5">
        <f t="shared" si="6"/>
        <v>0.58150000000000013</v>
      </c>
    </row>
    <row r="95" spans="1:25" x14ac:dyDescent="0.25">
      <c r="A95" s="1" t="s">
        <v>76</v>
      </c>
      <c r="B95" s="1" t="s">
        <v>61</v>
      </c>
      <c r="C95" s="1" t="s">
        <v>34</v>
      </c>
      <c r="D95" s="1">
        <v>87494484</v>
      </c>
      <c r="E95" s="1">
        <v>0</v>
      </c>
      <c r="F95" s="1">
        <v>0</v>
      </c>
      <c r="G95" s="1">
        <v>6999558.7192027364</v>
      </c>
      <c r="H95" s="1">
        <v>6999558.7192027364</v>
      </c>
      <c r="I95" s="1">
        <v>0</v>
      </c>
      <c r="J95" s="1">
        <v>0</v>
      </c>
      <c r="K95" s="1">
        <v>0</v>
      </c>
      <c r="L95" s="1">
        <v>0</v>
      </c>
      <c r="M95" s="1">
        <v>20123731.320199315</v>
      </c>
      <c r="N95" s="1">
        <v>20123731.320199315</v>
      </c>
      <c r="O95" s="1">
        <v>0</v>
      </c>
      <c r="P95" s="1">
        <v>0</v>
      </c>
      <c r="Q95" s="1">
        <v>0</v>
      </c>
      <c r="R95" s="1">
        <v>0</v>
      </c>
      <c r="S95" s="1">
        <v>30185596.980298974</v>
      </c>
      <c r="T95" s="1">
        <v>30185596.980298974</v>
      </c>
      <c r="U95" s="1">
        <v>0</v>
      </c>
      <c r="V95" s="1">
        <v>0</v>
      </c>
      <c r="W95" s="4">
        <f t="shared" si="4"/>
        <v>57308887.019701026</v>
      </c>
      <c r="X95" s="4">
        <f t="shared" si="5"/>
        <v>57308887.019701026</v>
      </c>
      <c r="Y95" s="5">
        <f t="shared" si="6"/>
        <v>0.65499999999658298</v>
      </c>
    </row>
    <row r="96" spans="1:25" x14ac:dyDescent="0.25">
      <c r="A96" s="1" t="s">
        <v>76</v>
      </c>
      <c r="B96" s="1" t="s">
        <v>62</v>
      </c>
      <c r="C96" s="1" t="s">
        <v>63</v>
      </c>
      <c r="D96" s="1">
        <v>37642857</v>
      </c>
      <c r="E96" s="1">
        <v>15399999.999120001</v>
      </c>
      <c r="F96" s="1">
        <v>15399999.999120001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1379464.2857967855</v>
      </c>
      <c r="N96" s="1">
        <v>1379464.2857967855</v>
      </c>
      <c r="O96" s="1">
        <v>1149553.5714973214</v>
      </c>
      <c r="P96" s="1">
        <v>1149553.5714973214</v>
      </c>
      <c r="Q96" s="1">
        <v>1609375.0000962499</v>
      </c>
      <c r="R96" s="1">
        <v>1609375.0000962499</v>
      </c>
      <c r="S96" s="1">
        <v>1609375.0000962499</v>
      </c>
      <c r="T96" s="1">
        <v>1609375.0000962499</v>
      </c>
      <c r="U96" s="1">
        <v>1609375.0000962499</v>
      </c>
      <c r="V96" s="1">
        <v>1609375.0000962499</v>
      </c>
      <c r="W96" s="4">
        <f t="shared" si="4"/>
        <v>22757142.856702857</v>
      </c>
      <c r="X96" s="4">
        <f t="shared" si="5"/>
        <v>22757142.856702857</v>
      </c>
      <c r="Y96" s="5">
        <f t="shared" si="6"/>
        <v>0.60455408197902871</v>
      </c>
    </row>
    <row r="97" spans="1:25" x14ac:dyDescent="0.25">
      <c r="A97" s="1" t="s">
        <v>76</v>
      </c>
      <c r="B97" s="1" t="s">
        <v>40</v>
      </c>
      <c r="C97" s="1" t="s">
        <v>27</v>
      </c>
      <c r="D97" s="1">
        <v>169560395.00000006</v>
      </c>
      <c r="E97" s="1">
        <v>17725765.083333336</v>
      </c>
      <c r="F97" s="1">
        <v>17725765.083333336</v>
      </c>
      <c r="G97" s="1">
        <v>16196954.85</v>
      </c>
      <c r="H97" s="1">
        <v>16196954.85</v>
      </c>
      <c r="I97" s="1">
        <v>12385388.027777791</v>
      </c>
      <c r="J97" s="1">
        <v>12385388.027777791</v>
      </c>
      <c r="K97" s="1">
        <v>12715863.4944444</v>
      </c>
      <c r="L97" s="1">
        <v>12715863.4944444</v>
      </c>
      <c r="M97" s="1">
        <v>23250000.000000034</v>
      </c>
      <c r="N97" s="1">
        <v>23250000.000000034</v>
      </c>
      <c r="O97" s="1">
        <v>30508245.877777796</v>
      </c>
      <c r="P97" s="1">
        <v>30508245.877777796</v>
      </c>
      <c r="Q97" s="1">
        <v>8841896.8611111119</v>
      </c>
      <c r="R97" s="1">
        <v>8841896.8611111119</v>
      </c>
      <c r="S97" s="1">
        <v>19016612.094444443</v>
      </c>
      <c r="T97" s="1">
        <v>19016612.094444443</v>
      </c>
      <c r="U97" s="1">
        <v>7518237.194444445</v>
      </c>
      <c r="V97" s="1">
        <v>7518237.194444445</v>
      </c>
      <c r="W97" s="4">
        <f t="shared" si="4"/>
        <v>148158963.48333335</v>
      </c>
      <c r="X97" s="4">
        <f t="shared" si="5"/>
        <v>148158963.48333335</v>
      </c>
      <c r="Y97" s="5">
        <f t="shared" si="6"/>
        <v>0.87378283993342487</v>
      </c>
    </row>
    <row r="98" spans="1:25" x14ac:dyDescent="0.25">
      <c r="A98" s="1" t="s">
        <v>76</v>
      </c>
      <c r="B98" s="1" t="s">
        <v>41</v>
      </c>
      <c r="C98" s="1" t="s">
        <v>27</v>
      </c>
      <c r="D98" s="1">
        <v>147812829</v>
      </c>
      <c r="E98" s="1">
        <v>0</v>
      </c>
      <c r="F98" s="1">
        <v>0</v>
      </c>
      <c r="G98" s="1">
        <v>0</v>
      </c>
      <c r="H98" s="1">
        <v>0</v>
      </c>
      <c r="I98" s="1">
        <v>32062506.303949207</v>
      </c>
      <c r="J98" s="1">
        <v>32062506.303949207</v>
      </c>
      <c r="K98" s="1">
        <v>0</v>
      </c>
      <c r="L98" s="1">
        <v>0</v>
      </c>
      <c r="M98" s="1">
        <v>52886060.022038095</v>
      </c>
      <c r="N98" s="1">
        <v>52886060.022038095</v>
      </c>
      <c r="O98" s="1">
        <v>58248701.674012698</v>
      </c>
      <c r="P98" s="1">
        <v>58248701.674012698</v>
      </c>
      <c r="Q98" s="1">
        <v>3057731</v>
      </c>
      <c r="R98" s="1">
        <v>3057731</v>
      </c>
      <c r="S98" s="1">
        <v>0</v>
      </c>
      <c r="T98" s="1">
        <v>0</v>
      </c>
      <c r="U98" s="1">
        <v>0</v>
      </c>
      <c r="V98" s="1">
        <v>0</v>
      </c>
      <c r="W98" s="4">
        <f t="shared" si="4"/>
        <v>146254999</v>
      </c>
      <c r="X98" s="4">
        <f t="shared" si="5"/>
        <v>146254999</v>
      </c>
      <c r="Y98" s="5">
        <f t="shared" si="6"/>
        <v>0.98946079301411649</v>
      </c>
    </row>
    <row r="99" spans="1:25" x14ac:dyDescent="0.25">
      <c r="A99" s="1" t="s">
        <v>76</v>
      </c>
      <c r="B99" s="1" t="s">
        <v>42</v>
      </c>
      <c r="C99" s="1" t="s">
        <v>27</v>
      </c>
      <c r="D99" s="1">
        <v>34472251</v>
      </c>
      <c r="E99" s="1">
        <v>0</v>
      </c>
      <c r="F99" s="1">
        <v>0</v>
      </c>
      <c r="G99" s="1">
        <v>0</v>
      </c>
      <c r="H99" s="1">
        <v>0</v>
      </c>
      <c r="I99" s="1">
        <v>11693549</v>
      </c>
      <c r="J99" s="1">
        <v>11693549</v>
      </c>
      <c r="K99" s="1">
        <v>13328980</v>
      </c>
      <c r="L99" s="1">
        <v>13328980</v>
      </c>
      <c r="M99" s="1">
        <v>0</v>
      </c>
      <c r="N99" s="1">
        <v>0</v>
      </c>
      <c r="O99" s="1">
        <v>9449722</v>
      </c>
      <c r="P99" s="1">
        <v>9449722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4">
        <f t="shared" si="4"/>
        <v>34472251</v>
      </c>
      <c r="X99" s="4">
        <f t="shared" si="5"/>
        <v>34472251</v>
      </c>
      <c r="Y99" s="5">
        <f t="shared" si="6"/>
        <v>1</v>
      </c>
    </row>
    <row r="100" spans="1:25" x14ac:dyDescent="0.25">
      <c r="A100" s="1" t="s">
        <v>76</v>
      </c>
      <c r="B100" s="1" t="s">
        <v>43</v>
      </c>
      <c r="C100" s="1" t="s">
        <v>31</v>
      </c>
      <c r="D100" s="1">
        <v>5232629</v>
      </c>
      <c r="E100" s="1">
        <v>303955.06536509661</v>
      </c>
      <c r="F100" s="1">
        <v>303955.06536509661</v>
      </c>
      <c r="G100" s="1">
        <v>379943.83170637075</v>
      </c>
      <c r="H100" s="1">
        <v>379943.83170637075</v>
      </c>
      <c r="I100" s="1">
        <v>379943.83170637075</v>
      </c>
      <c r="J100" s="1">
        <v>379943.83170637075</v>
      </c>
      <c r="K100" s="1">
        <v>379943.83170637075</v>
      </c>
      <c r="L100" s="1">
        <v>379943.83170637075</v>
      </c>
      <c r="M100" s="1">
        <v>282516.57286009676</v>
      </c>
      <c r="N100" s="1">
        <v>282516.57286009676</v>
      </c>
      <c r="O100" s="1">
        <v>235430.47738341399</v>
      </c>
      <c r="P100" s="1">
        <v>235430.47738341399</v>
      </c>
      <c r="Q100" s="1">
        <v>291778.89286470361</v>
      </c>
      <c r="R100" s="1">
        <v>291778.89286470361</v>
      </c>
      <c r="S100" s="1">
        <v>329602.66833677958</v>
      </c>
      <c r="T100" s="1">
        <v>329602.66833677958</v>
      </c>
      <c r="U100" s="1">
        <v>329602.66833677958</v>
      </c>
      <c r="V100" s="1">
        <v>329602.66833677958</v>
      </c>
      <c r="W100" s="4">
        <f t="shared" si="4"/>
        <v>2912717.8402659823</v>
      </c>
      <c r="X100" s="4">
        <f t="shared" si="5"/>
        <v>2912717.8402659823</v>
      </c>
      <c r="Y100" s="5">
        <f t="shared" si="6"/>
        <v>0.55664520459332822</v>
      </c>
    </row>
    <row r="101" spans="1:25" x14ac:dyDescent="0.25">
      <c r="A101" s="1" t="s">
        <v>76</v>
      </c>
      <c r="B101" s="1" t="s">
        <v>64</v>
      </c>
      <c r="C101" s="1" t="s">
        <v>23</v>
      </c>
      <c r="D101" s="1">
        <v>5879895.232735062</v>
      </c>
      <c r="E101" s="1">
        <v>388073.08536051412</v>
      </c>
      <c r="F101" s="1">
        <v>388073.08536051412</v>
      </c>
      <c r="G101" s="1">
        <v>485091.35670064262</v>
      </c>
      <c r="H101" s="1">
        <v>485091.35670064262</v>
      </c>
      <c r="I101" s="1">
        <v>485091.35670064262</v>
      </c>
      <c r="J101" s="1">
        <v>485091.35670064262</v>
      </c>
      <c r="K101" s="1">
        <v>485091.35670064262</v>
      </c>
      <c r="L101" s="1">
        <v>485091.35670064262</v>
      </c>
      <c r="M101" s="1">
        <v>295464.73544493684</v>
      </c>
      <c r="N101" s="1">
        <v>295464.73544493684</v>
      </c>
      <c r="O101" s="1">
        <v>246220.61287078072</v>
      </c>
      <c r="P101" s="1">
        <v>246220.61287078072</v>
      </c>
      <c r="Q101" s="1">
        <v>344708.85801909299</v>
      </c>
      <c r="R101" s="1">
        <v>344708.85801909299</v>
      </c>
      <c r="S101" s="1">
        <v>344708.85801909299</v>
      </c>
      <c r="T101" s="1">
        <v>344708.85801909299</v>
      </c>
      <c r="U101" s="1">
        <v>344708.85801909299</v>
      </c>
      <c r="V101" s="1">
        <v>344708.85801909299</v>
      </c>
      <c r="W101" s="4">
        <f t="shared" si="4"/>
        <v>3419159.0778354383</v>
      </c>
      <c r="X101" s="4">
        <f t="shared" si="5"/>
        <v>3419159.0778354383</v>
      </c>
      <c r="Y101" s="5">
        <f t="shared" si="6"/>
        <v>0.58149999999999991</v>
      </c>
    </row>
    <row r="102" spans="1:25" x14ac:dyDescent="0.25">
      <c r="A102" s="1" t="s">
        <v>76</v>
      </c>
      <c r="B102" s="1" t="s">
        <v>65</v>
      </c>
      <c r="C102" s="1" t="s">
        <v>31</v>
      </c>
      <c r="D102" s="1">
        <v>8652654.0911687091</v>
      </c>
      <c r="E102" s="1">
        <v>571075.17001713486</v>
      </c>
      <c r="F102" s="1">
        <v>571075.17001713486</v>
      </c>
      <c r="G102" s="1">
        <v>713843.96252141858</v>
      </c>
      <c r="H102" s="1">
        <v>713843.96252141858</v>
      </c>
      <c r="I102" s="1">
        <v>713843.96252141858</v>
      </c>
      <c r="J102" s="1">
        <v>713843.96252141858</v>
      </c>
      <c r="K102" s="1">
        <v>713843.96252141858</v>
      </c>
      <c r="L102" s="1">
        <v>713843.96252141858</v>
      </c>
      <c r="M102" s="1">
        <v>434795.86808122764</v>
      </c>
      <c r="N102" s="1">
        <v>434795.86808122764</v>
      </c>
      <c r="O102" s="1">
        <v>362329.8900676897</v>
      </c>
      <c r="P102" s="1">
        <v>362329.8900676897</v>
      </c>
      <c r="Q102" s="1">
        <v>507261.84609476553</v>
      </c>
      <c r="R102" s="1">
        <v>507261.84609476553</v>
      </c>
      <c r="S102" s="1">
        <v>507261.84609476553</v>
      </c>
      <c r="T102" s="1">
        <v>507261.84609476553</v>
      </c>
      <c r="U102" s="1">
        <v>507261.84609476553</v>
      </c>
      <c r="V102" s="1">
        <v>507261.84609476553</v>
      </c>
      <c r="W102" s="4">
        <f t="shared" si="4"/>
        <v>5031518.3540146053</v>
      </c>
      <c r="X102" s="4">
        <f t="shared" si="5"/>
        <v>5031518.3540146053</v>
      </c>
      <c r="Y102" s="5">
        <f t="shared" si="6"/>
        <v>0.58150000000000013</v>
      </c>
    </row>
    <row r="103" spans="1:25" x14ac:dyDescent="0.25">
      <c r="A103" s="1" t="s">
        <v>76</v>
      </c>
      <c r="B103" s="1" t="s">
        <v>44</v>
      </c>
      <c r="C103" s="1" t="s">
        <v>45</v>
      </c>
      <c r="D103" s="1">
        <v>9429908.0665411185</v>
      </c>
      <c r="E103" s="1">
        <v>622373.93239171384</v>
      </c>
      <c r="F103" s="1">
        <v>622373.93239171384</v>
      </c>
      <c r="G103" s="1">
        <v>777967.4154896423</v>
      </c>
      <c r="H103" s="1">
        <v>777967.4154896423</v>
      </c>
      <c r="I103" s="1">
        <v>777967.4154896423</v>
      </c>
      <c r="J103" s="1">
        <v>777967.4154896423</v>
      </c>
      <c r="K103" s="1">
        <v>777967.4154896423</v>
      </c>
      <c r="L103" s="1">
        <v>777967.4154896423</v>
      </c>
      <c r="M103" s="1">
        <v>473852.88034369127</v>
      </c>
      <c r="N103" s="1">
        <v>473852.88034369127</v>
      </c>
      <c r="O103" s="1">
        <v>394877.40028640942</v>
      </c>
      <c r="P103" s="1">
        <v>394877.40028640942</v>
      </c>
      <c r="Q103" s="1">
        <v>552828.36040097312</v>
      </c>
      <c r="R103" s="1">
        <v>552828.36040097312</v>
      </c>
      <c r="S103" s="1">
        <v>552828.36040097312</v>
      </c>
      <c r="T103" s="1">
        <v>552828.36040097312</v>
      </c>
      <c r="U103" s="1">
        <v>552828.36040097312</v>
      </c>
      <c r="V103" s="1">
        <v>552828.36040097312</v>
      </c>
      <c r="W103" s="4">
        <f t="shared" si="4"/>
        <v>5483491.5406936612</v>
      </c>
      <c r="X103" s="4">
        <f t="shared" si="5"/>
        <v>5483491.5406936612</v>
      </c>
      <c r="Y103" s="5">
        <f t="shared" si="6"/>
        <v>0.58150000000000013</v>
      </c>
    </row>
    <row r="104" spans="1:25" x14ac:dyDescent="0.25">
      <c r="A104" s="1" t="s">
        <v>76</v>
      </c>
      <c r="B104" s="1" t="s">
        <v>46</v>
      </c>
      <c r="C104" s="1" t="s">
        <v>22</v>
      </c>
      <c r="D104" s="1">
        <v>80629758.99239251</v>
      </c>
      <c r="E104" s="1">
        <v>5326548.943736203</v>
      </c>
      <c r="F104" s="1">
        <v>5326548.943736203</v>
      </c>
      <c r="G104" s="1">
        <v>6658186.1796702538</v>
      </c>
      <c r="H104" s="1">
        <v>6658186.1796702538</v>
      </c>
      <c r="I104" s="1">
        <v>6658186.1796702538</v>
      </c>
      <c r="J104" s="1">
        <v>6658186.1796702538</v>
      </c>
      <c r="K104" s="1">
        <v>6658186.1796702538</v>
      </c>
      <c r="L104" s="1">
        <v>6658186.1796702538</v>
      </c>
      <c r="M104" s="1">
        <v>4177792.9168895194</v>
      </c>
      <c r="N104" s="1">
        <v>4177792.9168895194</v>
      </c>
      <c r="O104" s="1">
        <v>3397337.3112894609</v>
      </c>
      <c r="P104" s="1">
        <v>3397337.3112894609</v>
      </c>
      <c r="Q104" s="1">
        <v>4703402.6078895628</v>
      </c>
      <c r="R104" s="1">
        <v>4703402.6078895628</v>
      </c>
      <c r="S104" s="1">
        <v>4703402.6078895628</v>
      </c>
      <c r="T104" s="1">
        <v>4703402.6078895628</v>
      </c>
      <c r="U104" s="1">
        <v>4703402.6078895628</v>
      </c>
      <c r="V104" s="1">
        <v>4703402.6078895628</v>
      </c>
      <c r="W104" s="4">
        <f t="shared" si="4"/>
        <v>46986445.534594625</v>
      </c>
      <c r="X104" s="4">
        <f t="shared" si="5"/>
        <v>46986445.534594625</v>
      </c>
      <c r="Y104" s="5">
        <f t="shared" si="6"/>
        <v>0.58274322187950278</v>
      </c>
    </row>
    <row r="105" spans="1:25" x14ac:dyDescent="0.25">
      <c r="A105" s="1" t="s">
        <v>76</v>
      </c>
      <c r="B105" s="1" t="s">
        <v>66</v>
      </c>
      <c r="C105" s="1" t="s">
        <v>24</v>
      </c>
      <c r="D105" s="1">
        <v>567098840.24647987</v>
      </c>
      <c r="E105" s="1">
        <v>66785654.320334598</v>
      </c>
      <c r="F105" s="1">
        <v>66785654.320334598</v>
      </c>
      <c r="G105" s="1">
        <v>66785654.320334598</v>
      </c>
      <c r="H105" s="1">
        <v>66785654.320334598</v>
      </c>
      <c r="I105" s="1">
        <v>26785654.320334598</v>
      </c>
      <c r="J105" s="1">
        <v>26785654.320334598</v>
      </c>
      <c r="K105" s="1">
        <v>26785654.320334598</v>
      </c>
      <c r="L105" s="1">
        <v>26785654.320334598</v>
      </c>
      <c r="M105" s="1">
        <v>29206222.718661606</v>
      </c>
      <c r="N105" s="1">
        <v>29206222.718661606</v>
      </c>
      <c r="O105" s="1">
        <v>47250000</v>
      </c>
      <c r="P105" s="1">
        <v>47250000</v>
      </c>
      <c r="Q105" s="1">
        <v>47250000</v>
      </c>
      <c r="R105" s="1">
        <v>47250000</v>
      </c>
      <c r="S105" s="1">
        <v>47250000</v>
      </c>
      <c r="T105" s="1">
        <v>47250000</v>
      </c>
      <c r="U105" s="1">
        <v>47250000</v>
      </c>
      <c r="V105" s="1">
        <v>47250000</v>
      </c>
      <c r="W105" s="4">
        <f t="shared" si="4"/>
        <v>405348840.00000006</v>
      </c>
      <c r="X105" s="4">
        <f t="shared" si="5"/>
        <v>405348840.00000006</v>
      </c>
      <c r="Y105" s="5">
        <f t="shared" si="6"/>
        <v>0.71477635155067865</v>
      </c>
    </row>
    <row r="106" spans="1:25" x14ac:dyDescent="0.25">
      <c r="A106" s="1" t="s">
        <v>76</v>
      </c>
      <c r="B106" s="1" t="s">
        <v>67</v>
      </c>
      <c r="C106" s="1" t="s">
        <v>68</v>
      </c>
      <c r="D106" s="1">
        <v>5916750.6585043678</v>
      </c>
      <c r="E106" s="1">
        <v>390505.54346128833</v>
      </c>
      <c r="F106" s="1">
        <v>390505.54346128833</v>
      </c>
      <c r="G106" s="1">
        <v>488131.92932661035</v>
      </c>
      <c r="H106" s="1">
        <v>488131.92932661035</v>
      </c>
      <c r="I106" s="1">
        <v>488131.92932661035</v>
      </c>
      <c r="J106" s="1">
        <v>488131.92932661035</v>
      </c>
      <c r="K106" s="1">
        <v>488131.92932661035</v>
      </c>
      <c r="L106" s="1">
        <v>488131.92932661035</v>
      </c>
      <c r="M106" s="1">
        <v>307671.03424222715</v>
      </c>
      <c r="N106" s="1">
        <v>307671.03424222715</v>
      </c>
      <c r="O106" s="1">
        <v>246531.277437682</v>
      </c>
      <c r="P106" s="1">
        <v>246531.277437682</v>
      </c>
      <c r="Q106" s="1">
        <v>345143.78841275477</v>
      </c>
      <c r="R106" s="1">
        <v>345143.78841275477</v>
      </c>
      <c r="S106" s="1">
        <v>345143.78841275477</v>
      </c>
      <c r="T106" s="1">
        <v>345143.78841275477</v>
      </c>
      <c r="U106" s="1">
        <v>345143.78841275477</v>
      </c>
      <c r="V106" s="1">
        <v>345143.78841275477</v>
      </c>
      <c r="W106" s="4">
        <f t="shared" si="4"/>
        <v>3444535.0083592925</v>
      </c>
      <c r="X106" s="4">
        <f t="shared" si="5"/>
        <v>3444535.0083592925</v>
      </c>
      <c r="Y106" s="5">
        <f t="shared" si="6"/>
        <v>0.58216666666666661</v>
      </c>
    </row>
    <row r="107" spans="1:25" x14ac:dyDescent="0.25">
      <c r="A107" s="1" t="s">
        <v>76</v>
      </c>
      <c r="B107" s="1" t="s">
        <v>69</v>
      </c>
      <c r="C107" s="1" t="s">
        <v>28</v>
      </c>
      <c r="D107" s="1">
        <v>10507493.101376349</v>
      </c>
      <c r="E107" s="1">
        <v>693494.54469083913</v>
      </c>
      <c r="F107" s="1">
        <v>693494.54469083913</v>
      </c>
      <c r="G107" s="1">
        <v>866868.18086354889</v>
      </c>
      <c r="H107" s="1">
        <v>866868.18086354889</v>
      </c>
      <c r="I107" s="1">
        <v>866868.18086354889</v>
      </c>
      <c r="J107" s="1">
        <v>866868.18086354889</v>
      </c>
      <c r="K107" s="1">
        <v>866868.18086354889</v>
      </c>
      <c r="L107" s="1">
        <v>866868.18086354889</v>
      </c>
      <c r="M107" s="1">
        <v>528001.52834416146</v>
      </c>
      <c r="N107" s="1">
        <v>528001.52834416146</v>
      </c>
      <c r="O107" s="1">
        <v>440001.27362013457</v>
      </c>
      <c r="P107" s="1">
        <v>440001.27362013457</v>
      </c>
      <c r="Q107" s="1">
        <v>616001.78306818835</v>
      </c>
      <c r="R107" s="1">
        <v>616001.78306818835</v>
      </c>
      <c r="S107" s="1">
        <v>616001.78306818835</v>
      </c>
      <c r="T107" s="1">
        <v>616001.78306818835</v>
      </c>
      <c r="U107" s="1">
        <v>616001.78306818835</v>
      </c>
      <c r="V107" s="1">
        <v>616001.78306818835</v>
      </c>
      <c r="W107" s="4">
        <f t="shared" si="4"/>
        <v>6110107.2384503465</v>
      </c>
      <c r="X107" s="4">
        <f t="shared" si="5"/>
        <v>6110107.2384503465</v>
      </c>
      <c r="Y107" s="5">
        <f t="shared" si="6"/>
        <v>0.58149999999999991</v>
      </c>
    </row>
    <row r="108" spans="1:25" x14ac:dyDescent="0.25">
      <c r="A108" s="1" t="s">
        <v>76</v>
      </c>
      <c r="B108" s="1" t="s">
        <v>70</v>
      </c>
      <c r="C108" s="1" t="s">
        <v>23</v>
      </c>
      <c r="D108" s="1">
        <v>9646874.9064843766</v>
      </c>
      <c r="E108" s="1">
        <v>636693.74382796895</v>
      </c>
      <c r="F108" s="1">
        <v>636693.74382796895</v>
      </c>
      <c r="G108" s="1">
        <v>795867.17978496116</v>
      </c>
      <c r="H108" s="1">
        <v>795867.17978496116</v>
      </c>
      <c r="I108" s="1">
        <v>795867.17978496116</v>
      </c>
      <c r="J108" s="1">
        <v>795867.17978496116</v>
      </c>
      <c r="K108" s="1">
        <v>795867.17978496116</v>
      </c>
      <c r="L108" s="1">
        <v>795867.17978496116</v>
      </c>
      <c r="M108" s="1">
        <v>484755.46405083989</v>
      </c>
      <c r="N108" s="1">
        <v>484755.46405083989</v>
      </c>
      <c r="O108" s="1">
        <v>403962.88670903328</v>
      </c>
      <c r="P108" s="1">
        <v>403962.88670903328</v>
      </c>
      <c r="Q108" s="1">
        <v>565548.0413926465</v>
      </c>
      <c r="R108" s="1">
        <v>565548.0413926465</v>
      </c>
      <c r="S108" s="1">
        <v>565548.0413926465</v>
      </c>
      <c r="T108" s="1">
        <v>565548.0413926465</v>
      </c>
      <c r="U108" s="1">
        <v>565548.0413926465</v>
      </c>
      <c r="V108" s="1">
        <v>565548.0413926465</v>
      </c>
      <c r="W108" s="4">
        <f t="shared" si="4"/>
        <v>5609657.7581206644</v>
      </c>
      <c r="X108" s="4">
        <f t="shared" si="5"/>
        <v>5609657.7581206644</v>
      </c>
      <c r="Y108" s="5">
        <f t="shared" si="6"/>
        <v>0.58149999999999991</v>
      </c>
    </row>
    <row r="109" spans="1:25" x14ac:dyDescent="0.25">
      <c r="A109" s="1" t="s">
        <v>76</v>
      </c>
      <c r="B109" s="1" t="s">
        <v>71</v>
      </c>
      <c r="C109" s="1" t="s">
        <v>29</v>
      </c>
      <c r="D109" s="1">
        <v>24706460.039423101</v>
      </c>
      <c r="E109" s="1">
        <v>1630626.3626019247</v>
      </c>
      <c r="F109" s="1">
        <v>1630626.3626019247</v>
      </c>
      <c r="G109" s="1">
        <v>2038282.9532524059</v>
      </c>
      <c r="H109" s="1">
        <v>2038282.9532524059</v>
      </c>
      <c r="I109" s="1">
        <v>2038282.9532524059</v>
      </c>
      <c r="J109" s="1">
        <v>2038282.9532524059</v>
      </c>
      <c r="K109" s="1">
        <v>2038282.9532524059</v>
      </c>
      <c r="L109" s="1">
        <v>2038282.9532524059</v>
      </c>
      <c r="M109" s="1">
        <v>1241499.6169810107</v>
      </c>
      <c r="N109" s="1">
        <v>1241499.6169810107</v>
      </c>
      <c r="O109" s="1">
        <v>1034583.0141508423</v>
      </c>
      <c r="P109" s="1">
        <v>1034583.0141508423</v>
      </c>
      <c r="Q109" s="1">
        <v>1448416.2198111792</v>
      </c>
      <c r="R109" s="1">
        <v>1448416.2198111792</v>
      </c>
      <c r="S109" s="1">
        <v>1448416.2198111792</v>
      </c>
      <c r="T109" s="1">
        <v>1448416.2198111792</v>
      </c>
      <c r="U109" s="1">
        <v>1448416.2198111792</v>
      </c>
      <c r="V109" s="1">
        <v>1448416.2198111792</v>
      </c>
      <c r="W109" s="4">
        <f t="shared" si="4"/>
        <v>14366806.512924533</v>
      </c>
      <c r="X109" s="4">
        <f t="shared" si="5"/>
        <v>14366806.512924533</v>
      </c>
      <c r="Y109" s="5">
        <f t="shared" si="6"/>
        <v>0.58150000000000002</v>
      </c>
    </row>
    <row r="110" spans="1:25" x14ac:dyDescent="0.25">
      <c r="A110" s="1" t="s">
        <v>76</v>
      </c>
      <c r="B110" s="1" t="s">
        <v>72</v>
      </c>
      <c r="C110" s="1" t="s">
        <v>73</v>
      </c>
      <c r="D110" s="1">
        <v>14858265.946019765</v>
      </c>
      <c r="E110" s="1">
        <v>980645.55243730452</v>
      </c>
      <c r="F110" s="1">
        <v>980645.55243730452</v>
      </c>
      <c r="G110" s="1">
        <v>1225806.9405466306</v>
      </c>
      <c r="H110" s="1">
        <v>1225806.9405466306</v>
      </c>
      <c r="I110" s="1">
        <v>1225806.9405466306</v>
      </c>
      <c r="J110" s="1">
        <v>1225806.9405466306</v>
      </c>
      <c r="K110" s="1">
        <v>1225806.9405466306</v>
      </c>
      <c r="L110" s="1">
        <v>1225806.9405466306</v>
      </c>
      <c r="M110" s="1">
        <v>746627.86378749309</v>
      </c>
      <c r="N110" s="1">
        <v>746627.86378749309</v>
      </c>
      <c r="O110" s="1">
        <v>622189.88648957759</v>
      </c>
      <c r="P110" s="1">
        <v>622189.88648957759</v>
      </c>
      <c r="Q110" s="1">
        <v>871065.84108540858</v>
      </c>
      <c r="R110" s="1">
        <v>871065.84108540858</v>
      </c>
      <c r="S110" s="1">
        <v>871065.84108540858</v>
      </c>
      <c r="T110" s="1">
        <v>871065.84108540858</v>
      </c>
      <c r="U110" s="1">
        <v>871065.84108540858</v>
      </c>
      <c r="V110" s="1">
        <v>871065.84108540858</v>
      </c>
      <c r="W110" s="4">
        <f t="shared" si="4"/>
        <v>8640081.647610493</v>
      </c>
      <c r="X110" s="4">
        <f t="shared" si="5"/>
        <v>8640081.647610493</v>
      </c>
      <c r="Y110" s="5">
        <f t="shared" si="6"/>
        <v>0.58150000000000002</v>
      </c>
    </row>
    <row r="111" spans="1:25" x14ac:dyDescent="0.25">
      <c r="A111" s="1" t="s">
        <v>76</v>
      </c>
      <c r="B111" s="1" t="s">
        <v>48</v>
      </c>
      <c r="C111" s="1" t="s">
        <v>49</v>
      </c>
      <c r="D111" s="1">
        <v>4165543.8276437181</v>
      </c>
      <c r="E111" s="1">
        <v>274925.89262448542</v>
      </c>
      <c r="F111" s="1">
        <v>274925.89262448542</v>
      </c>
      <c r="G111" s="1">
        <v>343657.36578060675</v>
      </c>
      <c r="H111" s="1">
        <v>343657.36578060675</v>
      </c>
      <c r="I111" s="1">
        <v>343657.36578060675</v>
      </c>
      <c r="J111" s="1">
        <v>343657.36578060675</v>
      </c>
      <c r="K111" s="1">
        <v>343657.36578060675</v>
      </c>
      <c r="L111" s="1">
        <v>343657.36578060675</v>
      </c>
      <c r="M111" s="1">
        <v>209318.57733909678</v>
      </c>
      <c r="N111" s="1">
        <v>209318.57733909678</v>
      </c>
      <c r="O111" s="1">
        <v>174432.14778258067</v>
      </c>
      <c r="P111" s="1">
        <v>174432.14778258067</v>
      </c>
      <c r="Q111" s="1">
        <v>244205.00689561293</v>
      </c>
      <c r="R111" s="1">
        <v>244205.00689561293</v>
      </c>
      <c r="S111" s="1">
        <v>244205.00689561293</v>
      </c>
      <c r="T111" s="1">
        <v>244205.00689561293</v>
      </c>
      <c r="U111" s="1">
        <v>244205.00689561293</v>
      </c>
      <c r="V111" s="1">
        <v>244205.00689561293</v>
      </c>
      <c r="W111" s="4">
        <f t="shared" si="4"/>
        <v>2422263.7357748221</v>
      </c>
      <c r="X111" s="4">
        <f t="shared" si="5"/>
        <v>2422263.7357748221</v>
      </c>
      <c r="Y111" s="5">
        <f t="shared" si="6"/>
        <v>0.58150000000000002</v>
      </c>
    </row>
    <row r="112" spans="1:25" x14ac:dyDescent="0.25">
      <c r="A112" s="1" t="s">
        <v>76</v>
      </c>
      <c r="B112" s="1" t="s">
        <v>53</v>
      </c>
      <c r="C112" s="1" t="s">
        <v>30</v>
      </c>
      <c r="D112" s="1">
        <v>11289478.913313577</v>
      </c>
      <c r="E112" s="1">
        <v>745105.60827869619</v>
      </c>
      <c r="F112" s="1">
        <v>745105.60827869619</v>
      </c>
      <c r="G112" s="1">
        <v>931382.01034837018</v>
      </c>
      <c r="H112" s="1">
        <v>931382.01034837018</v>
      </c>
      <c r="I112" s="1">
        <v>931382.01034837018</v>
      </c>
      <c r="J112" s="1">
        <v>931382.01034837018</v>
      </c>
      <c r="K112" s="1">
        <v>931382.01034837018</v>
      </c>
      <c r="L112" s="1">
        <v>931382.01034837018</v>
      </c>
      <c r="M112" s="1">
        <v>567296.31539400714</v>
      </c>
      <c r="N112" s="1">
        <v>567296.31539400714</v>
      </c>
      <c r="O112" s="1">
        <v>472746.92949500598</v>
      </c>
      <c r="P112" s="1">
        <v>472746.92949500598</v>
      </c>
      <c r="Q112" s="1">
        <v>661845.70129300829</v>
      </c>
      <c r="R112" s="1">
        <v>661845.70129300829</v>
      </c>
      <c r="S112" s="1">
        <v>661845.70129300829</v>
      </c>
      <c r="T112" s="1">
        <v>661845.70129300829</v>
      </c>
      <c r="U112" s="1">
        <v>661845.70129300829</v>
      </c>
      <c r="V112" s="1">
        <v>661845.70129300829</v>
      </c>
      <c r="W112" s="4">
        <f t="shared" si="4"/>
        <v>6564831.9880918451</v>
      </c>
      <c r="X112" s="4">
        <f t="shared" si="5"/>
        <v>6564831.9880918451</v>
      </c>
      <c r="Y112" s="5">
        <f t="shared" si="6"/>
        <v>0.58150000000000002</v>
      </c>
    </row>
    <row r="113" spans="1:25" x14ac:dyDescent="0.25">
      <c r="A113" s="1" t="s">
        <v>76</v>
      </c>
      <c r="B113" s="1" t="s">
        <v>74</v>
      </c>
      <c r="C113" s="1" t="s">
        <v>75</v>
      </c>
      <c r="D113" s="1">
        <v>8225794.5896920059</v>
      </c>
      <c r="E113" s="1">
        <v>542902.44291967235</v>
      </c>
      <c r="F113" s="1">
        <v>542902.44291967235</v>
      </c>
      <c r="G113" s="1">
        <v>678628.05364959047</v>
      </c>
      <c r="H113" s="1">
        <v>678628.05364959047</v>
      </c>
      <c r="I113" s="1">
        <v>678628.05364959047</v>
      </c>
      <c r="J113" s="1">
        <v>678628.05364959047</v>
      </c>
      <c r="K113" s="1">
        <v>678628.05364959047</v>
      </c>
      <c r="L113" s="1">
        <v>678628.05364959047</v>
      </c>
      <c r="M113" s="1">
        <v>413346.17813202331</v>
      </c>
      <c r="N113" s="1">
        <v>413346.17813202331</v>
      </c>
      <c r="O113" s="1">
        <v>344455.14844335278</v>
      </c>
      <c r="P113" s="1">
        <v>344455.14844335278</v>
      </c>
      <c r="Q113" s="1">
        <v>482237.20782069385</v>
      </c>
      <c r="R113" s="1">
        <v>482237.20782069385</v>
      </c>
      <c r="S113" s="1">
        <v>482237.20782069385</v>
      </c>
      <c r="T113" s="1">
        <v>482237.20782069385</v>
      </c>
      <c r="U113" s="1">
        <v>482237.20782069385</v>
      </c>
      <c r="V113" s="1">
        <v>482237.20782069385</v>
      </c>
      <c r="W113" s="4">
        <f t="shared" si="4"/>
        <v>4783299.5539059015</v>
      </c>
      <c r="X113" s="4">
        <f t="shared" si="5"/>
        <v>4783299.5539059015</v>
      </c>
      <c r="Y113" s="5">
        <f t="shared" si="6"/>
        <v>0.58150000000000002</v>
      </c>
    </row>
    <row r="114" spans="1:25" x14ac:dyDescent="0.25">
      <c r="A114" s="1" t="s">
        <v>76</v>
      </c>
      <c r="B114" s="1" t="s">
        <v>50</v>
      </c>
      <c r="C114" s="1" t="s">
        <v>25</v>
      </c>
      <c r="D114" s="1">
        <v>4373821.0190259032</v>
      </c>
      <c r="E114" s="1">
        <v>288672.18725570961</v>
      </c>
      <c r="F114" s="1">
        <v>288672.18725570961</v>
      </c>
      <c r="G114" s="1">
        <v>360840.23406963702</v>
      </c>
      <c r="H114" s="1">
        <v>360840.23406963702</v>
      </c>
      <c r="I114" s="1">
        <v>360840.23406963702</v>
      </c>
      <c r="J114" s="1">
        <v>360840.23406963702</v>
      </c>
      <c r="K114" s="1">
        <v>360840.23406963702</v>
      </c>
      <c r="L114" s="1">
        <v>360840.23406963702</v>
      </c>
      <c r="M114" s="1">
        <v>219784.50620605162</v>
      </c>
      <c r="N114" s="1">
        <v>219784.50620605162</v>
      </c>
      <c r="O114" s="1">
        <v>183153.75517170969</v>
      </c>
      <c r="P114" s="1">
        <v>183153.75517170969</v>
      </c>
      <c r="Q114" s="1">
        <v>256415.25724039355</v>
      </c>
      <c r="R114" s="1">
        <v>256415.25724039355</v>
      </c>
      <c r="S114" s="1">
        <v>256415.25724039355</v>
      </c>
      <c r="T114" s="1">
        <v>256415.25724039355</v>
      </c>
      <c r="U114" s="1">
        <v>256415.25724039355</v>
      </c>
      <c r="V114" s="1">
        <v>256415.25724039355</v>
      </c>
      <c r="W114" s="4">
        <f t="shared" si="4"/>
        <v>2543376.9225635622</v>
      </c>
      <c r="X114" s="4">
        <f t="shared" si="5"/>
        <v>2543376.9225635622</v>
      </c>
      <c r="Y114" s="5">
        <f t="shared" si="6"/>
        <v>0.58149999999999991</v>
      </c>
    </row>
    <row r="115" spans="1:25" x14ac:dyDescent="0.25">
      <c r="A115" s="1" t="s">
        <v>77</v>
      </c>
      <c r="B115" s="1" t="s">
        <v>59</v>
      </c>
      <c r="C115" s="1" t="s">
        <v>26</v>
      </c>
      <c r="D115" s="1">
        <v>47123049.561298363</v>
      </c>
      <c r="E115" s="1">
        <v>4371071.2030456923</v>
      </c>
      <c r="F115" s="1">
        <v>4371071.2030456923</v>
      </c>
      <c r="G115" s="1">
        <v>5463839.0038071154</v>
      </c>
      <c r="H115" s="1">
        <v>5463839.0038071154</v>
      </c>
      <c r="I115" s="1">
        <v>5463839.0038071154</v>
      </c>
      <c r="J115" s="1">
        <v>5463839.0038071154</v>
      </c>
      <c r="K115" s="1">
        <v>5463839.0038071154</v>
      </c>
      <c r="L115" s="1">
        <v>5463839.0038071154</v>
      </c>
      <c r="M115" s="1">
        <v>3158461.6932587381</v>
      </c>
      <c r="N115" s="1">
        <v>3158461.6932587381</v>
      </c>
      <c r="O115" s="1">
        <v>3158461.6932587381</v>
      </c>
      <c r="P115" s="1">
        <v>3158461.6932587381</v>
      </c>
      <c r="Q115" s="1">
        <v>3158461.6932587381</v>
      </c>
      <c r="R115" s="1">
        <v>3158461.6932587381</v>
      </c>
      <c r="S115" s="1">
        <v>3158461.6932587381</v>
      </c>
      <c r="T115" s="1">
        <v>3158461.6932587381</v>
      </c>
      <c r="U115" s="1">
        <v>3158461.6932587381</v>
      </c>
      <c r="V115" s="1">
        <v>3158461.6932587381</v>
      </c>
      <c r="W115" s="4">
        <f t="shared" si="4"/>
        <v>36554896.680760726</v>
      </c>
      <c r="X115" s="4">
        <f t="shared" si="5"/>
        <v>36554896.680760726</v>
      </c>
      <c r="Y115" s="5">
        <f t="shared" si="6"/>
        <v>0.77573283183231967</v>
      </c>
    </row>
    <row r="116" spans="1:25" x14ac:dyDescent="0.25">
      <c r="A116" s="1" t="s">
        <v>77</v>
      </c>
      <c r="B116" s="1" t="s">
        <v>60</v>
      </c>
      <c r="C116" s="1" t="s">
        <v>26</v>
      </c>
      <c r="D116" s="1">
        <v>19105302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9552651</v>
      </c>
      <c r="N116" s="1">
        <v>9552651</v>
      </c>
      <c r="O116" s="1">
        <v>9552651</v>
      </c>
      <c r="P116" s="1">
        <v>9552651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4">
        <f t="shared" si="4"/>
        <v>19105302</v>
      </c>
      <c r="X116" s="4">
        <f t="shared" si="5"/>
        <v>19105302</v>
      </c>
      <c r="Y116" s="5">
        <f t="shared" si="6"/>
        <v>1</v>
      </c>
    </row>
    <row r="117" spans="1:25" x14ac:dyDescent="0.25">
      <c r="A117" s="1" t="s">
        <v>77</v>
      </c>
      <c r="B117" s="1" t="s">
        <v>33</v>
      </c>
      <c r="C117" s="1" t="s">
        <v>34</v>
      </c>
      <c r="D117" s="1">
        <v>72000000</v>
      </c>
      <c r="E117" s="1">
        <v>0</v>
      </c>
      <c r="F117" s="1">
        <v>0</v>
      </c>
      <c r="G117" s="1">
        <v>14400000</v>
      </c>
      <c r="H117" s="1">
        <v>14400000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21600000</v>
      </c>
      <c r="P117" s="1">
        <v>21600000</v>
      </c>
      <c r="Q117" s="1">
        <v>0</v>
      </c>
      <c r="R117" s="1">
        <v>0</v>
      </c>
      <c r="S117" s="1">
        <v>21600000</v>
      </c>
      <c r="T117" s="1">
        <v>21600000</v>
      </c>
      <c r="U117" s="1">
        <v>14400000</v>
      </c>
      <c r="V117" s="1">
        <v>14400000</v>
      </c>
      <c r="W117" s="4">
        <f t="shared" si="4"/>
        <v>72000000</v>
      </c>
      <c r="X117" s="4">
        <f t="shared" si="5"/>
        <v>72000000</v>
      </c>
      <c r="Y117" s="5">
        <f t="shared" si="6"/>
        <v>1</v>
      </c>
    </row>
    <row r="118" spans="1:25" x14ac:dyDescent="0.25">
      <c r="A118" s="1" t="s">
        <v>77</v>
      </c>
      <c r="B118" s="1" t="s">
        <v>35</v>
      </c>
      <c r="C118" s="1" t="s">
        <v>34</v>
      </c>
      <c r="D118" s="1">
        <v>180000000</v>
      </c>
      <c r="E118" s="1">
        <v>0</v>
      </c>
      <c r="F118" s="1">
        <v>0</v>
      </c>
      <c r="G118" s="1">
        <v>49500000</v>
      </c>
      <c r="H118" s="1">
        <v>49500000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43500000</v>
      </c>
      <c r="P118" s="1">
        <v>43500000</v>
      </c>
      <c r="Q118" s="1">
        <v>0</v>
      </c>
      <c r="R118" s="1">
        <v>0</v>
      </c>
      <c r="S118" s="1">
        <v>43500000</v>
      </c>
      <c r="T118" s="1">
        <v>43500000</v>
      </c>
      <c r="U118" s="1">
        <v>43500000</v>
      </c>
      <c r="V118" s="1">
        <v>43500000</v>
      </c>
      <c r="W118" s="4">
        <f t="shared" si="4"/>
        <v>180000000</v>
      </c>
      <c r="X118" s="4">
        <f t="shared" si="5"/>
        <v>180000000</v>
      </c>
      <c r="Y118" s="5">
        <f t="shared" si="6"/>
        <v>1</v>
      </c>
    </row>
    <row r="119" spans="1:25" x14ac:dyDescent="0.25">
      <c r="A119" s="1" t="s">
        <v>77</v>
      </c>
      <c r="B119" s="1" t="s">
        <v>38</v>
      </c>
      <c r="C119" s="1" t="s">
        <v>39</v>
      </c>
      <c r="D119" s="1">
        <v>8358866.161333207</v>
      </c>
      <c r="E119" s="1">
        <v>551685.16664799175</v>
      </c>
      <c r="F119" s="1">
        <v>551685.16664799175</v>
      </c>
      <c r="G119" s="1">
        <v>689606.45830998966</v>
      </c>
      <c r="H119" s="1">
        <v>689606.45830998966</v>
      </c>
      <c r="I119" s="1">
        <v>689606.45830998966</v>
      </c>
      <c r="J119" s="1">
        <v>689606.45830998966</v>
      </c>
      <c r="K119" s="1">
        <v>689606.45830998966</v>
      </c>
      <c r="L119" s="1">
        <v>689606.45830998966</v>
      </c>
      <c r="M119" s="1">
        <v>420033.02460699371</v>
      </c>
      <c r="N119" s="1">
        <v>420033.02460699371</v>
      </c>
      <c r="O119" s="1">
        <v>350027.52050582808</v>
      </c>
      <c r="P119" s="1">
        <v>350027.52050582808</v>
      </c>
      <c r="Q119" s="1">
        <v>490038.52870815928</v>
      </c>
      <c r="R119" s="1">
        <v>490038.52870815928</v>
      </c>
      <c r="S119" s="1">
        <v>490038.52870815928</v>
      </c>
      <c r="T119" s="1">
        <v>490038.52870815928</v>
      </c>
      <c r="U119" s="1">
        <v>490038.52870815928</v>
      </c>
      <c r="V119" s="1">
        <v>490038.52870815928</v>
      </c>
      <c r="W119" s="4">
        <f t="shared" si="4"/>
        <v>4860680.6728152605</v>
      </c>
      <c r="X119" s="4">
        <f t="shared" si="5"/>
        <v>4860680.6728152605</v>
      </c>
      <c r="Y119" s="5">
        <f t="shared" si="6"/>
        <v>0.58150000000000002</v>
      </c>
    </row>
    <row r="120" spans="1:25" x14ac:dyDescent="0.25">
      <c r="A120" s="1" t="s">
        <v>77</v>
      </c>
      <c r="B120" s="1" t="s">
        <v>61</v>
      </c>
      <c r="C120" s="1" t="s">
        <v>34</v>
      </c>
      <c r="D120" s="1">
        <v>136977936</v>
      </c>
      <c r="E120" s="1">
        <v>0</v>
      </c>
      <c r="F120" s="1">
        <v>0</v>
      </c>
      <c r="G120" s="1">
        <v>10958234.878751833</v>
      </c>
      <c r="H120" s="1">
        <v>10958234.878751833</v>
      </c>
      <c r="I120" s="1">
        <v>0</v>
      </c>
      <c r="J120" s="1">
        <v>0</v>
      </c>
      <c r="K120" s="1">
        <v>0</v>
      </c>
      <c r="L120" s="1">
        <v>0</v>
      </c>
      <c r="M120" s="1">
        <v>31504925.280312043</v>
      </c>
      <c r="N120" s="1">
        <v>31504925.280312043</v>
      </c>
      <c r="O120" s="1">
        <v>0</v>
      </c>
      <c r="P120" s="1">
        <v>0</v>
      </c>
      <c r="Q120" s="1">
        <v>0</v>
      </c>
      <c r="R120" s="1">
        <v>0</v>
      </c>
      <c r="S120" s="1">
        <v>47257387.920468062</v>
      </c>
      <c r="T120" s="1">
        <v>47257387.920468062</v>
      </c>
      <c r="U120" s="1">
        <v>0</v>
      </c>
      <c r="V120" s="1">
        <v>0</v>
      </c>
      <c r="W120" s="4">
        <f t="shared" si="4"/>
        <v>89720548.079531938</v>
      </c>
      <c r="X120" s="4">
        <f t="shared" si="5"/>
        <v>89720548.079531938</v>
      </c>
      <c r="Y120" s="5">
        <f t="shared" si="6"/>
        <v>0.65499999999658298</v>
      </c>
    </row>
    <row r="121" spans="1:25" x14ac:dyDescent="0.25">
      <c r="A121" s="1" t="s">
        <v>77</v>
      </c>
      <c r="B121" s="1" t="s">
        <v>62</v>
      </c>
      <c r="C121" s="1" t="s">
        <v>63</v>
      </c>
      <c r="D121" s="1">
        <v>54142857</v>
      </c>
      <c r="E121" s="1">
        <v>25959999.999120001</v>
      </c>
      <c r="F121" s="1">
        <v>25959999.999120001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1626964.2857967855</v>
      </c>
      <c r="N121" s="1">
        <v>1626964.2857967855</v>
      </c>
      <c r="O121" s="1">
        <v>1355803.5714973214</v>
      </c>
      <c r="P121" s="1">
        <v>1355803.5714973214</v>
      </c>
      <c r="Q121" s="1">
        <v>1898125.0000962499</v>
      </c>
      <c r="R121" s="1">
        <v>1898125.0000962499</v>
      </c>
      <c r="S121" s="1">
        <v>1898125.0000962499</v>
      </c>
      <c r="T121" s="1">
        <v>1898125.0000962499</v>
      </c>
      <c r="U121" s="1">
        <v>1898125.0000962499</v>
      </c>
      <c r="V121" s="1">
        <v>1898125.0000962499</v>
      </c>
      <c r="W121" s="4">
        <f t="shared" si="4"/>
        <v>34637142.856702857</v>
      </c>
      <c r="X121" s="4">
        <f t="shared" si="5"/>
        <v>34637142.856702857</v>
      </c>
      <c r="Y121" s="5">
        <f t="shared" si="6"/>
        <v>0.63973614943708745</v>
      </c>
    </row>
    <row r="122" spans="1:25" x14ac:dyDescent="0.25">
      <c r="A122" s="1" t="s">
        <v>77</v>
      </c>
      <c r="B122" s="1" t="s">
        <v>40</v>
      </c>
      <c r="C122" s="1" t="s">
        <v>27</v>
      </c>
      <c r="D122" s="1">
        <v>94292442</v>
      </c>
      <c r="E122" s="1">
        <v>9154137</v>
      </c>
      <c r="F122" s="1">
        <v>9154137</v>
      </c>
      <c r="G122" s="1">
        <v>8785070</v>
      </c>
      <c r="H122" s="1">
        <v>8785070</v>
      </c>
      <c r="I122" s="1">
        <v>7319746</v>
      </c>
      <c r="J122" s="1">
        <v>7319746</v>
      </c>
      <c r="K122" s="1">
        <v>8021396</v>
      </c>
      <c r="L122" s="1">
        <v>8021396</v>
      </c>
      <c r="M122" s="1">
        <v>6750000</v>
      </c>
      <c r="N122" s="1">
        <v>6750000</v>
      </c>
      <c r="O122" s="1">
        <v>14679974</v>
      </c>
      <c r="P122" s="1">
        <v>14679974</v>
      </c>
      <c r="Q122" s="1">
        <v>13236175</v>
      </c>
      <c r="R122" s="1">
        <v>13236175</v>
      </c>
      <c r="S122" s="1">
        <v>6062900</v>
      </c>
      <c r="T122" s="1">
        <v>6062900</v>
      </c>
      <c r="U122" s="1">
        <v>4666605</v>
      </c>
      <c r="V122" s="1">
        <v>4666605</v>
      </c>
      <c r="W122" s="4">
        <f t="shared" si="4"/>
        <v>78676003</v>
      </c>
      <c r="X122" s="4">
        <f t="shared" si="5"/>
        <v>78676003</v>
      </c>
      <c r="Y122" s="5">
        <f t="shared" si="6"/>
        <v>0.83438291904668249</v>
      </c>
    </row>
    <row r="123" spans="1:25" x14ac:dyDescent="0.25">
      <c r="A123" s="1" t="s">
        <v>77</v>
      </c>
      <c r="B123" s="1" t="s">
        <v>41</v>
      </c>
      <c r="C123" s="1" t="s">
        <v>27</v>
      </c>
      <c r="D123" s="1">
        <v>175465143</v>
      </c>
      <c r="E123" s="1">
        <v>18954265</v>
      </c>
      <c r="F123" s="1">
        <v>18954265</v>
      </c>
      <c r="G123" s="1">
        <v>18697437</v>
      </c>
      <c r="H123" s="1">
        <v>18697437</v>
      </c>
      <c r="I123" s="1">
        <v>11835389.516591921</v>
      </c>
      <c r="J123" s="1">
        <v>11835389.516591921</v>
      </c>
      <c r="K123" s="1">
        <v>0</v>
      </c>
      <c r="L123" s="1">
        <v>0</v>
      </c>
      <c r="M123" s="1">
        <v>32730230.431278028</v>
      </c>
      <c r="N123" s="1">
        <v>32730230.431278028</v>
      </c>
      <c r="O123" s="1">
        <v>60517590.620852023</v>
      </c>
      <c r="P123" s="1">
        <v>60517590.620852023</v>
      </c>
      <c r="Q123" s="1">
        <v>32730230.431278028</v>
      </c>
      <c r="R123" s="1">
        <v>32730230.431278028</v>
      </c>
      <c r="S123" s="1">
        <v>0</v>
      </c>
      <c r="T123" s="1">
        <v>0</v>
      </c>
      <c r="U123" s="1">
        <v>0</v>
      </c>
      <c r="V123" s="1">
        <v>0</v>
      </c>
      <c r="W123" s="4">
        <f t="shared" si="4"/>
        <v>175465143</v>
      </c>
      <c r="X123" s="4">
        <f t="shared" si="5"/>
        <v>175465143</v>
      </c>
      <c r="Y123" s="5">
        <f t="shared" si="6"/>
        <v>1</v>
      </c>
    </row>
    <row r="124" spans="1:25" x14ac:dyDescent="0.25">
      <c r="A124" s="1" t="s">
        <v>77</v>
      </c>
      <c r="B124" s="1" t="s">
        <v>42</v>
      </c>
      <c r="C124" s="1" t="s">
        <v>27</v>
      </c>
      <c r="D124" s="1">
        <v>36779780</v>
      </c>
      <c r="E124" s="1">
        <v>0</v>
      </c>
      <c r="F124" s="1">
        <v>0</v>
      </c>
      <c r="G124" s="1">
        <v>9194945</v>
      </c>
      <c r="H124" s="1">
        <v>9194945</v>
      </c>
      <c r="I124" s="1">
        <v>9194945</v>
      </c>
      <c r="J124" s="1">
        <v>9194945</v>
      </c>
      <c r="K124" s="1">
        <v>0</v>
      </c>
      <c r="L124" s="1">
        <v>0</v>
      </c>
      <c r="M124" s="1">
        <v>1724052.1875</v>
      </c>
      <c r="N124" s="1">
        <v>1724052.1875</v>
      </c>
      <c r="O124" s="1">
        <v>11493681.25</v>
      </c>
      <c r="P124" s="1">
        <v>11493681.25</v>
      </c>
      <c r="Q124" s="1">
        <v>5172156.5625</v>
      </c>
      <c r="R124" s="1">
        <v>5172156.5625</v>
      </c>
      <c r="S124" s="1">
        <v>0</v>
      </c>
      <c r="T124" s="1">
        <v>0</v>
      </c>
      <c r="U124" s="1">
        <v>0</v>
      </c>
      <c r="V124" s="1">
        <v>0</v>
      </c>
      <c r="W124" s="4">
        <f t="shared" si="4"/>
        <v>36779780</v>
      </c>
      <c r="X124" s="4">
        <f t="shared" si="5"/>
        <v>36779780</v>
      </c>
      <c r="Y124" s="5">
        <f t="shared" si="6"/>
        <v>1</v>
      </c>
    </row>
    <row r="125" spans="1:25" x14ac:dyDescent="0.25">
      <c r="A125" s="1" t="s">
        <v>77</v>
      </c>
      <c r="B125" s="1" t="s">
        <v>43</v>
      </c>
      <c r="C125" s="1" t="s">
        <v>31</v>
      </c>
      <c r="D125" s="1">
        <v>5703502</v>
      </c>
      <c r="E125" s="1">
        <v>331307.29501503042</v>
      </c>
      <c r="F125" s="1">
        <v>331307.29501503042</v>
      </c>
      <c r="G125" s="1">
        <v>414134.118768788</v>
      </c>
      <c r="H125" s="1">
        <v>414134.118768788</v>
      </c>
      <c r="I125" s="1">
        <v>414134.118768788</v>
      </c>
      <c r="J125" s="1">
        <v>414134.118768788</v>
      </c>
      <c r="K125" s="1">
        <v>414134.118768788</v>
      </c>
      <c r="L125" s="1">
        <v>414134.118768788</v>
      </c>
      <c r="M125" s="1">
        <v>307939.60100243025</v>
      </c>
      <c r="N125" s="1">
        <v>307939.60100243025</v>
      </c>
      <c r="O125" s="1">
        <v>256616.33416869189</v>
      </c>
      <c r="P125" s="1">
        <v>256616.33416869189</v>
      </c>
      <c r="Q125" s="1">
        <v>318035.79259421327</v>
      </c>
      <c r="R125" s="1">
        <v>318035.79259421327</v>
      </c>
      <c r="S125" s="1">
        <v>359262.86783616862</v>
      </c>
      <c r="T125" s="1">
        <v>359262.86783616862</v>
      </c>
      <c r="U125" s="1">
        <v>359262.86783616862</v>
      </c>
      <c r="V125" s="1">
        <v>359262.86783616862</v>
      </c>
      <c r="W125" s="4">
        <f t="shared" si="4"/>
        <v>3174827.1147590671</v>
      </c>
      <c r="X125" s="4">
        <f t="shared" si="5"/>
        <v>3174827.1147590671</v>
      </c>
      <c r="Y125" s="5">
        <f t="shared" si="6"/>
        <v>0.55664521810618584</v>
      </c>
    </row>
    <row r="126" spans="1:25" x14ac:dyDescent="0.25">
      <c r="A126" s="1" t="s">
        <v>77</v>
      </c>
      <c r="B126" s="1" t="s">
        <v>64</v>
      </c>
      <c r="C126" s="1" t="s">
        <v>23</v>
      </c>
      <c r="D126" s="1">
        <v>3918177.1993465936</v>
      </c>
      <c r="E126" s="1">
        <v>258599.69515687521</v>
      </c>
      <c r="F126" s="1">
        <v>258599.69515687521</v>
      </c>
      <c r="G126" s="1">
        <v>323249.61894609401</v>
      </c>
      <c r="H126" s="1">
        <v>323249.61894609401</v>
      </c>
      <c r="I126" s="1">
        <v>323249.61894609401</v>
      </c>
      <c r="J126" s="1">
        <v>323249.61894609401</v>
      </c>
      <c r="K126" s="1">
        <v>323249.61894609401</v>
      </c>
      <c r="L126" s="1">
        <v>323249.61894609401</v>
      </c>
      <c r="M126" s="1">
        <v>196888.4042671663</v>
      </c>
      <c r="N126" s="1">
        <v>196888.4042671663</v>
      </c>
      <c r="O126" s="1">
        <v>164073.67022263858</v>
      </c>
      <c r="P126" s="1">
        <v>164073.67022263858</v>
      </c>
      <c r="Q126" s="1">
        <v>229703.138311694</v>
      </c>
      <c r="R126" s="1">
        <v>229703.138311694</v>
      </c>
      <c r="S126" s="1">
        <v>229703.138311694</v>
      </c>
      <c r="T126" s="1">
        <v>229703.138311694</v>
      </c>
      <c r="U126" s="1">
        <v>229703.138311694</v>
      </c>
      <c r="V126" s="1">
        <v>229703.138311694</v>
      </c>
      <c r="W126" s="4">
        <f t="shared" si="4"/>
        <v>2278420.0414200444</v>
      </c>
      <c r="X126" s="4">
        <f t="shared" si="5"/>
        <v>2278420.0414200444</v>
      </c>
      <c r="Y126" s="5">
        <f t="shared" si="6"/>
        <v>0.58150000000000002</v>
      </c>
    </row>
    <row r="127" spans="1:25" x14ac:dyDescent="0.25">
      <c r="A127" s="1" t="s">
        <v>77</v>
      </c>
      <c r="B127" s="1" t="s">
        <v>65</v>
      </c>
      <c r="C127" s="1" t="s">
        <v>31</v>
      </c>
      <c r="D127" s="1">
        <v>3998174.5092719337</v>
      </c>
      <c r="E127" s="1">
        <v>263879.51761194767</v>
      </c>
      <c r="F127" s="1">
        <v>263879.51761194767</v>
      </c>
      <c r="G127" s="1">
        <v>329849.39701493457</v>
      </c>
      <c r="H127" s="1">
        <v>329849.39701493457</v>
      </c>
      <c r="I127" s="1">
        <v>329849.39701493457</v>
      </c>
      <c r="J127" s="1">
        <v>329849.39701493457</v>
      </c>
      <c r="K127" s="1">
        <v>329849.39701493457</v>
      </c>
      <c r="L127" s="1">
        <v>329849.39701493457</v>
      </c>
      <c r="M127" s="1">
        <v>200908.26909091466</v>
      </c>
      <c r="N127" s="1">
        <v>200908.26909091466</v>
      </c>
      <c r="O127" s="1">
        <v>167423.55757576221</v>
      </c>
      <c r="P127" s="1">
        <v>167423.55757576221</v>
      </c>
      <c r="Q127" s="1">
        <v>234392.98060606708</v>
      </c>
      <c r="R127" s="1">
        <v>234392.98060606708</v>
      </c>
      <c r="S127" s="1">
        <v>234392.98060606708</v>
      </c>
      <c r="T127" s="1">
        <v>234392.98060606708</v>
      </c>
      <c r="U127" s="1">
        <v>234392.98060606708</v>
      </c>
      <c r="V127" s="1">
        <v>234392.98060606708</v>
      </c>
      <c r="W127" s="4">
        <f t="shared" si="4"/>
        <v>2324938.4771416294</v>
      </c>
      <c r="X127" s="4">
        <f t="shared" si="5"/>
        <v>2324938.4771416294</v>
      </c>
      <c r="Y127" s="5">
        <f t="shared" si="6"/>
        <v>0.58150000000000002</v>
      </c>
    </row>
    <row r="128" spans="1:25" x14ac:dyDescent="0.25">
      <c r="A128" s="1" t="s">
        <v>77</v>
      </c>
      <c r="B128" s="1" t="s">
        <v>44</v>
      </c>
      <c r="C128" s="1" t="s">
        <v>45</v>
      </c>
      <c r="D128" s="1">
        <v>8358866.161333207</v>
      </c>
      <c r="E128" s="1">
        <v>551685.16664799175</v>
      </c>
      <c r="F128" s="1">
        <v>551685.16664799175</v>
      </c>
      <c r="G128" s="1">
        <v>689606.45830998966</v>
      </c>
      <c r="H128" s="1">
        <v>689606.45830998966</v>
      </c>
      <c r="I128" s="1">
        <v>689606.45830998966</v>
      </c>
      <c r="J128" s="1">
        <v>689606.45830998966</v>
      </c>
      <c r="K128" s="1">
        <v>689606.45830998966</v>
      </c>
      <c r="L128" s="1">
        <v>689606.45830998966</v>
      </c>
      <c r="M128" s="1">
        <v>420033.02460699371</v>
      </c>
      <c r="N128" s="1">
        <v>420033.02460699371</v>
      </c>
      <c r="O128" s="1">
        <v>350027.52050582808</v>
      </c>
      <c r="P128" s="1">
        <v>350027.52050582808</v>
      </c>
      <c r="Q128" s="1">
        <v>490038.52870815928</v>
      </c>
      <c r="R128" s="1">
        <v>490038.52870815928</v>
      </c>
      <c r="S128" s="1">
        <v>490038.52870815928</v>
      </c>
      <c r="T128" s="1">
        <v>490038.52870815928</v>
      </c>
      <c r="U128" s="1">
        <v>490038.52870815928</v>
      </c>
      <c r="V128" s="1">
        <v>490038.52870815928</v>
      </c>
      <c r="W128" s="4">
        <f t="shared" si="4"/>
        <v>4860680.6728152605</v>
      </c>
      <c r="X128" s="4">
        <f t="shared" si="5"/>
        <v>4860680.6728152605</v>
      </c>
      <c r="Y128" s="5">
        <f t="shared" si="6"/>
        <v>0.58150000000000002</v>
      </c>
    </row>
    <row r="129" spans="1:25" x14ac:dyDescent="0.25">
      <c r="A129" s="1" t="s">
        <v>77</v>
      </c>
      <c r="B129" s="1" t="s">
        <v>46</v>
      </c>
      <c r="C129" s="1" t="s">
        <v>22</v>
      </c>
      <c r="D129" s="1">
        <v>90100995.987155423</v>
      </c>
      <c r="E129" s="1">
        <v>5952236.1397967674</v>
      </c>
      <c r="F129" s="1">
        <v>5952236.1397967674</v>
      </c>
      <c r="G129" s="1">
        <v>7440295.1747459583</v>
      </c>
      <c r="H129" s="1">
        <v>7440295.1747459583</v>
      </c>
      <c r="I129" s="1">
        <v>7440295.1747459583</v>
      </c>
      <c r="J129" s="1">
        <v>7440295.1747459583</v>
      </c>
      <c r="K129" s="1">
        <v>7440295.1747459583</v>
      </c>
      <c r="L129" s="1">
        <v>7440295.1747459583</v>
      </c>
      <c r="M129" s="1">
        <v>4668540.5967665995</v>
      </c>
      <c r="N129" s="1">
        <v>4668540.5967665995</v>
      </c>
      <c r="O129" s="1">
        <v>3796408.169142433</v>
      </c>
      <c r="P129" s="1">
        <v>3796408.169142433</v>
      </c>
      <c r="Q129" s="1">
        <v>5255891.4371032761</v>
      </c>
      <c r="R129" s="1">
        <v>5255891.4371032761</v>
      </c>
      <c r="S129" s="1">
        <v>5255891.4371032761</v>
      </c>
      <c r="T129" s="1">
        <v>5255891.4371032761</v>
      </c>
      <c r="U129" s="1">
        <v>5196811.383176621</v>
      </c>
      <c r="V129" s="1">
        <v>5196811.383176621</v>
      </c>
      <c r="W129" s="4">
        <f t="shared" si="4"/>
        <v>52446664.687326849</v>
      </c>
      <c r="X129" s="4">
        <f t="shared" si="5"/>
        <v>52446664.687326849</v>
      </c>
      <c r="Y129" s="5">
        <f t="shared" si="6"/>
        <v>0.58208751315916107</v>
      </c>
    </row>
    <row r="130" spans="1:25" x14ac:dyDescent="0.25">
      <c r="A130" s="1" t="s">
        <v>77</v>
      </c>
      <c r="B130" s="1" t="s">
        <v>66</v>
      </c>
      <c r="C130" s="1" t="s">
        <v>24</v>
      </c>
      <c r="D130" s="1">
        <v>300632341.64976829</v>
      </c>
      <c r="E130" s="1">
        <v>24802168.186105885</v>
      </c>
      <c r="F130" s="1">
        <v>24802168.186105885</v>
      </c>
      <c r="G130" s="1">
        <v>24802168.186105885</v>
      </c>
      <c r="H130" s="1">
        <v>24802168.186105885</v>
      </c>
      <c r="I130" s="1">
        <v>24802168.186105885</v>
      </c>
      <c r="J130" s="1">
        <v>24802168.186105885</v>
      </c>
      <c r="K130" s="1">
        <v>24802168.186105885</v>
      </c>
      <c r="L130" s="1">
        <v>24802168.186105885</v>
      </c>
      <c r="M130" s="1">
        <v>24517798.718909785</v>
      </c>
      <c r="N130" s="1">
        <v>24517798.718909785</v>
      </c>
      <c r="O130" s="1">
        <v>26265865.296666667</v>
      </c>
      <c r="P130" s="1">
        <v>26265865.296666667</v>
      </c>
      <c r="Q130" s="1">
        <v>27571322.266666666</v>
      </c>
      <c r="R130" s="1">
        <v>27571322.266666666</v>
      </c>
      <c r="S130" s="1">
        <v>26912565.296666667</v>
      </c>
      <c r="T130" s="1">
        <v>26912565.296666667</v>
      </c>
      <c r="U130" s="1">
        <v>24355865.296666667</v>
      </c>
      <c r="V130" s="1">
        <v>24355865.296666667</v>
      </c>
      <c r="W130" s="4">
        <f t="shared" si="4"/>
        <v>228832089.61999997</v>
      </c>
      <c r="X130" s="4">
        <f t="shared" si="5"/>
        <v>228832089.61999997</v>
      </c>
      <c r="Y130" s="5">
        <f t="shared" si="6"/>
        <v>0.76116923536651815</v>
      </c>
    </row>
    <row r="131" spans="1:25" x14ac:dyDescent="0.25">
      <c r="A131" s="1" t="s">
        <v>77</v>
      </c>
      <c r="B131" s="1" t="s">
        <v>67</v>
      </c>
      <c r="C131" s="1" t="s">
        <v>68</v>
      </c>
      <c r="D131" s="1">
        <v>5916750.6585043678</v>
      </c>
      <c r="E131" s="1">
        <v>390505.54346128833</v>
      </c>
      <c r="F131" s="1">
        <v>390505.54346128833</v>
      </c>
      <c r="G131" s="1">
        <v>488131.92932661035</v>
      </c>
      <c r="H131" s="1">
        <v>488131.92932661035</v>
      </c>
      <c r="I131" s="1">
        <v>488131.92932661035</v>
      </c>
      <c r="J131" s="1">
        <v>488131.92932661035</v>
      </c>
      <c r="K131" s="1">
        <v>488131.92932661035</v>
      </c>
      <c r="L131" s="1">
        <v>488131.92932661035</v>
      </c>
      <c r="M131" s="1">
        <v>307671.03424222715</v>
      </c>
      <c r="N131" s="1">
        <v>307671.03424222715</v>
      </c>
      <c r="O131" s="1">
        <v>246531.277437682</v>
      </c>
      <c r="P131" s="1">
        <v>246531.277437682</v>
      </c>
      <c r="Q131" s="1">
        <v>345143.78841275477</v>
      </c>
      <c r="R131" s="1">
        <v>345143.78841275477</v>
      </c>
      <c r="S131" s="1">
        <v>345143.78841275477</v>
      </c>
      <c r="T131" s="1">
        <v>345143.78841275477</v>
      </c>
      <c r="U131" s="1">
        <v>345143.78841275477</v>
      </c>
      <c r="V131" s="1">
        <v>345143.78841275477</v>
      </c>
      <c r="W131" s="4">
        <f t="shared" ref="W131:W194" si="7">U131+S131+Q131+O131+M131+K131+I131+G131+E131</f>
        <v>3444535.0083592925</v>
      </c>
      <c r="X131" s="4">
        <f t="shared" ref="X131:X194" si="8">V131+T131+R131+P131+N131+L131+J131+H131+F131</f>
        <v>3444535.0083592925</v>
      </c>
      <c r="Y131" s="5">
        <f t="shared" ref="Y131:Y194" si="9">X131/D131</f>
        <v>0.58216666666666661</v>
      </c>
    </row>
    <row r="132" spans="1:25" x14ac:dyDescent="0.25">
      <c r="A132" s="1" t="s">
        <v>77</v>
      </c>
      <c r="B132" s="1" t="s">
        <v>69</v>
      </c>
      <c r="C132" s="1" t="s">
        <v>28</v>
      </c>
      <c r="D132" s="1">
        <v>9481286.7784022409</v>
      </c>
      <c r="E132" s="1">
        <v>625764.92737454793</v>
      </c>
      <c r="F132" s="1">
        <v>625764.92737454793</v>
      </c>
      <c r="G132" s="1">
        <v>782206.15921818488</v>
      </c>
      <c r="H132" s="1">
        <v>782206.15921818488</v>
      </c>
      <c r="I132" s="1">
        <v>782206.15921818488</v>
      </c>
      <c r="J132" s="1">
        <v>782206.15921818488</v>
      </c>
      <c r="K132" s="1">
        <v>782206.15921818488</v>
      </c>
      <c r="L132" s="1">
        <v>782206.15921818488</v>
      </c>
      <c r="M132" s="1">
        <v>476434.66061471257</v>
      </c>
      <c r="N132" s="1">
        <v>476434.66061471257</v>
      </c>
      <c r="O132" s="1">
        <v>397028.88384559384</v>
      </c>
      <c r="P132" s="1">
        <v>397028.88384559384</v>
      </c>
      <c r="Q132" s="1">
        <v>555840.43738383136</v>
      </c>
      <c r="R132" s="1">
        <v>555840.43738383136</v>
      </c>
      <c r="S132" s="1">
        <v>555840.43738383136</v>
      </c>
      <c r="T132" s="1">
        <v>555840.43738383136</v>
      </c>
      <c r="U132" s="1">
        <v>555840.43738383136</v>
      </c>
      <c r="V132" s="1">
        <v>555840.43738383136</v>
      </c>
      <c r="W132" s="4">
        <f t="shared" si="7"/>
        <v>5513368.2616409026</v>
      </c>
      <c r="X132" s="4">
        <f t="shared" si="8"/>
        <v>5513368.2616409026</v>
      </c>
      <c r="Y132" s="5">
        <f t="shared" si="9"/>
        <v>0.58149999999999991</v>
      </c>
    </row>
    <row r="133" spans="1:25" x14ac:dyDescent="0.25">
      <c r="A133" s="1" t="s">
        <v>77</v>
      </c>
      <c r="B133" s="1" t="s">
        <v>70</v>
      </c>
      <c r="C133" s="1" t="s">
        <v>23</v>
      </c>
      <c r="D133" s="1">
        <v>9646874.9064843766</v>
      </c>
      <c r="E133" s="1">
        <v>636693.74382796895</v>
      </c>
      <c r="F133" s="1">
        <v>636693.74382796895</v>
      </c>
      <c r="G133" s="1">
        <v>795867.17978496116</v>
      </c>
      <c r="H133" s="1">
        <v>795867.17978496116</v>
      </c>
      <c r="I133" s="1">
        <v>795867.17978496116</v>
      </c>
      <c r="J133" s="1">
        <v>795867.17978496116</v>
      </c>
      <c r="K133" s="1">
        <v>795867.17978496116</v>
      </c>
      <c r="L133" s="1">
        <v>795867.17978496116</v>
      </c>
      <c r="M133" s="1">
        <v>484755.46405083989</v>
      </c>
      <c r="N133" s="1">
        <v>484755.46405083989</v>
      </c>
      <c r="O133" s="1">
        <v>403962.88670903328</v>
      </c>
      <c r="P133" s="1">
        <v>403962.88670903328</v>
      </c>
      <c r="Q133" s="1">
        <v>565548.0413926465</v>
      </c>
      <c r="R133" s="1">
        <v>565548.0413926465</v>
      </c>
      <c r="S133" s="1">
        <v>565548.0413926465</v>
      </c>
      <c r="T133" s="1">
        <v>565548.0413926465</v>
      </c>
      <c r="U133" s="1">
        <v>565548.0413926465</v>
      </c>
      <c r="V133" s="1">
        <v>565548.0413926465</v>
      </c>
      <c r="W133" s="4">
        <f t="shared" si="7"/>
        <v>5609657.7581206644</v>
      </c>
      <c r="X133" s="4">
        <f t="shared" si="8"/>
        <v>5609657.7581206644</v>
      </c>
      <c r="Y133" s="5">
        <f t="shared" si="9"/>
        <v>0.58149999999999991</v>
      </c>
    </row>
    <row r="134" spans="1:25" x14ac:dyDescent="0.25">
      <c r="A134" s="1" t="s">
        <v>77</v>
      </c>
      <c r="B134" s="1" t="s">
        <v>71</v>
      </c>
      <c r="C134" s="1" t="s">
        <v>29</v>
      </c>
      <c r="D134" s="1">
        <v>7678466.3711538417</v>
      </c>
      <c r="E134" s="1">
        <v>506778.78049615363</v>
      </c>
      <c r="F134" s="1">
        <v>506778.78049615363</v>
      </c>
      <c r="G134" s="1">
        <v>633473.47562019201</v>
      </c>
      <c r="H134" s="1">
        <v>633473.47562019201</v>
      </c>
      <c r="I134" s="1">
        <v>633473.47562019201</v>
      </c>
      <c r="J134" s="1">
        <v>633473.47562019201</v>
      </c>
      <c r="K134" s="1">
        <v>633473.47562019201</v>
      </c>
      <c r="L134" s="1">
        <v>633473.47562019201</v>
      </c>
      <c r="M134" s="1">
        <v>385842.93515048054</v>
      </c>
      <c r="N134" s="1">
        <v>385842.93515048054</v>
      </c>
      <c r="O134" s="1">
        <v>321535.77929206711</v>
      </c>
      <c r="P134" s="1">
        <v>321535.77929206711</v>
      </c>
      <c r="Q134" s="1">
        <v>450150.09100889391</v>
      </c>
      <c r="R134" s="1">
        <v>450150.09100889391</v>
      </c>
      <c r="S134" s="1">
        <v>450150.09100889391</v>
      </c>
      <c r="T134" s="1">
        <v>450150.09100889391</v>
      </c>
      <c r="U134" s="1">
        <v>450150.09100889391</v>
      </c>
      <c r="V134" s="1">
        <v>450150.09100889391</v>
      </c>
      <c r="W134" s="4">
        <f t="shared" si="7"/>
        <v>4465028.1948259594</v>
      </c>
      <c r="X134" s="4">
        <f t="shared" si="8"/>
        <v>4465028.1948259594</v>
      </c>
      <c r="Y134" s="5">
        <f t="shared" si="9"/>
        <v>0.58150000000000002</v>
      </c>
    </row>
    <row r="135" spans="1:25" x14ac:dyDescent="0.25">
      <c r="A135" s="1" t="s">
        <v>77</v>
      </c>
      <c r="B135" s="1" t="s">
        <v>72</v>
      </c>
      <c r="C135" s="1" t="s">
        <v>73</v>
      </c>
      <c r="D135" s="1">
        <v>7992039.6173128309</v>
      </c>
      <c r="E135" s="1">
        <v>527474.61474264681</v>
      </c>
      <c r="F135" s="1">
        <v>527474.61474264681</v>
      </c>
      <c r="G135" s="1">
        <v>659343.26842830854</v>
      </c>
      <c r="H135" s="1">
        <v>659343.26842830854</v>
      </c>
      <c r="I135" s="1">
        <v>659343.26842830854</v>
      </c>
      <c r="J135" s="1">
        <v>659343.26842830854</v>
      </c>
      <c r="K135" s="1">
        <v>659343.26842830854</v>
      </c>
      <c r="L135" s="1">
        <v>659343.26842830854</v>
      </c>
      <c r="M135" s="1">
        <v>401599.99076996971</v>
      </c>
      <c r="N135" s="1">
        <v>401599.99076996971</v>
      </c>
      <c r="O135" s="1">
        <v>334666.65897497477</v>
      </c>
      <c r="P135" s="1">
        <v>334666.65897497477</v>
      </c>
      <c r="Q135" s="1">
        <v>468533.32256496465</v>
      </c>
      <c r="R135" s="1">
        <v>468533.32256496465</v>
      </c>
      <c r="S135" s="1">
        <v>468533.32256496465</v>
      </c>
      <c r="T135" s="1">
        <v>468533.32256496465</v>
      </c>
      <c r="U135" s="1">
        <v>468533.32256496465</v>
      </c>
      <c r="V135" s="1">
        <v>468533.32256496465</v>
      </c>
      <c r="W135" s="4">
        <f t="shared" si="7"/>
        <v>4647371.0374674108</v>
      </c>
      <c r="X135" s="4">
        <f t="shared" si="8"/>
        <v>4647371.0374674108</v>
      </c>
      <c r="Y135" s="5">
        <f t="shared" si="9"/>
        <v>0.58149999999999991</v>
      </c>
    </row>
    <row r="136" spans="1:25" x14ac:dyDescent="0.25">
      <c r="A136" s="1" t="s">
        <v>77</v>
      </c>
      <c r="B136" s="1" t="s">
        <v>48</v>
      </c>
      <c r="C136" s="1" t="s">
        <v>49</v>
      </c>
      <c r="D136" s="1">
        <v>5596442.5737779336</v>
      </c>
      <c r="E136" s="1">
        <v>369365.20986934367</v>
      </c>
      <c r="F136" s="1">
        <v>369365.20986934367</v>
      </c>
      <c r="G136" s="1">
        <v>461706.51233667956</v>
      </c>
      <c r="H136" s="1">
        <v>461706.51233667956</v>
      </c>
      <c r="I136" s="1">
        <v>461706.51233667956</v>
      </c>
      <c r="J136" s="1">
        <v>461706.51233667956</v>
      </c>
      <c r="K136" s="1">
        <v>461706.51233667956</v>
      </c>
      <c r="L136" s="1">
        <v>461706.51233667956</v>
      </c>
      <c r="M136" s="1">
        <v>281221.23933234107</v>
      </c>
      <c r="N136" s="1">
        <v>281221.23933234107</v>
      </c>
      <c r="O136" s="1">
        <v>234351.03277695092</v>
      </c>
      <c r="P136" s="1">
        <v>234351.03277695092</v>
      </c>
      <c r="Q136" s="1">
        <v>328091.44588773127</v>
      </c>
      <c r="R136" s="1">
        <v>328091.44588773127</v>
      </c>
      <c r="S136" s="1">
        <v>328091.44588773127</v>
      </c>
      <c r="T136" s="1">
        <v>328091.44588773127</v>
      </c>
      <c r="U136" s="1">
        <v>328091.44588773127</v>
      </c>
      <c r="V136" s="1">
        <v>328091.44588773127</v>
      </c>
      <c r="W136" s="4">
        <f t="shared" si="7"/>
        <v>3254331.3566518687</v>
      </c>
      <c r="X136" s="4">
        <f t="shared" si="8"/>
        <v>3254331.3566518687</v>
      </c>
      <c r="Y136" s="5">
        <f t="shared" si="9"/>
        <v>0.58150000000000002</v>
      </c>
    </row>
    <row r="137" spans="1:25" x14ac:dyDescent="0.25">
      <c r="A137" s="1" t="s">
        <v>77</v>
      </c>
      <c r="B137" s="1" t="s">
        <v>53</v>
      </c>
      <c r="C137" s="1" t="s">
        <v>30</v>
      </c>
      <c r="D137" s="1">
        <v>3286014.9262045384</v>
      </c>
      <c r="E137" s="1">
        <v>216876.98512949955</v>
      </c>
      <c r="F137" s="1">
        <v>216876.98512949955</v>
      </c>
      <c r="G137" s="1">
        <v>271096.23141187441</v>
      </c>
      <c r="H137" s="1">
        <v>271096.23141187441</v>
      </c>
      <c r="I137" s="1">
        <v>271096.23141187441</v>
      </c>
      <c r="J137" s="1">
        <v>271096.23141187441</v>
      </c>
      <c r="K137" s="1">
        <v>271096.23141187441</v>
      </c>
      <c r="L137" s="1">
        <v>271096.23141187441</v>
      </c>
      <c r="M137" s="1">
        <v>165122.25004177805</v>
      </c>
      <c r="N137" s="1">
        <v>165122.25004177805</v>
      </c>
      <c r="O137" s="1">
        <v>137601.87503481505</v>
      </c>
      <c r="P137" s="1">
        <v>137601.87503481505</v>
      </c>
      <c r="Q137" s="1">
        <v>192642.62504874106</v>
      </c>
      <c r="R137" s="1">
        <v>192642.62504874106</v>
      </c>
      <c r="S137" s="1">
        <v>192642.62504874106</v>
      </c>
      <c r="T137" s="1">
        <v>192642.62504874106</v>
      </c>
      <c r="U137" s="1">
        <v>192642.62504874106</v>
      </c>
      <c r="V137" s="1">
        <v>192642.62504874106</v>
      </c>
      <c r="W137" s="4">
        <f t="shared" si="7"/>
        <v>1910817.6795879391</v>
      </c>
      <c r="X137" s="4">
        <f t="shared" si="8"/>
        <v>1910817.6795879391</v>
      </c>
      <c r="Y137" s="5">
        <f t="shared" si="9"/>
        <v>0.58150000000000002</v>
      </c>
    </row>
    <row r="138" spans="1:25" x14ac:dyDescent="0.25">
      <c r="A138" s="1" t="s">
        <v>77</v>
      </c>
      <c r="B138" s="1" t="s">
        <v>74</v>
      </c>
      <c r="C138" s="1" t="s">
        <v>75</v>
      </c>
      <c r="D138" s="1">
        <v>8131794.8812461272</v>
      </c>
      <c r="E138" s="1">
        <v>536698.46216224448</v>
      </c>
      <c r="F138" s="1">
        <v>536698.46216224448</v>
      </c>
      <c r="G138" s="1">
        <v>670873.07770280552</v>
      </c>
      <c r="H138" s="1">
        <v>670873.07770280552</v>
      </c>
      <c r="I138" s="1">
        <v>670873.07770280552</v>
      </c>
      <c r="J138" s="1">
        <v>670873.07770280552</v>
      </c>
      <c r="K138" s="1">
        <v>670873.07770280552</v>
      </c>
      <c r="L138" s="1">
        <v>670873.07770280552</v>
      </c>
      <c r="M138" s="1">
        <v>408622.69278261793</v>
      </c>
      <c r="N138" s="1">
        <v>408622.69278261793</v>
      </c>
      <c r="O138" s="1">
        <v>340518.9106521816</v>
      </c>
      <c r="P138" s="1">
        <v>340518.9106521816</v>
      </c>
      <c r="Q138" s="1">
        <v>476726.4749130542</v>
      </c>
      <c r="R138" s="1">
        <v>476726.4749130542</v>
      </c>
      <c r="S138" s="1">
        <v>476726.4749130542</v>
      </c>
      <c r="T138" s="1">
        <v>476726.4749130542</v>
      </c>
      <c r="U138" s="1">
        <v>476726.4749130542</v>
      </c>
      <c r="V138" s="1">
        <v>476726.4749130542</v>
      </c>
      <c r="W138" s="4">
        <f t="shared" si="7"/>
        <v>4728638.7234446229</v>
      </c>
      <c r="X138" s="4">
        <f t="shared" si="8"/>
        <v>4728638.7234446229</v>
      </c>
      <c r="Y138" s="5">
        <f t="shared" si="9"/>
        <v>0.58150000000000002</v>
      </c>
    </row>
    <row r="139" spans="1:25" x14ac:dyDescent="0.25">
      <c r="A139" s="1" t="s">
        <v>77</v>
      </c>
      <c r="B139" s="1" t="s">
        <v>50</v>
      </c>
      <c r="C139" s="1" t="s">
        <v>25</v>
      </c>
      <c r="D139" s="1">
        <v>5876264.7024668287</v>
      </c>
      <c r="E139" s="1">
        <v>387833.47036281071</v>
      </c>
      <c r="F139" s="1">
        <v>387833.47036281071</v>
      </c>
      <c r="G139" s="1">
        <v>484791.83795351337</v>
      </c>
      <c r="H139" s="1">
        <v>484791.83795351337</v>
      </c>
      <c r="I139" s="1">
        <v>484791.83795351337</v>
      </c>
      <c r="J139" s="1">
        <v>484791.83795351337</v>
      </c>
      <c r="K139" s="1">
        <v>484791.83795351337</v>
      </c>
      <c r="L139" s="1">
        <v>484791.83795351337</v>
      </c>
      <c r="M139" s="1">
        <v>295282.30129895813</v>
      </c>
      <c r="N139" s="1">
        <v>295282.30129895813</v>
      </c>
      <c r="O139" s="1">
        <v>246068.58441579845</v>
      </c>
      <c r="P139" s="1">
        <v>246068.58441579845</v>
      </c>
      <c r="Q139" s="1">
        <v>344496.01818211784</v>
      </c>
      <c r="R139" s="1">
        <v>344496.01818211784</v>
      </c>
      <c r="S139" s="1">
        <v>344496.01818211784</v>
      </c>
      <c r="T139" s="1">
        <v>344496.01818211784</v>
      </c>
      <c r="U139" s="1">
        <v>344496.01818211784</v>
      </c>
      <c r="V139" s="1">
        <v>344496.01818211784</v>
      </c>
      <c r="W139" s="4">
        <f t="shared" si="7"/>
        <v>3417047.9244844615</v>
      </c>
      <c r="X139" s="4">
        <f t="shared" si="8"/>
        <v>3417047.9244844615</v>
      </c>
      <c r="Y139" s="5">
        <f t="shared" si="9"/>
        <v>0.58150000000000013</v>
      </c>
    </row>
    <row r="140" spans="1:25" x14ac:dyDescent="0.25">
      <c r="A140" s="1" t="s">
        <v>78</v>
      </c>
      <c r="B140" s="1" t="s">
        <v>59</v>
      </c>
      <c r="C140" s="1" t="s">
        <v>26</v>
      </c>
      <c r="D140" s="1">
        <v>33901212</v>
      </c>
      <c r="E140" s="1">
        <v>2984631.1678301622</v>
      </c>
      <c r="F140" s="1">
        <v>2984631.1678301622</v>
      </c>
      <c r="G140" s="1">
        <v>3730788.9597877027</v>
      </c>
      <c r="H140" s="1">
        <v>3730788.9597877027</v>
      </c>
      <c r="I140" s="1">
        <v>3730788.9597877027</v>
      </c>
      <c r="J140" s="1">
        <v>3730788.9597877027</v>
      </c>
      <c r="K140" s="1">
        <v>3730788.9597877027</v>
      </c>
      <c r="L140" s="1">
        <v>3730788.9597877027</v>
      </c>
      <c r="M140" s="1">
        <v>2372257.020106148</v>
      </c>
      <c r="N140" s="1">
        <v>2372257.020106148</v>
      </c>
      <c r="O140" s="1">
        <v>2372257.020106148</v>
      </c>
      <c r="P140" s="1">
        <v>2372257.020106148</v>
      </c>
      <c r="Q140" s="1">
        <v>2372257.020106148</v>
      </c>
      <c r="R140" s="1">
        <v>2372257.020106148</v>
      </c>
      <c r="S140" s="1">
        <v>2372257.020106148</v>
      </c>
      <c r="T140" s="1">
        <v>2372257.020106148</v>
      </c>
      <c r="U140" s="1">
        <v>2372257.020106148</v>
      </c>
      <c r="V140" s="1">
        <v>2372257.020106148</v>
      </c>
      <c r="W140" s="4">
        <f t="shared" si="7"/>
        <v>26038283.14772401</v>
      </c>
      <c r="X140" s="4">
        <f t="shared" si="8"/>
        <v>26038283.14772401</v>
      </c>
      <c r="Y140" s="5">
        <f t="shared" si="9"/>
        <v>0.76806348834147908</v>
      </c>
    </row>
    <row r="141" spans="1:25" x14ac:dyDescent="0.25">
      <c r="A141" s="1" t="s">
        <v>78</v>
      </c>
      <c r="B141" s="1" t="s">
        <v>60</v>
      </c>
      <c r="C141" s="1" t="s">
        <v>26</v>
      </c>
      <c r="D141" s="1">
        <v>11320471.630000001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5660235.8150000004</v>
      </c>
      <c r="N141" s="1">
        <v>5660235.8150000004</v>
      </c>
      <c r="O141" s="1">
        <v>5660235.8150000004</v>
      </c>
      <c r="P141" s="1">
        <v>5660235.8150000004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4">
        <f t="shared" si="7"/>
        <v>11320471.630000001</v>
      </c>
      <c r="X141" s="4">
        <f t="shared" si="8"/>
        <v>11320471.630000001</v>
      </c>
      <c r="Y141" s="5">
        <f t="shared" si="9"/>
        <v>1</v>
      </c>
    </row>
    <row r="142" spans="1:25" x14ac:dyDescent="0.25">
      <c r="A142" s="1" t="s">
        <v>78</v>
      </c>
      <c r="B142" s="1" t="s">
        <v>33</v>
      </c>
      <c r="C142" s="1" t="s">
        <v>34</v>
      </c>
      <c r="D142" s="1">
        <v>60000000</v>
      </c>
      <c r="E142" s="1">
        <v>0</v>
      </c>
      <c r="F142" s="1">
        <v>0</v>
      </c>
      <c r="G142" s="1">
        <v>12000000</v>
      </c>
      <c r="H142" s="1">
        <v>12000000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18000000</v>
      </c>
      <c r="P142" s="1">
        <v>18000000</v>
      </c>
      <c r="Q142" s="1">
        <v>0</v>
      </c>
      <c r="R142" s="1">
        <v>0</v>
      </c>
      <c r="S142" s="1">
        <v>18000000</v>
      </c>
      <c r="T142" s="1">
        <v>18000000</v>
      </c>
      <c r="U142" s="1">
        <v>12000000</v>
      </c>
      <c r="V142" s="1">
        <v>12000000</v>
      </c>
      <c r="W142" s="4">
        <f t="shared" si="7"/>
        <v>60000000</v>
      </c>
      <c r="X142" s="4">
        <f t="shared" si="8"/>
        <v>60000000</v>
      </c>
      <c r="Y142" s="5">
        <f t="shared" si="9"/>
        <v>1</v>
      </c>
    </row>
    <row r="143" spans="1:25" x14ac:dyDescent="0.25">
      <c r="A143" s="1" t="s">
        <v>78</v>
      </c>
      <c r="B143" s="1" t="s">
        <v>35</v>
      </c>
      <c r="C143" s="1" t="s">
        <v>34</v>
      </c>
      <c r="D143" s="1">
        <v>150000000</v>
      </c>
      <c r="E143" s="1">
        <v>0</v>
      </c>
      <c r="F143" s="1">
        <v>0</v>
      </c>
      <c r="G143" s="1">
        <v>41250000</v>
      </c>
      <c r="H143" s="1">
        <v>41250000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36250000</v>
      </c>
      <c r="P143" s="1">
        <v>36250000</v>
      </c>
      <c r="Q143" s="1">
        <v>0</v>
      </c>
      <c r="R143" s="1">
        <v>0</v>
      </c>
      <c r="S143" s="1">
        <v>36250000</v>
      </c>
      <c r="T143" s="1">
        <v>36250000</v>
      </c>
      <c r="U143" s="1">
        <v>36250000</v>
      </c>
      <c r="V143" s="1">
        <v>36250000</v>
      </c>
      <c r="W143" s="4">
        <f t="shared" si="7"/>
        <v>150000000</v>
      </c>
      <c r="X143" s="4">
        <f t="shared" si="8"/>
        <v>150000000</v>
      </c>
      <c r="Y143" s="5">
        <f t="shared" si="9"/>
        <v>1</v>
      </c>
    </row>
    <row r="144" spans="1:25" x14ac:dyDescent="0.25">
      <c r="A144" s="1" t="s">
        <v>78</v>
      </c>
      <c r="B144" s="1" t="s">
        <v>38</v>
      </c>
      <c r="C144" s="1" t="s">
        <v>39</v>
      </c>
      <c r="D144" s="1">
        <v>7571750.5718334364</v>
      </c>
      <c r="E144" s="1">
        <v>499735.53774100682</v>
      </c>
      <c r="F144" s="1">
        <v>499735.53774100682</v>
      </c>
      <c r="G144" s="1">
        <v>624669.42217625852</v>
      </c>
      <c r="H144" s="1">
        <v>624669.42217625852</v>
      </c>
      <c r="I144" s="1">
        <v>624669.42217625852</v>
      </c>
      <c r="J144" s="1">
        <v>624669.42217625852</v>
      </c>
      <c r="K144" s="1">
        <v>624669.42217625852</v>
      </c>
      <c r="L144" s="1">
        <v>624669.42217625852</v>
      </c>
      <c r="M144" s="1">
        <v>380480.46623463015</v>
      </c>
      <c r="N144" s="1">
        <v>380480.46623463015</v>
      </c>
      <c r="O144" s="1">
        <v>317067.05519552511</v>
      </c>
      <c r="P144" s="1">
        <v>317067.05519552511</v>
      </c>
      <c r="Q144" s="1">
        <v>443893.87727373512</v>
      </c>
      <c r="R144" s="1">
        <v>443893.87727373512</v>
      </c>
      <c r="S144" s="1">
        <v>443893.87727373512</v>
      </c>
      <c r="T144" s="1">
        <v>443893.87727373512</v>
      </c>
      <c r="U144" s="1">
        <v>443893.87727373512</v>
      </c>
      <c r="V144" s="1">
        <v>443893.87727373512</v>
      </c>
      <c r="W144" s="4">
        <f t="shared" si="7"/>
        <v>4402972.9575211434</v>
      </c>
      <c r="X144" s="4">
        <f t="shared" si="8"/>
        <v>4402972.9575211434</v>
      </c>
      <c r="Y144" s="5">
        <f t="shared" si="9"/>
        <v>0.58150000000000002</v>
      </c>
    </row>
    <row r="145" spans="1:25" x14ac:dyDescent="0.25">
      <c r="A145" s="1" t="s">
        <v>78</v>
      </c>
      <c r="B145" s="1" t="s">
        <v>61</v>
      </c>
      <c r="C145" s="1" t="s">
        <v>34</v>
      </c>
      <c r="D145" s="1">
        <v>87622954</v>
      </c>
      <c r="E145" s="1">
        <v>0</v>
      </c>
      <c r="F145" s="1">
        <v>0</v>
      </c>
      <c r="G145" s="1">
        <v>7009836.3192015653</v>
      </c>
      <c r="H145" s="1">
        <v>7009836.3192015653</v>
      </c>
      <c r="I145" s="1">
        <v>0</v>
      </c>
      <c r="J145" s="1">
        <v>0</v>
      </c>
      <c r="K145" s="1">
        <v>0</v>
      </c>
      <c r="L145" s="1">
        <v>0</v>
      </c>
      <c r="M145" s="1">
        <v>20153279.42019961</v>
      </c>
      <c r="N145" s="1">
        <v>20153279.42019961</v>
      </c>
      <c r="O145" s="1">
        <v>0</v>
      </c>
      <c r="P145" s="1">
        <v>0</v>
      </c>
      <c r="Q145" s="1">
        <v>0</v>
      </c>
      <c r="R145" s="1">
        <v>0</v>
      </c>
      <c r="S145" s="1">
        <v>30229919.130299415</v>
      </c>
      <c r="T145" s="1">
        <v>30229919.130299415</v>
      </c>
      <c r="U145" s="1">
        <v>0</v>
      </c>
      <c r="V145" s="1">
        <v>0</v>
      </c>
      <c r="W145" s="4">
        <f t="shared" si="7"/>
        <v>57393034.869700588</v>
      </c>
      <c r="X145" s="4">
        <f t="shared" si="8"/>
        <v>57393034.869700588</v>
      </c>
      <c r="Y145" s="5">
        <f t="shared" si="9"/>
        <v>0.65499999999658298</v>
      </c>
    </row>
    <row r="146" spans="1:25" x14ac:dyDescent="0.25">
      <c r="A146" s="1" t="s">
        <v>78</v>
      </c>
      <c r="B146" s="1" t="s">
        <v>62</v>
      </c>
      <c r="C146" s="1" t="s">
        <v>63</v>
      </c>
      <c r="D146" s="1">
        <v>19642857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1473214.2857142857</v>
      </c>
      <c r="N146" s="1">
        <v>1473214.2857142857</v>
      </c>
      <c r="O146" s="1">
        <v>1227678.5714285714</v>
      </c>
      <c r="P146" s="1">
        <v>1227678.5714285714</v>
      </c>
      <c r="Q146" s="1">
        <v>1718749.9999999998</v>
      </c>
      <c r="R146" s="1">
        <v>1718749.9999999998</v>
      </c>
      <c r="S146" s="1">
        <v>1718749.9999999998</v>
      </c>
      <c r="T146" s="1">
        <v>1718749.9999999998</v>
      </c>
      <c r="U146" s="1">
        <v>1718749.9999999998</v>
      </c>
      <c r="V146" s="1">
        <v>1718749.9999999998</v>
      </c>
      <c r="W146" s="4">
        <f t="shared" si="7"/>
        <v>7857142.8571428563</v>
      </c>
      <c r="X146" s="4">
        <f t="shared" si="8"/>
        <v>7857142.8571428563</v>
      </c>
      <c r="Y146" s="5">
        <f t="shared" si="9"/>
        <v>0.40000000290909088</v>
      </c>
    </row>
    <row r="147" spans="1:25" x14ac:dyDescent="0.25">
      <c r="A147" s="1" t="s">
        <v>78</v>
      </c>
      <c r="B147" s="1" t="s">
        <v>40</v>
      </c>
      <c r="C147" s="1" t="s">
        <v>27</v>
      </c>
      <c r="D147" s="1">
        <v>91969887</v>
      </c>
      <c r="E147" s="1">
        <v>7384655</v>
      </c>
      <c r="F147" s="1">
        <v>7384655</v>
      </c>
      <c r="G147" s="1">
        <v>8068134</v>
      </c>
      <c r="H147" s="1">
        <v>8068134</v>
      </c>
      <c r="I147" s="1">
        <v>16139111</v>
      </c>
      <c r="J147" s="1">
        <v>16139111</v>
      </c>
      <c r="K147" s="1">
        <v>8122075</v>
      </c>
      <c r="L147" s="1">
        <v>8122075</v>
      </c>
      <c r="M147" s="1">
        <v>0</v>
      </c>
      <c r="N147" s="1">
        <v>0</v>
      </c>
      <c r="O147" s="1">
        <v>19799383</v>
      </c>
      <c r="P147" s="1">
        <v>19799383</v>
      </c>
      <c r="Q147" s="1">
        <v>13472876</v>
      </c>
      <c r="R147" s="1">
        <v>13472876</v>
      </c>
      <c r="S147" s="1">
        <v>5168957</v>
      </c>
      <c r="T147" s="1">
        <v>5168957</v>
      </c>
      <c r="U147" s="1">
        <v>4889164</v>
      </c>
      <c r="V147" s="1">
        <v>4889164</v>
      </c>
      <c r="W147" s="4">
        <f t="shared" si="7"/>
        <v>83044355</v>
      </c>
      <c r="X147" s="4">
        <f t="shared" si="8"/>
        <v>83044355</v>
      </c>
      <c r="Y147" s="5">
        <f t="shared" si="9"/>
        <v>0.90295158240218343</v>
      </c>
    </row>
    <row r="148" spans="1:25" x14ac:dyDescent="0.25">
      <c r="A148" s="1" t="s">
        <v>78</v>
      </c>
      <c r="B148" s="1" t="s">
        <v>41</v>
      </c>
      <c r="C148" s="1" t="s">
        <v>27</v>
      </c>
      <c r="D148" s="1">
        <v>70828962</v>
      </c>
      <c r="E148" s="1">
        <v>21396625.985873841</v>
      </c>
      <c r="F148" s="1">
        <v>21396625.985873841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18537126.005297311</v>
      </c>
      <c r="N148" s="1">
        <v>18537126.005297311</v>
      </c>
      <c r="O148" s="1">
        <v>12358084.00353154</v>
      </c>
      <c r="P148" s="1">
        <v>12358084.00353154</v>
      </c>
      <c r="Q148" s="1">
        <v>18537126.005297311</v>
      </c>
      <c r="R148" s="1">
        <v>18537126.005297311</v>
      </c>
      <c r="S148" s="1">
        <v>0</v>
      </c>
      <c r="T148" s="1">
        <v>0</v>
      </c>
      <c r="U148" s="1">
        <v>0</v>
      </c>
      <c r="V148" s="1">
        <v>0</v>
      </c>
      <c r="W148" s="4">
        <f t="shared" si="7"/>
        <v>70828962</v>
      </c>
      <c r="X148" s="4">
        <f t="shared" si="8"/>
        <v>70828962</v>
      </c>
      <c r="Y148" s="5">
        <f t="shared" si="9"/>
        <v>1</v>
      </c>
    </row>
    <row r="149" spans="1:25" x14ac:dyDescent="0.25">
      <c r="A149" s="1" t="s">
        <v>78</v>
      </c>
      <c r="B149" s="1" t="s">
        <v>42</v>
      </c>
      <c r="C149" s="1" t="s">
        <v>27</v>
      </c>
      <c r="D149" s="1">
        <v>22384790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22384790</v>
      </c>
      <c r="V149" s="1">
        <v>22384790</v>
      </c>
      <c r="W149" s="4">
        <f t="shared" si="7"/>
        <v>22384790</v>
      </c>
      <c r="X149" s="4">
        <f t="shared" si="8"/>
        <v>22384790</v>
      </c>
      <c r="Y149" s="5">
        <f t="shared" si="9"/>
        <v>1</v>
      </c>
    </row>
    <row r="150" spans="1:25" x14ac:dyDescent="0.25">
      <c r="A150" s="1" t="s">
        <v>78</v>
      </c>
      <c r="B150" s="1" t="s">
        <v>43</v>
      </c>
      <c r="C150" s="1" t="s">
        <v>31</v>
      </c>
      <c r="D150" s="1">
        <v>3828473</v>
      </c>
      <c r="E150" s="1">
        <v>222389.86034951915</v>
      </c>
      <c r="F150" s="1">
        <v>222389.86034951915</v>
      </c>
      <c r="G150" s="1">
        <v>277987.32543689891</v>
      </c>
      <c r="H150" s="1">
        <v>277987.32543689891</v>
      </c>
      <c r="I150" s="1">
        <v>277987.32543689891</v>
      </c>
      <c r="J150" s="1">
        <v>277987.32543689891</v>
      </c>
      <c r="K150" s="1">
        <v>277987.32543689891</v>
      </c>
      <c r="L150" s="1">
        <v>277987.32543689891</v>
      </c>
      <c r="M150" s="1">
        <v>206704.30712945884</v>
      </c>
      <c r="N150" s="1">
        <v>206704.30712945884</v>
      </c>
      <c r="O150" s="1">
        <v>172253.58927454904</v>
      </c>
      <c r="P150" s="1">
        <v>172253.58927454904</v>
      </c>
      <c r="Q150" s="1">
        <v>213481.41388610227</v>
      </c>
      <c r="R150" s="1">
        <v>213481.41388610227</v>
      </c>
      <c r="S150" s="1">
        <v>241155.02498436865</v>
      </c>
      <c r="T150" s="1">
        <v>241155.02498436865</v>
      </c>
      <c r="U150" s="1">
        <v>241155.02498436865</v>
      </c>
      <c r="V150" s="1">
        <v>241155.02498436865</v>
      </c>
      <c r="W150" s="4">
        <f t="shared" si="7"/>
        <v>2131101.1969190636</v>
      </c>
      <c r="X150" s="4">
        <f t="shared" si="8"/>
        <v>2131101.1969190636</v>
      </c>
      <c r="Y150" s="5">
        <f t="shared" si="9"/>
        <v>0.55664522041008613</v>
      </c>
    </row>
    <row r="151" spans="1:25" x14ac:dyDescent="0.25">
      <c r="A151" s="1" t="s">
        <v>78</v>
      </c>
      <c r="B151" s="1" t="s">
        <v>64</v>
      </c>
      <c r="C151" s="1" t="s">
        <v>23</v>
      </c>
      <c r="D151" s="1">
        <v>3876481.5405843109</v>
      </c>
      <c r="E151" s="1">
        <v>255847.78167856453</v>
      </c>
      <c r="F151" s="1">
        <v>255847.78167856453</v>
      </c>
      <c r="G151" s="1">
        <v>319809.72709820565</v>
      </c>
      <c r="H151" s="1">
        <v>319809.72709820565</v>
      </c>
      <c r="I151" s="1">
        <v>319809.72709820565</v>
      </c>
      <c r="J151" s="1">
        <v>319809.72709820565</v>
      </c>
      <c r="K151" s="1">
        <v>319809.72709820565</v>
      </c>
      <c r="L151" s="1">
        <v>319809.72709820565</v>
      </c>
      <c r="M151" s="1">
        <v>194793.19741436164</v>
      </c>
      <c r="N151" s="1">
        <v>194793.19741436164</v>
      </c>
      <c r="O151" s="1">
        <v>162327.66451196803</v>
      </c>
      <c r="P151" s="1">
        <v>162327.66451196803</v>
      </c>
      <c r="Q151" s="1">
        <v>227258.73031675525</v>
      </c>
      <c r="R151" s="1">
        <v>227258.73031675525</v>
      </c>
      <c r="S151" s="1">
        <v>227258.73031675525</v>
      </c>
      <c r="T151" s="1">
        <v>227258.73031675525</v>
      </c>
      <c r="U151" s="1">
        <v>227258.73031675525</v>
      </c>
      <c r="V151" s="1">
        <v>227258.73031675525</v>
      </c>
      <c r="W151" s="4">
        <f t="shared" si="7"/>
        <v>2254174.0158497766</v>
      </c>
      <c r="X151" s="4">
        <f t="shared" si="8"/>
        <v>2254174.0158497766</v>
      </c>
      <c r="Y151" s="5">
        <f t="shared" si="9"/>
        <v>0.58149999999999991</v>
      </c>
    </row>
    <row r="152" spans="1:25" x14ac:dyDescent="0.25">
      <c r="A152" s="1" t="s">
        <v>78</v>
      </c>
      <c r="B152" s="1" t="s">
        <v>65</v>
      </c>
      <c r="C152" s="1" t="s">
        <v>31</v>
      </c>
      <c r="D152" s="1">
        <v>5493566.4060108736</v>
      </c>
      <c r="E152" s="1">
        <v>362575.38279671769</v>
      </c>
      <c r="F152" s="1">
        <v>362575.38279671769</v>
      </c>
      <c r="G152" s="1">
        <v>453219.22849589708</v>
      </c>
      <c r="H152" s="1">
        <v>453219.22849589708</v>
      </c>
      <c r="I152" s="1">
        <v>453219.22849589708</v>
      </c>
      <c r="J152" s="1">
        <v>453219.22849589708</v>
      </c>
      <c r="K152" s="1">
        <v>453219.22849589708</v>
      </c>
      <c r="L152" s="1">
        <v>453219.22849589708</v>
      </c>
      <c r="M152" s="1">
        <v>276051.7119020464</v>
      </c>
      <c r="N152" s="1">
        <v>276051.7119020464</v>
      </c>
      <c r="O152" s="1">
        <v>230043.09325170534</v>
      </c>
      <c r="P152" s="1">
        <v>230043.09325170534</v>
      </c>
      <c r="Q152" s="1">
        <v>322060.33055238746</v>
      </c>
      <c r="R152" s="1">
        <v>322060.33055238746</v>
      </c>
      <c r="S152" s="1">
        <v>322060.33055238746</v>
      </c>
      <c r="T152" s="1">
        <v>322060.33055238746</v>
      </c>
      <c r="U152" s="1">
        <v>322060.33055238746</v>
      </c>
      <c r="V152" s="1">
        <v>322060.33055238746</v>
      </c>
      <c r="W152" s="4">
        <f t="shared" si="7"/>
        <v>3194508.8650953234</v>
      </c>
      <c r="X152" s="4">
        <f t="shared" si="8"/>
        <v>3194508.8650953234</v>
      </c>
      <c r="Y152" s="5">
        <f t="shared" si="9"/>
        <v>0.58150000000000013</v>
      </c>
    </row>
    <row r="153" spans="1:25" x14ac:dyDescent="0.25">
      <c r="A153" s="1" t="s">
        <v>78</v>
      </c>
      <c r="B153" s="1" t="s">
        <v>44</v>
      </c>
      <c r="C153" s="1" t="s">
        <v>45</v>
      </c>
      <c r="D153" s="1">
        <v>7571750.5718334364</v>
      </c>
      <c r="E153" s="1">
        <v>499735.53774100682</v>
      </c>
      <c r="F153" s="1">
        <v>499735.53774100682</v>
      </c>
      <c r="G153" s="1">
        <v>624669.42217625852</v>
      </c>
      <c r="H153" s="1">
        <v>624669.42217625852</v>
      </c>
      <c r="I153" s="1">
        <v>624669.42217625852</v>
      </c>
      <c r="J153" s="1">
        <v>624669.42217625852</v>
      </c>
      <c r="K153" s="1">
        <v>624669.42217625852</v>
      </c>
      <c r="L153" s="1">
        <v>624669.42217625852</v>
      </c>
      <c r="M153" s="1">
        <v>380480.46623463015</v>
      </c>
      <c r="N153" s="1">
        <v>380480.46623463015</v>
      </c>
      <c r="O153" s="1">
        <v>317067.05519552511</v>
      </c>
      <c r="P153" s="1">
        <v>317067.05519552511</v>
      </c>
      <c r="Q153" s="1">
        <v>443893.87727373512</v>
      </c>
      <c r="R153" s="1">
        <v>443893.87727373512</v>
      </c>
      <c r="S153" s="1">
        <v>443893.87727373512</v>
      </c>
      <c r="T153" s="1">
        <v>443893.87727373512</v>
      </c>
      <c r="U153" s="1">
        <v>443893.87727373512</v>
      </c>
      <c r="V153" s="1">
        <v>443893.87727373512</v>
      </c>
      <c r="W153" s="4">
        <f t="shared" si="7"/>
        <v>4402972.9575211434</v>
      </c>
      <c r="X153" s="4">
        <f t="shared" si="8"/>
        <v>4402972.9575211434</v>
      </c>
      <c r="Y153" s="5">
        <f t="shared" si="9"/>
        <v>0.58150000000000002</v>
      </c>
    </row>
    <row r="154" spans="1:25" x14ac:dyDescent="0.25">
      <c r="A154" s="1" t="s">
        <v>78</v>
      </c>
      <c r="B154" s="1" t="s">
        <v>46</v>
      </c>
      <c r="C154" s="1" t="s">
        <v>22</v>
      </c>
      <c r="D154" s="1">
        <v>67378022.813330904</v>
      </c>
      <c r="E154" s="1">
        <v>4451115.0850622328</v>
      </c>
      <c r="F154" s="1">
        <v>4451115.0850622328</v>
      </c>
      <c r="G154" s="1">
        <v>5563893.8563277908</v>
      </c>
      <c r="H154" s="1">
        <v>5563893.8563277908</v>
      </c>
      <c r="I154" s="1">
        <v>5563893.8563277908</v>
      </c>
      <c r="J154" s="1">
        <v>5563893.8563277908</v>
      </c>
      <c r="K154" s="1">
        <v>5563893.8563277908</v>
      </c>
      <c r="L154" s="1">
        <v>5563893.8563277908</v>
      </c>
      <c r="M154" s="1">
        <v>3491160.4626295571</v>
      </c>
      <c r="N154" s="1">
        <v>3491160.4626295571</v>
      </c>
      <c r="O154" s="1">
        <v>2838975.0127252773</v>
      </c>
      <c r="P154" s="1">
        <v>2838975.0127252773</v>
      </c>
      <c r="Q154" s="1">
        <v>3930384.667490459</v>
      </c>
      <c r="R154" s="1">
        <v>3930384.667490459</v>
      </c>
      <c r="S154" s="1">
        <v>3930384.667490459</v>
      </c>
      <c r="T154" s="1">
        <v>3930384.667490459</v>
      </c>
      <c r="U154" s="1">
        <v>3886204.2766116462</v>
      </c>
      <c r="V154" s="1">
        <v>3886204.2766116462</v>
      </c>
      <c r="W154" s="4">
        <f t="shared" si="7"/>
        <v>39219905.740993008</v>
      </c>
      <c r="X154" s="4">
        <f t="shared" si="8"/>
        <v>39219905.740993008</v>
      </c>
      <c r="Y154" s="5">
        <f t="shared" si="9"/>
        <v>0.58208751315916107</v>
      </c>
    </row>
    <row r="155" spans="1:25" x14ac:dyDescent="0.25">
      <c r="A155" s="1" t="s">
        <v>78</v>
      </c>
      <c r="B155" s="1" t="s">
        <v>66</v>
      </c>
      <c r="C155" s="1" t="s">
        <v>24</v>
      </c>
      <c r="D155" s="1">
        <v>260293946.27462015</v>
      </c>
      <c r="E155" s="1">
        <v>21474250.567656163</v>
      </c>
      <c r="F155" s="1">
        <v>21474250.567656163</v>
      </c>
      <c r="G155" s="1">
        <v>21474250.567656163</v>
      </c>
      <c r="H155" s="1">
        <v>21474250.567656163</v>
      </c>
      <c r="I155" s="1">
        <v>21474250.567656163</v>
      </c>
      <c r="J155" s="1">
        <v>21474250.567656163</v>
      </c>
      <c r="K155" s="1">
        <v>21474250.567656163</v>
      </c>
      <c r="L155" s="1">
        <v>21474250.567656163</v>
      </c>
      <c r="M155" s="1">
        <v>24550093.331042025</v>
      </c>
      <c r="N155" s="1">
        <v>24550093.331042025</v>
      </c>
      <c r="O155" s="1">
        <v>21172153.353333335</v>
      </c>
      <c r="P155" s="1">
        <v>21172153.353333335</v>
      </c>
      <c r="Q155" s="1">
        <v>20460101.443333335</v>
      </c>
      <c r="R155" s="1">
        <v>20460101.443333335</v>
      </c>
      <c r="S155" s="1">
        <v>27156067.770833328</v>
      </c>
      <c r="T155" s="1">
        <v>27156067.770833328</v>
      </c>
      <c r="U155" s="1">
        <v>20334653.353333335</v>
      </c>
      <c r="V155" s="1">
        <v>20334653.353333335</v>
      </c>
      <c r="W155" s="4">
        <f t="shared" si="7"/>
        <v>199570071.52250001</v>
      </c>
      <c r="X155" s="4">
        <f t="shared" si="8"/>
        <v>199570071.52250001</v>
      </c>
      <c r="Y155" s="5">
        <f t="shared" si="9"/>
        <v>0.76671038408225556</v>
      </c>
    </row>
    <row r="156" spans="1:25" x14ac:dyDescent="0.25">
      <c r="A156" s="1" t="s">
        <v>78</v>
      </c>
      <c r="B156" s="1" t="s">
        <v>67</v>
      </c>
      <c r="C156" s="1" t="s">
        <v>68</v>
      </c>
      <c r="D156" s="1">
        <v>5916750.6585043678</v>
      </c>
      <c r="E156" s="1">
        <v>390505.54346128833</v>
      </c>
      <c r="F156" s="1">
        <v>390505.54346128833</v>
      </c>
      <c r="G156" s="1">
        <v>488131.92932661035</v>
      </c>
      <c r="H156" s="1">
        <v>488131.92932661035</v>
      </c>
      <c r="I156" s="1">
        <v>488131.92932661035</v>
      </c>
      <c r="J156" s="1">
        <v>488131.92932661035</v>
      </c>
      <c r="K156" s="1">
        <v>488131.92932661035</v>
      </c>
      <c r="L156" s="1">
        <v>488131.92932661035</v>
      </c>
      <c r="M156" s="1">
        <v>307671.03424222715</v>
      </c>
      <c r="N156" s="1">
        <v>307671.03424222715</v>
      </c>
      <c r="O156" s="1">
        <v>246531.277437682</v>
      </c>
      <c r="P156" s="1">
        <v>246531.277437682</v>
      </c>
      <c r="Q156" s="1">
        <v>345143.78841275477</v>
      </c>
      <c r="R156" s="1">
        <v>345143.78841275477</v>
      </c>
      <c r="S156" s="1">
        <v>345143.78841275477</v>
      </c>
      <c r="T156" s="1">
        <v>345143.78841275477</v>
      </c>
      <c r="U156" s="1">
        <v>345143.78841275477</v>
      </c>
      <c r="V156" s="1">
        <v>345143.78841275477</v>
      </c>
      <c r="W156" s="4">
        <f t="shared" si="7"/>
        <v>3444535.0083592925</v>
      </c>
      <c r="X156" s="4">
        <f t="shared" si="8"/>
        <v>3444535.0083592925</v>
      </c>
      <c r="Y156" s="5">
        <f t="shared" si="9"/>
        <v>0.58216666666666661</v>
      </c>
    </row>
    <row r="157" spans="1:25" x14ac:dyDescent="0.25">
      <c r="A157" s="1" t="s">
        <v>78</v>
      </c>
      <c r="B157" s="1" t="s">
        <v>69</v>
      </c>
      <c r="C157" s="1" t="s">
        <v>28</v>
      </c>
      <c r="D157" s="1">
        <v>4476720.4074541563</v>
      </c>
      <c r="E157" s="1">
        <v>295463.54689197434</v>
      </c>
      <c r="F157" s="1">
        <v>295463.54689197434</v>
      </c>
      <c r="G157" s="1">
        <v>369329.43361496791</v>
      </c>
      <c r="H157" s="1">
        <v>369329.43361496791</v>
      </c>
      <c r="I157" s="1">
        <v>369329.43361496791</v>
      </c>
      <c r="J157" s="1">
        <v>369329.43361496791</v>
      </c>
      <c r="K157" s="1">
        <v>369329.43361496791</v>
      </c>
      <c r="L157" s="1">
        <v>369329.43361496791</v>
      </c>
      <c r="M157" s="1">
        <v>224955.20047457135</v>
      </c>
      <c r="N157" s="1">
        <v>224955.20047457135</v>
      </c>
      <c r="O157" s="1">
        <v>187462.66706214281</v>
      </c>
      <c r="P157" s="1">
        <v>187462.66706214281</v>
      </c>
      <c r="Q157" s="1">
        <v>262447.73388699989</v>
      </c>
      <c r="R157" s="1">
        <v>262447.73388699989</v>
      </c>
      <c r="S157" s="1">
        <v>262447.73388699989</v>
      </c>
      <c r="T157" s="1">
        <v>262447.73388699989</v>
      </c>
      <c r="U157" s="1">
        <v>262447.73388699989</v>
      </c>
      <c r="V157" s="1">
        <v>262447.73388699989</v>
      </c>
      <c r="W157" s="4">
        <f t="shared" si="7"/>
        <v>2603212.9169345917</v>
      </c>
      <c r="X157" s="4">
        <f t="shared" si="8"/>
        <v>2603212.9169345917</v>
      </c>
      <c r="Y157" s="5">
        <f t="shared" si="9"/>
        <v>0.58149999999999991</v>
      </c>
    </row>
    <row r="158" spans="1:25" x14ac:dyDescent="0.25">
      <c r="A158" s="1" t="s">
        <v>78</v>
      </c>
      <c r="B158" s="1" t="s">
        <v>70</v>
      </c>
      <c r="C158" s="1" t="s">
        <v>23</v>
      </c>
      <c r="D158" s="1">
        <v>6890625.0152343744</v>
      </c>
      <c r="E158" s="1">
        <v>454781.25100546872</v>
      </c>
      <c r="F158" s="1">
        <v>454781.25100546872</v>
      </c>
      <c r="G158" s="1">
        <v>568476.56375683588</v>
      </c>
      <c r="H158" s="1">
        <v>568476.56375683588</v>
      </c>
      <c r="I158" s="1">
        <v>568476.56375683588</v>
      </c>
      <c r="J158" s="1">
        <v>568476.56375683588</v>
      </c>
      <c r="K158" s="1">
        <v>568476.56375683588</v>
      </c>
      <c r="L158" s="1">
        <v>568476.56375683588</v>
      </c>
      <c r="M158" s="1">
        <v>346253.90701552731</v>
      </c>
      <c r="N158" s="1">
        <v>346253.90701552731</v>
      </c>
      <c r="O158" s="1">
        <v>288544.92251293943</v>
      </c>
      <c r="P158" s="1">
        <v>288544.92251293943</v>
      </c>
      <c r="Q158" s="1">
        <v>403962.89151811518</v>
      </c>
      <c r="R158" s="1">
        <v>403962.89151811518</v>
      </c>
      <c r="S158" s="1">
        <v>403962.89151811518</v>
      </c>
      <c r="T158" s="1">
        <v>403962.89151811518</v>
      </c>
      <c r="U158" s="1">
        <v>403962.89151811518</v>
      </c>
      <c r="V158" s="1">
        <v>403962.89151811518</v>
      </c>
      <c r="W158" s="4">
        <f t="shared" si="7"/>
        <v>4006898.4463587888</v>
      </c>
      <c r="X158" s="4">
        <f t="shared" si="8"/>
        <v>4006898.4463587888</v>
      </c>
      <c r="Y158" s="5">
        <f t="shared" si="9"/>
        <v>0.58150000000000002</v>
      </c>
    </row>
    <row r="159" spans="1:25" x14ac:dyDescent="0.25">
      <c r="A159" s="1" t="s">
        <v>78</v>
      </c>
      <c r="B159" s="1" t="s">
        <v>71</v>
      </c>
      <c r="C159" s="1" t="s">
        <v>29</v>
      </c>
      <c r="D159" s="1">
        <v>7477405.021153843</v>
      </c>
      <c r="E159" s="1">
        <v>493508.73139615369</v>
      </c>
      <c r="F159" s="1">
        <v>493508.73139615369</v>
      </c>
      <c r="G159" s="1">
        <v>616885.91424519208</v>
      </c>
      <c r="H159" s="1">
        <v>616885.91424519208</v>
      </c>
      <c r="I159" s="1">
        <v>616885.91424519208</v>
      </c>
      <c r="J159" s="1">
        <v>616885.91424519208</v>
      </c>
      <c r="K159" s="1">
        <v>616885.91424519208</v>
      </c>
      <c r="L159" s="1">
        <v>616885.91424519208</v>
      </c>
      <c r="M159" s="1">
        <v>375739.60231298063</v>
      </c>
      <c r="N159" s="1">
        <v>375739.60231298063</v>
      </c>
      <c r="O159" s="1">
        <v>313116.3352608172</v>
      </c>
      <c r="P159" s="1">
        <v>313116.3352608172</v>
      </c>
      <c r="Q159" s="1">
        <v>438362.86936514406</v>
      </c>
      <c r="R159" s="1">
        <v>438362.86936514406</v>
      </c>
      <c r="S159" s="1">
        <v>438362.86936514406</v>
      </c>
      <c r="T159" s="1">
        <v>438362.86936514406</v>
      </c>
      <c r="U159" s="1">
        <v>438362.86936514406</v>
      </c>
      <c r="V159" s="1">
        <v>438362.86936514406</v>
      </c>
      <c r="W159" s="4">
        <f t="shared" si="7"/>
        <v>4348111.0198009601</v>
      </c>
      <c r="X159" s="4">
        <f t="shared" si="8"/>
        <v>4348111.0198009601</v>
      </c>
      <c r="Y159" s="5">
        <f t="shared" si="9"/>
        <v>0.58150000000000002</v>
      </c>
    </row>
    <row r="160" spans="1:25" x14ac:dyDescent="0.25">
      <c r="A160" s="1" t="s">
        <v>78</v>
      </c>
      <c r="B160" s="1" t="s">
        <v>72</v>
      </c>
      <c r="C160" s="1" t="s">
        <v>73</v>
      </c>
      <c r="D160" s="1">
        <v>5924536.5364770135</v>
      </c>
      <c r="E160" s="1">
        <v>391019.41140748293</v>
      </c>
      <c r="F160" s="1">
        <v>391019.41140748293</v>
      </c>
      <c r="G160" s="1">
        <v>488774.26425935363</v>
      </c>
      <c r="H160" s="1">
        <v>488774.26425935363</v>
      </c>
      <c r="I160" s="1">
        <v>488774.26425935363</v>
      </c>
      <c r="J160" s="1">
        <v>488774.26425935363</v>
      </c>
      <c r="K160" s="1">
        <v>488774.26425935363</v>
      </c>
      <c r="L160" s="1">
        <v>488774.26425935363</v>
      </c>
      <c r="M160" s="1">
        <v>297707.96095796989</v>
      </c>
      <c r="N160" s="1">
        <v>297707.96095796989</v>
      </c>
      <c r="O160" s="1">
        <v>248089.96746497494</v>
      </c>
      <c r="P160" s="1">
        <v>248089.96746497494</v>
      </c>
      <c r="Q160" s="1">
        <v>347325.95445096487</v>
      </c>
      <c r="R160" s="1">
        <v>347325.95445096487</v>
      </c>
      <c r="S160" s="1">
        <v>347325.95445096487</v>
      </c>
      <c r="T160" s="1">
        <v>347325.95445096487</v>
      </c>
      <c r="U160" s="1">
        <v>347325.95445096487</v>
      </c>
      <c r="V160" s="1">
        <v>347325.95445096487</v>
      </c>
      <c r="W160" s="4">
        <f t="shared" si="7"/>
        <v>3445117.9959613835</v>
      </c>
      <c r="X160" s="4">
        <f t="shared" si="8"/>
        <v>3445117.9959613835</v>
      </c>
      <c r="Y160" s="5">
        <f t="shared" si="9"/>
        <v>0.58150000000000002</v>
      </c>
    </row>
    <row r="161" spans="1:25" x14ac:dyDescent="0.25">
      <c r="A161" s="1" t="s">
        <v>78</v>
      </c>
      <c r="B161" s="1" t="s">
        <v>48</v>
      </c>
      <c r="C161" s="1" t="s">
        <v>49</v>
      </c>
      <c r="D161" s="1">
        <v>4165631.1852441416</v>
      </c>
      <c r="E161" s="1">
        <v>274931.65822611336</v>
      </c>
      <c r="F161" s="1">
        <v>274931.65822611336</v>
      </c>
      <c r="G161" s="1">
        <v>343664.57278264168</v>
      </c>
      <c r="H161" s="1">
        <v>343664.57278264168</v>
      </c>
      <c r="I161" s="1">
        <v>343664.57278264168</v>
      </c>
      <c r="J161" s="1">
        <v>343664.57278264168</v>
      </c>
      <c r="K161" s="1">
        <v>343664.57278264168</v>
      </c>
      <c r="L161" s="1">
        <v>343664.57278264168</v>
      </c>
      <c r="M161" s="1">
        <v>209322.96705851809</v>
      </c>
      <c r="N161" s="1">
        <v>209322.96705851809</v>
      </c>
      <c r="O161" s="1">
        <v>174435.80588209842</v>
      </c>
      <c r="P161" s="1">
        <v>174435.80588209842</v>
      </c>
      <c r="Q161" s="1">
        <v>244210.12823493776</v>
      </c>
      <c r="R161" s="1">
        <v>244210.12823493776</v>
      </c>
      <c r="S161" s="1">
        <v>244210.12823493776</v>
      </c>
      <c r="T161" s="1">
        <v>244210.12823493776</v>
      </c>
      <c r="U161" s="1">
        <v>244210.12823493776</v>
      </c>
      <c r="V161" s="1">
        <v>244210.12823493776</v>
      </c>
      <c r="W161" s="4">
        <f t="shared" si="7"/>
        <v>2422314.534219468</v>
      </c>
      <c r="X161" s="4">
        <f t="shared" si="8"/>
        <v>2422314.534219468</v>
      </c>
      <c r="Y161" s="5">
        <f t="shared" si="9"/>
        <v>0.58149999999999991</v>
      </c>
    </row>
    <row r="162" spans="1:25" x14ac:dyDescent="0.25">
      <c r="A162" s="1" t="s">
        <v>78</v>
      </c>
      <c r="B162" s="1" t="s">
        <v>53</v>
      </c>
      <c r="C162" s="1" t="s">
        <v>30</v>
      </c>
      <c r="D162" s="1">
        <v>3286014.9262045375</v>
      </c>
      <c r="E162" s="1">
        <v>216876.98512949949</v>
      </c>
      <c r="F162" s="1">
        <v>216876.98512949949</v>
      </c>
      <c r="G162" s="1">
        <v>271096.23141187435</v>
      </c>
      <c r="H162" s="1">
        <v>271096.23141187435</v>
      </c>
      <c r="I162" s="1">
        <v>271096.23141187435</v>
      </c>
      <c r="J162" s="1">
        <v>271096.23141187435</v>
      </c>
      <c r="K162" s="1">
        <v>271096.23141187435</v>
      </c>
      <c r="L162" s="1">
        <v>271096.23141187435</v>
      </c>
      <c r="M162" s="1">
        <v>165122.250041778</v>
      </c>
      <c r="N162" s="1">
        <v>165122.250041778</v>
      </c>
      <c r="O162" s="1">
        <v>137601.87503481499</v>
      </c>
      <c r="P162" s="1">
        <v>137601.87503481499</v>
      </c>
      <c r="Q162" s="1">
        <v>192642.62504874097</v>
      </c>
      <c r="R162" s="1">
        <v>192642.62504874097</v>
      </c>
      <c r="S162" s="1">
        <v>192642.62504874097</v>
      </c>
      <c r="T162" s="1">
        <v>192642.62504874097</v>
      </c>
      <c r="U162" s="1">
        <v>192642.62504874097</v>
      </c>
      <c r="V162" s="1">
        <v>192642.62504874097</v>
      </c>
      <c r="W162" s="4">
        <f t="shared" si="7"/>
        <v>1910817.6795879384</v>
      </c>
      <c r="X162" s="4">
        <f t="shared" si="8"/>
        <v>1910817.6795879384</v>
      </c>
      <c r="Y162" s="5">
        <f t="shared" si="9"/>
        <v>0.58149999999999991</v>
      </c>
    </row>
    <row r="163" spans="1:25" x14ac:dyDescent="0.25">
      <c r="A163" s="1" t="s">
        <v>78</v>
      </c>
      <c r="B163" s="1" t="s">
        <v>74</v>
      </c>
      <c r="C163" s="1" t="s">
        <v>75</v>
      </c>
      <c r="D163" s="1">
        <v>7578400.1857873648</v>
      </c>
      <c r="E163" s="1">
        <v>500174.41226196609</v>
      </c>
      <c r="F163" s="1">
        <v>500174.41226196609</v>
      </c>
      <c r="G163" s="1">
        <v>625218.01532745757</v>
      </c>
      <c r="H163" s="1">
        <v>625218.01532745757</v>
      </c>
      <c r="I163" s="1">
        <v>625218.01532745757</v>
      </c>
      <c r="J163" s="1">
        <v>625218.01532745757</v>
      </c>
      <c r="K163" s="1">
        <v>625218.01532745757</v>
      </c>
      <c r="L163" s="1">
        <v>625218.01532745757</v>
      </c>
      <c r="M163" s="1">
        <v>380814.60933581507</v>
      </c>
      <c r="N163" s="1">
        <v>380814.60933581507</v>
      </c>
      <c r="O163" s="1">
        <v>317345.50777984591</v>
      </c>
      <c r="P163" s="1">
        <v>317345.50777984591</v>
      </c>
      <c r="Q163" s="1">
        <v>444283.71089178423</v>
      </c>
      <c r="R163" s="1">
        <v>444283.71089178423</v>
      </c>
      <c r="S163" s="1">
        <v>444283.71089178423</v>
      </c>
      <c r="T163" s="1">
        <v>444283.71089178423</v>
      </c>
      <c r="U163" s="1">
        <v>444283.71089178423</v>
      </c>
      <c r="V163" s="1">
        <v>444283.71089178423</v>
      </c>
      <c r="W163" s="4">
        <f t="shared" si="7"/>
        <v>4406839.7080353517</v>
      </c>
      <c r="X163" s="4">
        <f t="shared" si="8"/>
        <v>4406839.7080353517</v>
      </c>
      <c r="Y163" s="5">
        <f t="shared" si="9"/>
        <v>0.58149999999999991</v>
      </c>
    </row>
    <row r="164" spans="1:25" x14ac:dyDescent="0.25">
      <c r="A164" s="1" t="s">
        <v>78</v>
      </c>
      <c r="B164" s="1" t="s">
        <v>50</v>
      </c>
      <c r="C164" s="1" t="s">
        <v>25</v>
      </c>
      <c r="D164" s="1">
        <v>4373912.7445063479</v>
      </c>
      <c r="E164" s="1">
        <v>288678.24113741901</v>
      </c>
      <c r="F164" s="1">
        <v>288678.24113741901</v>
      </c>
      <c r="G164" s="1">
        <v>360847.80142177374</v>
      </c>
      <c r="H164" s="1">
        <v>360847.80142177374</v>
      </c>
      <c r="I164" s="1">
        <v>360847.80142177374</v>
      </c>
      <c r="J164" s="1">
        <v>360847.80142177374</v>
      </c>
      <c r="K164" s="1">
        <v>360847.80142177374</v>
      </c>
      <c r="L164" s="1">
        <v>360847.80142177374</v>
      </c>
      <c r="M164" s="1">
        <v>219789.11541144396</v>
      </c>
      <c r="N164" s="1">
        <v>219789.11541144396</v>
      </c>
      <c r="O164" s="1">
        <v>183157.59617620331</v>
      </c>
      <c r="P164" s="1">
        <v>183157.59617620331</v>
      </c>
      <c r="Q164" s="1">
        <v>256420.63464668463</v>
      </c>
      <c r="R164" s="1">
        <v>256420.63464668463</v>
      </c>
      <c r="S164" s="1">
        <v>256420.63464668463</v>
      </c>
      <c r="T164" s="1">
        <v>256420.63464668463</v>
      </c>
      <c r="U164" s="1">
        <v>256420.63464668463</v>
      </c>
      <c r="V164" s="1">
        <v>256420.63464668463</v>
      </c>
      <c r="W164" s="4">
        <f t="shared" si="7"/>
        <v>2543430.2609304409</v>
      </c>
      <c r="X164" s="4">
        <f t="shared" si="8"/>
        <v>2543430.2609304409</v>
      </c>
      <c r="Y164" s="5">
        <f t="shared" si="9"/>
        <v>0.58149999999999991</v>
      </c>
    </row>
    <row r="165" spans="1:25" x14ac:dyDescent="0.25">
      <c r="A165" s="1" t="s">
        <v>79</v>
      </c>
      <c r="B165" s="1" t="s">
        <v>59</v>
      </c>
      <c r="C165" s="1" t="s">
        <v>26</v>
      </c>
      <c r="D165" s="1">
        <v>37402692</v>
      </c>
      <c r="E165" s="1">
        <v>3402229.2049383568</v>
      </c>
      <c r="F165" s="1">
        <v>3402229.2049383568</v>
      </c>
      <c r="G165" s="1">
        <v>4252786.5061729457</v>
      </c>
      <c r="H165" s="1">
        <v>4252786.5061729457</v>
      </c>
      <c r="I165" s="1">
        <v>4252786.5061729457</v>
      </c>
      <c r="J165" s="1">
        <v>4252786.5061729457</v>
      </c>
      <c r="K165" s="1">
        <v>4252786.5061729457</v>
      </c>
      <c r="L165" s="1">
        <v>4252786.5061729457</v>
      </c>
      <c r="M165" s="1">
        <v>2548943.2469135262</v>
      </c>
      <c r="N165" s="1">
        <v>2548943.2469135262</v>
      </c>
      <c r="O165" s="1">
        <v>2548943.2469135262</v>
      </c>
      <c r="P165" s="1">
        <v>2548943.2469135262</v>
      </c>
      <c r="Q165" s="1">
        <v>2548943.2469135262</v>
      </c>
      <c r="R165" s="1">
        <v>2548943.2469135262</v>
      </c>
      <c r="S165" s="1">
        <v>2548943.2469135262</v>
      </c>
      <c r="T165" s="1">
        <v>2548943.2469135262</v>
      </c>
      <c r="U165" s="1">
        <v>2548943.2469135262</v>
      </c>
      <c r="V165" s="1">
        <v>2548943.2469135262</v>
      </c>
      <c r="W165" s="4">
        <f t="shared" si="7"/>
        <v>28905304.958024826</v>
      </c>
      <c r="X165" s="4">
        <f t="shared" si="8"/>
        <v>28905304.958024826</v>
      </c>
      <c r="Y165" s="5">
        <f t="shared" si="9"/>
        <v>0.77281349048418291</v>
      </c>
    </row>
    <row r="166" spans="1:25" x14ac:dyDescent="0.25">
      <c r="A166" s="1" t="s">
        <v>79</v>
      </c>
      <c r="B166" s="1" t="s">
        <v>60</v>
      </c>
      <c r="C166" s="1" t="s">
        <v>26</v>
      </c>
      <c r="D166" s="1">
        <v>14146235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7073117.5</v>
      </c>
      <c r="N166" s="1">
        <v>7073117.5</v>
      </c>
      <c r="O166" s="1">
        <v>7073117.5</v>
      </c>
      <c r="P166" s="1">
        <v>7073117.5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4">
        <f t="shared" si="7"/>
        <v>14146235</v>
      </c>
      <c r="X166" s="4">
        <f t="shared" si="8"/>
        <v>14146235</v>
      </c>
      <c r="Y166" s="5">
        <f t="shared" si="9"/>
        <v>1</v>
      </c>
    </row>
    <row r="167" spans="1:25" x14ac:dyDescent="0.25">
      <c r="A167" s="1" t="s">
        <v>79</v>
      </c>
      <c r="B167" s="1" t="s">
        <v>33</v>
      </c>
      <c r="C167" s="1" t="s">
        <v>34</v>
      </c>
      <c r="D167" s="1">
        <v>60000000</v>
      </c>
      <c r="E167" s="1">
        <v>0</v>
      </c>
      <c r="F167" s="1">
        <v>0</v>
      </c>
      <c r="G167" s="1">
        <v>12000000</v>
      </c>
      <c r="H167" s="1">
        <v>12000000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18000000</v>
      </c>
      <c r="P167" s="1">
        <v>18000000</v>
      </c>
      <c r="Q167" s="1">
        <v>0</v>
      </c>
      <c r="R167" s="1">
        <v>0</v>
      </c>
      <c r="S167" s="1">
        <v>18000000</v>
      </c>
      <c r="T167" s="1">
        <v>18000000</v>
      </c>
      <c r="U167" s="1">
        <v>12000000</v>
      </c>
      <c r="V167" s="1">
        <v>12000000</v>
      </c>
      <c r="W167" s="4">
        <f t="shared" si="7"/>
        <v>60000000</v>
      </c>
      <c r="X167" s="4">
        <f t="shared" si="8"/>
        <v>60000000</v>
      </c>
      <c r="Y167" s="5">
        <f t="shared" si="9"/>
        <v>1</v>
      </c>
    </row>
    <row r="168" spans="1:25" x14ac:dyDescent="0.25">
      <c r="A168" s="1" t="s">
        <v>79</v>
      </c>
      <c r="B168" s="1" t="s">
        <v>35</v>
      </c>
      <c r="C168" s="1" t="s">
        <v>34</v>
      </c>
      <c r="D168" s="1">
        <v>150000000</v>
      </c>
      <c r="E168" s="1">
        <v>0</v>
      </c>
      <c r="F168" s="1">
        <v>0</v>
      </c>
      <c r="G168" s="1">
        <v>41250000</v>
      </c>
      <c r="H168" s="1">
        <v>41250000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36250000</v>
      </c>
      <c r="P168" s="1">
        <v>36250000</v>
      </c>
      <c r="Q168" s="1">
        <v>0</v>
      </c>
      <c r="R168" s="1">
        <v>0</v>
      </c>
      <c r="S168" s="1">
        <v>36250000</v>
      </c>
      <c r="T168" s="1">
        <v>36250000</v>
      </c>
      <c r="U168" s="1">
        <v>36250000</v>
      </c>
      <c r="V168" s="1">
        <v>36250000</v>
      </c>
      <c r="W168" s="4">
        <f t="shared" si="7"/>
        <v>150000000</v>
      </c>
      <c r="X168" s="4">
        <f t="shared" si="8"/>
        <v>150000000</v>
      </c>
      <c r="Y168" s="5">
        <f t="shared" si="9"/>
        <v>1</v>
      </c>
    </row>
    <row r="169" spans="1:25" x14ac:dyDescent="0.25">
      <c r="A169" s="1" t="s">
        <v>79</v>
      </c>
      <c r="B169" s="1" t="s">
        <v>38</v>
      </c>
      <c r="C169" s="1" t="s">
        <v>39</v>
      </c>
      <c r="D169" s="1">
        <v>6108825.1405430408</v>
      </c>
      <c r="E169" s="1">
        <v>403182.45927584078</v>
      </c>
      <c r="F169" s="1">
        <v>403182.45927584078</v>
      </c>
      <c r="G169" s="1">
        <v>503978.07409480092</v>
      </c>
      <c r="H169" s="1">
        <v>503978.07409480092</v>
      </c>
      <c r="I169" s="1">
        <v>503978.07409480092</v>
      </c>
      <c r="J169" s="1">
        <v>503978.07409480092</v>
      </c>
      <c r="K169" s="1">
        <v>503978.07409480092</v>
      </c>
      <c r="L169" s="1">
        <v>503978.07409480092</v>
      </c>
      <c r="M169" s="1">
        <v>306968.4633122877</v>
      </c>
      <c r="N169" s="1">
        <v>306968.4633122877</v>
      </c>
      <c r="O169" s="1">
        <v>255807.05276023978</v>
      </c>
      <c r="P169" s="1">
        <v>255807.05276023978</v>
      </c>
      <c r="Q169" s="1">
        <v>358129.87386433565</v>
      </c>
      <c r="R169" s="1">
        <v>358129.87386433565</v>
      </c>
      <c r="S169" s="1">
        <v>358129.87386433565</v>
      </c>
      <c r="T169" s="1">
        <v>358129.87386433565</v>
      </c>
      <c r="U169" s="1">
        <v>358129.87386433565</v>
      </c>
      <c r="V169" s="1">
        <v>358129.87386433565</v>
      </c>
      <c r="W169" s="4">
        <f t="shared" si="7"/>
        <v>3552281.8192257774</v>
      </c>
      <c r="X169" s="4">
        <f t="shared" si="8"/>
        <v>3552281.8192257774</v>
      </c>
      <c r="Y169" s="5">
        <f t="shared" si="9"/>
        <v>0.58149999999999991</v>
      </c>
    </row>
    <row r="170" spans="1:25" x14ac:dyDescent="0.25">
      <c r="A170" s="1" t="s">
        <v>79</v>
      </c>
      <c r="B170" s="1" t="s">
        <v>61</v>
      </c>
      <c r="C170" s="1" t="s">
        <v>34</v>
      </c>
      <c r="D170" s="1">
        <v>85357467</v>
      </c>
      <c r="E170" s="1">
        <v>0</v>
      </c>
      <c r="F170" s="1">
        <v>0</v>
      </c>
      <c r="G170" s="1">
        <v>6828597.3592222091</v>
      </c>
      <c r="H170" s="1">
        <v>6828597.3592222091</v>
      </c>
      <c r="I170" s="1">
        <v>0</v>
      </c>
      <c r="J170" s="1">
        <v>0</v>
      </c>
      <c r="K170" s="1">
        <v>0</v>
      </c>
      <c r="L170" s="1">
        <v>0</v>
      </c>
      <c r="M170" s="1">
        <v>19632217.410194449</v>
      </c>
      <c r="N170" s="1">
        <v>19632217.410194449</v>
      </c>
      <c r="O170" s="1">
        <v>0</v>
      </c>
      <c r="P170" s="1">
        <v>0</v>
      </c>
      <c r="Q170" s="1">
        <v>0</v>
      </c>
      <c r="R170" s="1">
        <v>0</v>
      </c>
      <c r="S170" s="1">
        <v>29448326.115291674</v>
      </c>
      <c r="T170" s="1">
        <v>29448326.115291674</v>
      </c>
      <c r="U170" s="1">
        <v>0</v>
      </c>
      <c r="V170" s="1">
        <v>0</v>
      </c>
      <c r="W170" s="4">
        <f t="shared" si="7"/>
        <v>55909140.884708337</v>
      </c>
      <c r="X170" s="4">
        <f t="shared" si="8"/>
        <v>55909140.884708337</v>
      </c>
      <c r="Y170" s="5">
        <f t="shared" si="9"/>
        <v>0.65499999999658309</v>
      </c>
    </row>
    <row r="171" spans="1:25" x14ac:dyDescent="0.25">
      <c r="A171" s="1" t="s">
        <v>79</v>
      </c>
      <c r="B171" s="1" t="s">
        <v>62</v>
      </c>
      <c r="C171" s="1" t="s">
        <v>63</v>
      </c>
      <c r="D171" s="1">
        <v>23642857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1773214.2857142857</v>
      </c>
      <c r="N171" s="1">
        <v>1773214.2857142857</v>
      </c>
      <c r="O171" s="1">
        <v>1477678.5714285714</v>
      </c>
      <c r="P171" s="1">
        <v>1477678.5714285714</v>
      </c>
      <c r="Q171" s="1">
        <v>2068749.9999999998</v>
      </c>
      <c r="R171" s="1">
        <v>2068749.9999999998</v>
      </c>
      <c r="S171" s="1">
        <v>2068749.9999999998</v>
      </c>
      <c r="T171" s="1">
        <v>2068749.9999999998</v>
      </c>
      <c r="U171" s="1">
        <v>2068749.9999999998</v>
      </c>
      <c r="V171" s="1">
        <v>2068749.9999999998</v>
      </c>
      <c r="W171" s="4">
        <f t="shared" si="7"/>
        <v>9457142.8571428563</v>
      </c>
      <c r="X171" s="4">
        <f t="shared" si="8"/>
        <v>9457142.8571428563</v>
      </c>
      <c r="Y171" s="5">
        <f t="shared" si="9"/>
        <v>0.40000000241691841</v>
      </c>
    </row>
    <row r="172" spans="1:25" x14ac:dyDescent="0.25">
      <c r="A172" s="1" t="s">
        <v>79</v>
      </c>
      <c r="B172" s="1" t="s">
        <v>40</v>
      </c>
      <c r="C172" s="1" t="s">
        <v>27</v>
      </c>
      <c r="D172" s="1">
        <v>70185360</v>
      </c>
      <c r="E172" s="1">
        <v>6141160</v>
      </c>
      <c r="F172" s="1">
        <v>6141160</v>
      </c>
      <c r="G172" s="1">
        <v>8248259</v>
      </c>
      <c r="H172" s="1">
        <v>8248259</v>
      </c>
      <c r="I172" s="1">
        <v>12151848</v>
      </c>
      <c r="J172" s="1">
        <v>12151848</v>
      </c>
      <c r="K172" s="1">
        <v>3511296</v>
      </c>
      <c r="L172" s="1">
        <v>3511296</v>
      </c>
      <c r="M172" s="1">
        <v>0</v>
      </c>
      <c r="N172" s="1">
        <v>0</v>
      </c>
      <c r="O172" s="1">
        <v>14457213</v>
      </c>
      <c r="P172" s="1">
        <v>14457213</v>
      </c>
      <c r="Q172" s="1">
        <v>6580998</v>
      </c>
      <c r="R172" s="1">
        <v>6580998</v>
      </c>
      <c r="S172" s="1">
        <v>4823559</v>
      </c>
      <c r="T172" s="1">
        <v>4823559</v>
      </c>
      <c r="U172" s="1">
        <v>2430650</v>
      </c>
      <c r="V172" s="1">
        <v>2430650</v>
      </c>
      <c r="W172" s="4">
        <f t="shared" si="7"/>
        <v>58344983</v>
      </c>
      <c r="X172" s="4">
        <f t="shared" si="8"/>
        <v>58344983</v>
      </c>
      <c r="Y172" s="5">
        <f t="shared" si="9"/>
        <v>0.83129847877107133</v>
      </c>
    </row>
    <row r="173" spans="1:25" x14ac:dyDescent="0.25">
      <c r="A173" s="1" t="s">
        <v>79</v>
      </c>
      <c r="B173" s="1" t="s">
        <v>41</v>
      </c>
      <c r="C173" s="1" t="s">
        <v>27</v>
      </c>
      <c r="D173" s="1">
        <v>159086491</v>
      </c>
      <c r="E173" s="1">
        <v>0</v>
      </c>
      <c r="F173" s="1">
        <v>0</v>
      </c>
      <c r="G173" s="1">
        <v>30209716.009841815</v>
      </c>
      <c r="H173" s="1">
        <v>30209716.009841815</v>
      </c>
      <c r="I173" s="1">
        <v>0</v>
      </c>
      <c r="J173" s="1">
        <v>0</v>
      </c>
      <c r="K173" s="1">
        <v>0</v>
      </c>
      <c r="L173" s="1">
        <v>0</v>
      </c>
      <c r="M173" s="1">
        <v>84971081.242618635</v>
      </c>
      <c r="N173" s="1">
        <v>84971081.242618635</v>
      </c>
      <c r="O173" s="1">
        <v>43905693.74753955</v>
      </c>
      <c r="P173" s="1">
        <v>43905693.74753955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4">
        <f t="shared" si="7"/>
        <v>159086491</v>
      </c>
      <c r="X173" s="4">
        <f t="shared" si="8"/>
        <v>159086491</v>
      </c>
      <c r="Y173" s="5">
        <f t="shared" si="9"/>
        <v>1</v>
      </c>
    </row>
    <row r="174" spans="1:25" x14ac:dyDescent="0.25">
      <c r="A174" s="1" t="s">
        <v>79</v>
      </c>
      <c r="B174" s="1" t="s">
        <v>42</v>
      </c>
      <c r="C174" s="1" t="s">
        <v>27</v>
      </c>
      <c r="D174" s="1">
        <v>22981242</v>
      </c>
      <c r="E174" s="1">
        <v>0</v>
      </c>
      <c r="F174" s="1">
        <v>0</v>
      </c>
      <c r="G174" s="1">
        <v>0</v>
      </c>
      <c r="H174" s="1">
        <v>0</v>
      </c>
      <c r="I174" s="1">
        <v>22981242</v>
      </c>
      <c r="J174" s="1">
        <v>22981242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4">
        <f t="shared" si="7"/>
        <v>22981242</v>
      </c>
      <c r="X174" s="4">
        <f t="shared" si="8"/>
        <v>22981242</v>
      </c>
      <c r="Y174" s="5">
        <f t="shared" si="9"/>
        <v>1</v>
      </c>
    </row>
    <row r="175" spans="1:25" x14ac:dyDescent="0.25">
      <c r="A175" s="1" t="s">
        <v>79</v>
      </c>
      <c r="B175" s="1" t="s">
        <v>43</v>
      </c>
      <c r="C175" s="1" t="s">
        <v>31</v>
      </c>
      <c r="D175" s="1">
        <v>7859473</v>
      </c>
      <c r="E175" s="1">
        <v>456544.21166676865</v>
      </c>
      <c r="F175" s="1">
        <v>456544.21166676865</v>
      </c>
      <c r="G175" s="1">
        <v>570680.26458346075</v>
      </c>
      <c r="H175" s="1">
        <v>570680.26458346075</v>
      </c>
      <c r="I175" s="1">
        <v>570680.26458346075</v>
      </c>
      <c r="J175" s="1">
        <v>570680.26458346075</v>
      </c>
      <c r="K175" s="1">
        <v>570680.26458346075</v>
      </c>
      <c r="L175" s="1">
        <v>570680.26458346075</v>
      </c>
      <c r="M175" s="1">
        <v>424343.33471062168</v>
      </c>
      <c r="N175" s="1">
        <v>424343.33471062168</v>
      </c>
      <c r="O175" s="1">
        <v>353619.44559218473</v>
      </c>
      <c r="P175" s="1">
        <v>353619.44559218473</v>
      </c>
      <c r="Q175" s="1">
        <v>438255.79236289888</v>
      </c>
      <c r="R175" s="1">
        <v>438255.79236289888</v>
      </c>
      <c r="S175" s="1">
        <v>495067.22382905858</v>
      </c>
      <c r="T175" s="1">
        <v>495067.22382905858</v>
      </c>
      <c r="U175" s="1">
        <v>495067.22382905858</v>
      </c>
      <c r="V175" s="1">
        <v>495067.22382905858</v>
      </c>
      <c r="W175" s="4">
        <f t="shared" si="7"/>
        <v>4374938.0257409737</v>
      </c>
      <c r="X175" s="4">
        <f t="shared" si="8"/>
        <v>4374938.0257409737</v>
      </c>
      <c r="Y175" s="5">
        <f t="shared" si="9"/>
        <v>0.55664521345654772</v>
      </c>
    </row>
    <row r="176" spans="1:25" x14ac:dyDescent="0.25">
      <c r="A176" s="1" t="s">
        <v>79</v>
      </c>
      <c r="B176" s="1" t="s">
        <v>64</v>
      </c>
      <c r="C176" s="1" t="s">
        <v>23</v>
      </c>
      <c r="D176" s="1">
        <v>4726877.4383487087</v>
      </c>
      <c r="E176" s="1">
        <v>311973.91093101481</v>
      </c>
      <c r="F176" s="1">
        <v>311973.91093101481</v>
      </c>
      <c r="G176" s="1">
        <v>389967.38866376848</v>
      </c>
      <c r="H176" s="1">
        <v>389967.38866376848</v>
      </c>
      <c r="I176" s="1">
        <v>389967.38866376848</v>
      </c>
      <c r="J176" s="1">
        <v>389967.38866376848</v>
      </c>
      <c r="K176" s="1">
        <v>389967.38866376848</v>
      </c>
      <c r="L176" s="1">
        <v>389967.38866376848</v>
      </c>
      <c r="M176" s="1">
        <v>237525.59127702258</v>
      </c>
      <c r="N176" s="1">
        <v>237525.59127702258</v>
      </c>
      <c r="O176" s="1">
        <v>197937.99273085216</v>
      </c>
      <c r="P176" s="1">
        <v>197937.99273085216</v>
      </c>
      <c r="Q176" s="1">
        <v>277113.18982319301</v>
      </c>
      <c r="R176" s="1">
        <v>277113.18982319301</v>
      </c>
      <c r="S176" s="1">
        <v>277113.18982319301</v>
      </c>
      <c r="T176" s="1">
        <v>277113.18982319301</v>
      </c>
      <c r="U176" s="1">
        <v>277113.18982319301</v>
      </c>
      <c r="V176" s="1">
        <v>277113.18982319301</v>
      </c>
      <c r="W176" s="4">
        <f t="shared" si="7"/>
        <v>2748679.2303997744</v>
      </c>
      <c r="X176" s="4">
        <f t="shared" si="8"/>
        <v>2748679.2303997744</v>
      </c>
      <c r="Y176" s="5">
        <f t="shared" si="9"/>
        <v>0.58150000000000002</v>
      </c>
    </row>
    <row r="177" spans="1:25" x14ac:dyDescent="0.25">
      <c r="A177" s="1" t="s">
        <v>79</v>
      </c>
      <c r="B177" s="1" t="s">
        <v>65</v>
      </c>
      <c r="C177" s="1" t="s">
        <v>31</v>
      </c>
      <c r="D177" s="1">
        <v>7962788.4942269195</v>
      </c>
      <c r="E177" s="1">
        <v>525544.04061897669</v>
      </c>
      <c r="F177" s="1">
        <v>525544.04061897669</v>
      </c>
      <c r="G177" s="1">
        <v>656930.05077372084</v>
      </c>
      <c r="H177" s="1">
        <v>656930.05077372084</v>
      </c>
      <c r="I177" s="1">
        <v>656930.05077372084</v>
      </c>
      <c r="J177" s="1">
        <v>656930.05077372084</v>
      </c>
      <c r="K177" s="1">
        <v>656930.05077372084</v>
      </c>
      <c r="L177" s="1">
        <v>656930.05077372084</v>
      </c>
      <c r="M177" s="1">
        <v>400130.12183490273</v>
      </c>
      <c r="N177" s="1">
        <v>400130.12183490273</v>
      </c>
      <c r="O177" s="1">
        <v>333441.76819575229</v>
      </c>
      <c r="P177" s="1">
        <v>333441.76819575229</v>
      </c>
      <c r="Q177" s="1">
        <v>466818.47547405318</v>
      </c>
      <c r="R177" s="1">
        <v>466818.47547405318</v>
      </c>
      <c r="S177" s="1">
        <v>466818.47547405318</v>
      </c>
      <c r="T177" s="1">
        <v>466818.47547405318</v>
      </c>
      <c r="U177" s="1">
        <v>466818.47547405318</v>
      </c>
      <c r="V177" s="1">
        <v>466818.47547405318</v>
      </c>
      <c r="W177" s="4">
        <f t="shared" si="7"/>
        <v>4630361.5093929535</v>
      </c>
      <c r="X177" s="4">
        <f t="shared" si="8"/>
        <v>4630361.5093929535</v>
      </c>
      <c r="Y177" s="5">
        <f t="shared" si="9"/>
        <v>0.58150000000000002</v>
      </c>
    </row>
    <row r="178" spans="1:25" x14ac:dyDescent="0.25">
      <c r="A178" s="1" t="s">
        <v>79</v>
      </c>
      <c r="B178" s="1" t="s">
        <v>44</v>
      </c>
      <c r="C178" s="1" t="s">
        <v>45</v>
      </c>
      <c r="D178" s="1">
        <v>6108825.1405430408</v>
      </c>
      <c r="E178" s="1">
        <v>403182.45927584078</v>
      </c>
      <c r="F178" s="1">
        <v>403182.45927584078</v>
      </c>
      <c r="G178" s="1">
        <v>503978.07409480092</v>
      </c>
      <c r="H178" s="1">
        <v>503978.07409480092</v>
      </c>
      <c r="I178" s="1">
        <v>503978.07409480092</v>
      </c>
      <c r="J178" s="1">
        <v>503978.07409480092</v>
      </c>
      <c r="K178" s="1">
        <v>503978.07409480092</v>
      </c>
      <c r="L178" s="1">
        <v>503978.07409480092</v>
      </c>
      <c r="M178" s="1">
        <v>306968.4633122877</v>
      </c>
      <c r="N178" s="1">
        <v>306968.4633122877</v>
      </c>
      <c r="O178" s="1">
        <v>255807.05276023978</v>
      </c>
      <c r="P178" s="1">
        <v>255807.05276023978</v>
      </c>
      <c r="Q178" s="1">
        <v>358129.87386433565</v>
      </c>
      <c r="R178" s="1">
        <v>358129.87386433565</v>
      </c>
      <c r="S178" s="1">
        <v>358129.87386433565</v>
      </c>
      <c r="T178" s="1">
        <v>358129.87386433565</v>
      </c>
      <c r="U178" s="1">
        <v>358129.87386433565</v>
      </c>
      <c r="V178" s="1">
        <v>358129.87386433565</v>
      </c>
      <c r="W178" s="4">
        <f t="shared" si="7"/>
        <v>3552281.8192257774</v>
      </c>
      <c r="X178" s="4">
        <f t="shared" si="8"/>
        <v>3552281.8192257774</v>
      </c>
      <c r="Y178" s="5">
        <f t="shared" si="9"/>
        <v>0.58149999999999991</v>
      </c>
    </row>
    <row r="179" spans="1:25" x14ac:dyDescent="0.25">
      <c r="A179" s="1" t="s">
        <v>79</v>
      </c>
      <c r="B179" s="1" t="s">
        <v>46</v>
      </c>
      <c r="C179" s="1" t="s">
        <v>22</v>
      </c>
      <c r="D179" s="1">
        <v>50164877.326156586</v>
      </c>
      <c r="E179" s="1">
        <v>3313983.2972743982</v>
      </c>
      <c r="F179" s="1">
        <v>3313983.2972743982</v>
      </c>
      <c r="G179" s="1">
        <v>4142479.1215929976</v>
      </c>
      <c r="H179" s="1">
        <v>4142479.1215929976</v>
      </c>
      <c r="I179" s="1">
        <v>4142479.1215929976</v>
      </c>
      <c r="J179" s="1">
        <v>4142479.1215929976</v>
      </c>
      <c r="K179" s="1">
        <v>4142479.1215929976</v>
      </c>
      <c r="L179" s="1">
        <v>4142479.1215929976</v>
      </c>
      <c r="M179" s="1">
        <v>2599269.45049936</v>
      </c>
      <c r="N179" s="1">
        <v>2599269.45049936</v>
      </c>
      <c r="O179" s="1">
        <v>2113698.6111918036</v>
      </c>
      <c r="P179" s="1">
        <v>2113698.6111918036</v>
      </c>
      <c r="Q179" s="1">
        <v>2893390.940555125</v>
      </c>
      <c r="R179" s="1">
        <v>2893390.940555125</v>
      </c>
      <c r="S179" s="1">
        <v>2926284.513208596</v>
      </c>
      <c r="T179" s="1">
        <v>2926284.513208596</v>
      </c>
      <c r="U179" s="1">
        <v>2926284.513208596</v>
      </c>
      <c r="V179" s="1">
        <v>2926284.513208596</v>
      </c>
      <c r="W179" s="4">
        <f t="shared" si="7"/>
        <v>29200348.690716874</v>
      </c>
      <c r="X179" s="4">
        <f t="shared" si="8"/>
        <v>29200348.690716874</v>
      </c>
      <c r="Y179" s="5">
        <f t="shared" si="9"/>
        <v>0.58208751315916107</v>
      </c>
    </row>
    <row r="180" spans="1:25" x14ac:dyDescent="0.25">
      <c r="A180" s="1" t="s">
        <v>79</v>
      </c>
      <c r="B180" s="1" t="s">
        <v>66</v>
      </c>
      <c r="C180" s="1" t="s">
        <v>24</v>
      </c>
      <c r="D180" s="1">
        <v>195577939.716732</v>
      </c>
      <c r="E180" s="1">
        <v>16135180.02663039</v>
      </c>
      <c r="F180" s="1">
        <v>16135180.02663039</v>
      </c>
      <c r="G180" s="1">
        <v>16135180.02663039</v>
      </c>
      <c r="H180" s="1">
        <v>16135180.02663039</v>
      </c>
      <c r="I180" s="1">
        <v>16135180.02663039</v>
      </c>
      <c r="J180" s="1">
        <v>16135180.02663039</v>
      </c>
      <c r="K180" s="1">
        <v>16135180.02663039</v>
      </c>
      <c r="L180" s="1">
        <v>16135180.02663039</v>
      </c>
      <c r="M180" s="1">
        <v>16957208.953478429</v>
      </c>
      <c r="N180" s="1">
        <v>16957208.953478429</v>
      </c>
      <c r="O180" s="1">
        <v>14143242.92</v>
      </c>
      <c r="P180" s="1">
        <v>14143242.92</v>
      </c>
      <c r="Q180" s="1">
        <v>17290864.77</v>
      </c>
      <c r="R180" s="1">
        <v>17290864.77</v>
      </c>
      <c r="S180" s="1">
        <v>15498235.92</v>
      </c>
      <c r="T180" s="1">
        <v>15498235.92</v>
      </c>
      <c r="U180" s="1">
        <v>21632530.79000001</v>
      </c>
      <c r="V180" s="1">
        <v>21632530.79000001</v>
      </c>
      <c r="W180" s="4">
        <f t="shared" si="7"/>
        <v>150062803.45999998</v>
      </c>
      <c r="X180" s="4">
        <f t="shared" si="8"/>
        <v>150062803.45999998</v>
      </c>
      <c r="Y180" s="5">
        <f t="shared" si="9"/>
        <v>0.76727878245033931</v>
      </c>
    </row>
    <row r="181" spans="1:25" x14ac:dyDescent="0.25">
      <c r="A181" s="1" t="s">
        <v>79</v>
      </c>
      <c r="B181" s="1" t="s">
        <v>67</v>
      </c>
      <c r="C181" s="1" t="s">
        <v>68</v>
      </c>
      <c r="D181" s="1">
        <v>5916750.6585043678</v>
      </c>
      <c r="E181" s="1">
        <v>390505.54346128833</v>
      </c>
      <c r="F181" s="1">
        <v>390505.54346128833</v>
      </c>
      <c r="G181" s="1">
        <v>488131.92932661035</v>
      </c>
      <c r="H181" s="1">
        <v>488131.92932661035</v>
      </c>
      <c r="I181" s="1">
        <v>488131.92932661035</v>
      </c>
      <c r="J181" s="1">
        <v>488131.92932661035</v>
      </c>
      <c r="K181" s="1">
        <v>488131.92932661035</v>
      </c>
      <c r="L181" s="1">
        <v>488131.92932661035</v>
      </c>
      <c r="M181" s="1">
        <v>307671.03424222715</v>
      </c>
      <c r="N181" s="1">
        <v>307671.03424222715</v>
      </c>
      <c r="O181" s="1">
        <v>246531.277437682</v>
      </c>
      <c r="P181" s="1">
        <v>246531.277437682</v>
      </c>
      <c r="Q181" s="1">
        <v>345143.78841275477</v>
      </c>
      <c r="R181" s="1">
        <v>345143.78841275477</v>
      </c>
      <c r="S181" s="1">
        <v>345143.78841275477</v>
      </c>
      <c r="T181" s="1">
        <v>345143.78841275477</v>
      </c>
      <c r="U181" s="1">
        <v>345143.78841275477</v>
      </c>
      <c r="V181" s="1">
        <v>345143.78841275477</v>
      </c>
      <c r="W181" s="4">
        <f t="shared" si="7"/>
        <v>3444535.0083592925</v>
      </c>
      <c r="X181" s="4">
        <f t="shared" si="8"/>
        <v>3444535.0083592925</v>
      </c>
      <c r="Y181" s="5">
        <f t="shared" si="9"/>
        <v>0.58216666666666661</v>
      </c>
    </row>
    <row r="182" spans="1:25" x14ac:dyDescent="0.25">
      <c r="A182" s="1" t="s">
        <v>79</v>
      </c>
      <c r="B182" s="1" t="s">
        <v>69</v>
      </c>
      <c r="C182" s="1" t="s">
        <v>28</v>
      </c>
      <c r="D182" s="1">
        <v>7176495.5038690381</v>
      </c>
      <c r="E182" s="1">
        <v>473648.70325535658</v>
      </c>
      <c r="F182" s="1">
        <v>473648.70325535658</v>
      </c>
      <c r="G182" s="1">
        <v>592060.87906919571</v>
      </c>
      <c r="H182" s="1">
        <v>592060.87906919571</v>
      </c>
      <c r="I182" s="1">
        <v>592060.87906919571</v>
      </c>
      <c r="J182" s="1">
        <v>592060.87906919571</v>
      </c>
      <c r="K182" s="1">
        <v>592060.87906919571</v>
      </c>
      <c r="L182" s="1">
        <v>592060.87906919571</v>
      </c>
      <c r="M182" s="1">
        <v>360618.89906941919</v>
      </c>
      <c r="N182" s="1">
        <v>360618.89906941919</v>
      </c>
      <c r="O182" s="1">
        <v>300515.74922451598</v>
      </c>
      <c r="P182" s="1">
        <v>300515.74922451598</v>
      </c>
      <c r="Q182" s="1">
        <v>420722.04891432234</v>
      </c>
      <c r="R182" s="1">
        <v>420722.04891432234</v>
      </c>
      <c r="S182" s="1">
        <v>420722.04891432234</v>
      </c>
      <c r="T182" s="1">
        <v>420722.04891432234</v>
      </c>
      <c r="U182" s="1">
        <v>420722.04891432234</v>
      </c>
      <c r="V182" s="1">
        <v>420722.04891432234</v>
      </c>
      <c r="W182" s="4">
        <f t="shared" si="7"/>
        <v>4173132.1354998457</v>
      </c>
      <c r="X182" s="4">
        <f t="shared" si="8"/>
        <v>4173132.1354998457</v>
      </c>
      <c r="Y182" s="5">
        <f t="shared" si="9"/>
        <v>0.58150000000000002</v>
      </c>
    </row>
    <row r="183" spans="1:25" x14ac:dyDescent="0.25">
      <c r="A183" s="1" t="s">
        <v>79</v>
      </c>
      <c r="B183" s="1" t="s">
        <v>70</v>
      </c>
      <c r="C183" s="1" t="s">
        <v>23</v>
      </c>
      <c r="D183" s="1">
        <v>8268750.0182812503</v>
      </c>
      <c r="E183" s="1">
        <v>545737.50120656262</v>
      </c>
      <c r="F183" s="1">
        <v>545737.50120656262</v>
      </c>
      <c r="G183" s="1">
        <v>682171.87650820322</v>
      </c>
      <c r="H183" s="1">
        <v>682171.87650820322</v>
      </c>
      <c r="I183" s="1">
        <v>682171.87650820322</v>
      </c>
      <c r="J183" s="1">
        <v>682171.87650820322</v>
      </c>
      <c r="K183" s="1">
        <v>682171.87650820322</v>
      </c>
      <c r="L183" s="1">
        <v>682171.87650820322</v>
      </c>
      <c r="M183" s="1">
        <v>415504.68841863284</v>
      </c>
      <c r="N183" s="1">
        <v>415504.68841863284</v>
      </c>
      <c r="O183" s="1">
        <v>346253.90701552737</v>
      </c>
      <c r="P183" s="1">
        <v>346253.90701552737</v>
      </c>
      <c r="Q183" s="1">
        <v>484755.46982173825</v>
      </c>
      <c r="R183" s="1">
        <v>484755.46982173825</v>
      </c>
      <c r="S183" s="1">
        <v>484755.46982173825</v>
      </c>
      <c r="T183" s="1">
        <v>484755.46982173825</v>
      </c>
      <c r="U183" s="1">
        <v>484755.46982173825</v>
      </c>
      <c r="V183" s="1">
        <v>484755.46982173825</v>
      </c>
      <c r="W183" s="4">
        <f t="shared" si="7"/>
        <v>4808278.135630548</v>
      </c>
      <c r="X183" s="4">
        <f t="shared" si="8"/>
        <v>4808278.135630548</v>
      </c>
      <c r="Y183" s="5">
        <f t="shared" si="9"/>
        <v>0.58150000000000013</v>
      </c>
    </row>
    <row r="184" spans="1:25" x14ac:dyDescent="0.25">
      <c r="A184" s="1" t="s">
        <v>79</v>
      </c>
      <c r="B184" s="1" t="s">
        <v>71</v>
      </c>
      <c r="C184" s="1" t="s">
        <v>29</v>
      </c>
      <c r="D184" s="1">
        <v>7174955.6711538434</v>
      </c>
      <c r="E184" s="1">
        <v>473547.07429615373</v>
      </c>
      <c r="F184" s="1">
        <v>473547.07429615373</v>
      </c>
      <c r="G184" s="1">
        <v>591933.84287019214</v>
      </c>
      <c r="H184" s="1">
        <v>591933.84287019214</v>
      </c>
      <c r="I184" s="1">
        <v>591933.84287019214</v>
      </c>
      <c r="J184" s="1">
        <v>591933.84287019214</v>
      </c>
      <c r="K184" s="1">
        <v>591933.84287019214</v>
      </c>
      <c r="L184" s="1">
        <v>591933.84287019214</v>
      </c>
      <c r="M184" s="1">
        <v>360541.52247548063</v>
      </c>
      <c r="N184" s="1">
        <v>360541.52247548063</v>
      </c>
      <c r="O184" s="1">
        <v>300451.26872956718</v>
      </c>
      <c r="P184" s="1">
        <v>300451.26872956718</v>
      </c>
      <c r="Q184" s="1">
        <v>420631.77622139402</v>
      </c>
      <c r="R184" s="1">
        <v>420631.77622139402</v>
      </c>
      <c r="S184" s="1">
        <v>420631.77622139402</v>
      </c>
      <c r="T184" s="1">
        <v>420631.77622139402</v>
      </c>
      <c r="U184" s="1">
        <v>420631.77622139402</v>
      </c>
      <c r="V184" s="1">
        <v>420631.77622139402</v>
      </c>
      <c r="W184" s="4">
        <f t="shared" si="7"/>
        <v>4172236.7227759599</v>
      </c>
      <c r="X184" s="4">
        <f t="shared" si="8"/>
        <v>4172236.7227759599</v>
      </c>
      <c r="Y184" s="5">
        <f t="shared" si="9"/>
        <v>0.58150000000000002</v>
      </c>
    </row>
    <row r="185" spans="1:25" x14ac:dyDescent="0.25">
      <c r="A185" s="1" t="s">
        <v>79</v>
      </c>
      <c r="B185" s="1" t="s">
        <v>72</v>
      </c>
      <c r="C185" s="1" t="s">
        <v>73</v>
      </c>
      <c r="D185" s="1">
        <v>4678689.2326134304</v>
      </c>
      <c r="E185" s="1">
        <v>308793.48935248645</v>
      </c>
      <c r="F185" s="1">
        <v>308793.48935248645</v>
      </c>
      <c r="G185" s="1">
        <v>385991.86169060803</v>
      </c>
      <c r="H185" s="1">
        <v>385991.86169060803</v>
      </c>
      <c r="I185" s="1">
        <v>385991.86169060803</v>
      </c>
      <c r="J185" s="1">
        <v>385991.86169060803</v>
      </c>
      <c r="K185" s="1">
        <v>385991.86169060803</v>
      </c>
      <c r="L185" s="1">
        <v>385991.86169060803</v>
      </c>
      <c r="M185" s="1">
        <v>235104.13393882485</v>
      </c>
      <c r="N185" s="1">
        <v>235104.13393882485</v>
      </c>
      <c r="O185" s="1">
        <v>195920.11161568738</v>
      </c>
      <c r="P185" s="1">
        <v>195920.11161568738</v>
      </c>
      <c r="Q185" s="1">
        <v>274288.15626196231</v>
      </c>
      <c r="R185" s="1">
        <v>274288.15626196231</v>
      </c>
      <c r="S185" s="1">
        <v>274288.15626196231</v>
      </c>
      <c r="T185" s="1">
        <v>274288.15626196231</v>
      </c>
      <c r="U185" s="1">
        <v>274288.15626196231</v>
      </c>
      <c r="V185" s="1">
        <v>274288.15626196231</v>
      </c>
      <c r="W185" s="4">
        <f t="shared" si="7"/>
        <v>2720657.7887647096</v>
      </c>
      <c r="X185" s="4">
        <f t="shared" si="8"/>
        <v>2720657.7887647096</v>
      </c>
      <c r="Y185" s="5">
        <f t="shared" si="9"/>
        <v>0.58150000000000002</v>
      </c>
    </row>
    <row r="186" spans="1:25" x14ac:dyDescent="0.25">
      <c r="A186" s="1" t="s">
        <v>79</v>
      </c>
      <c r="B186" s="1" t="s">
        <v>48</v>
      </c>
      <c r="C186" s="1" t="s">
        <v>49</v>
      </c>
      <c r="D186" s="1">
        <v>4231840.6519311583</v>
      </c>
      <c r="E186" s="1">
        <v>279301.4830274565</v>
      </c>
      <c r="F186" s="1">
        <v>279301.4830274565</v>
      </c>
      <c r="G186" s="1">
        <v>349126.85378432058</v>
      </c>
      <c r="H186" s="1">
        <v>349126.85378432058</v>
      </c>
      <c r="I186" s="1">
        <v>349126.85378432058</v>
      </c>
      <c r="J186" s="1">
        <v>349126.85378432058</v>
      </c>
      <c r="K186" s="1">
        <v>349126.85378432058</v>
      </c>
      <c r="L186" s="1">
        <v>349126.85378432058</v>
      </c>
      <c r="M186" s="1">
        <v>212649.99275954074</v>
      </c>
      <c r="N186" s="1">
        <v>212649.99275954074</v>
      </c>
      <c r="O186" s="1">
        <v>177208.32729961729</v>
      </c>
      <c r="P186" s="1">
        <v>177208.32729961729</v>
      </c>
      <c r="Q186" s="1">
        <v>248091.65821946418</v>
      </c>
      <c r="R186" s="1">
        <v>248091.65821946418</v>
      </c>
      <c r="S186" s="1">
        <v>248091.65821946418</v>
      </c>
      <c r="T186" s="1">
        <v>248091.65821946418</v>
      </c>
      <c r="U186" s="1">
        <v>248091.65821946418</v>
      </c>
      <c r="V186" s="1">
        <v>248091.65821946418</v>
      </c>
      <c r="W186" s="4">
        <f t="shared" si="7"/>
        <v>2460815.3390979688</v>
      </c>
      <c r="X186" s="4">
        <f t="shared" si="8"/>
        <v>2460815.3390979688</v>
      </c>
      <c r="Y186" s="5">
        <f t="shared" si="9"/>
        <v>0.58150000000000002</v>
      </c>
    </row>
    <row r="187" spans="1:25" x14ac:dyDescent="0.25">
      <c r="A187" s="1" t="s">
        <v>79</v>
      </c>
      <c r="B187" s="1" t="s">
        <v>53</v>
      </c>
      <c r="C187" s="1" t="s">
        <v>30</v>
      </c>
      <c r="D187" s="1">
        <v>3286014.9262045384</v>
      </c>
      <c r="E187" s="1">
        <v>216876.98512949955</v>
      </c>
      <c r="F187" s="1">
        <v>216876.98512949955</v>
      </c>
      <c r="G187" s="1">
        <v>271096.23141187441</v>
      </c>
      <c r="H187" s="1">
        <v>271096.23141187441</v>
      </c>
      <c r="I187" s="1">
        <v>271096.23141187441</v>
      </c>
      <c r="J187" s="1">
        <v>271096.23141187441</v>
      </c>
      <c r="K187" s="1">
        <v>271096.23141187441</v>
      </c>
      <c r="L187" s="1">
        <v>271096.23141187441</v>
      </c>
      <c r="M187" s="1">
        <v>165122.25004177805</v>
      </c>
      <c r="N187" s="1">
        <v>165122.25004177805</v>
      </c>
      <c r="O187" s="1">
        <v>137601.87503481505</v>
      </c>
      <c r="P187" s="1">
        <v>137601.87503481505</v>
      </c>
      <c r="Q187" s="1">
        <v>192642.62504874106</v>
      </c>
      <c r="R187" s="1">
        <v>192642.62504874106</v>
      </c>
      <c r="S187" s="1">
        <v>192642.62504874106</v>
      </c>
      <c r="T187" s="1">
        <v>192642.62504874106</v>
      </c>
      <c r="U187" s="1">
        <v>192642.62504874106</v>
      </c>
      <c r="V187" s="1">
        <v>192642.62504874106</v>
      </c>
      <c r="W187" s="4">
        <f t="shared" si="7"/>
        <v>1910817.6795879391</v>
      </c>
      <c r="X187" s="4">
        <f t="shared" si="8"/>
        <v>1910817.6795879391</v>
      </c>
      <c r="Y187" s="5">
        <f t="shared" si="9"/>
        <v>0.58150000000000002</v>
      </c>
    </row>
    <row r="188" spans="1:25" x14ac:dyDescent="0.25">
      <c r="A188" s="1" t="s">
        <v>79</v>
      </c>
      <c r="B188" s="1" t="s">
        <v>74</v>
      </c>
      <c r="C188" s="1" t="s">
        <v>75</v>
      </c>
      <c r="D188" s="1">
        <v>10364270.630765583</v>
      </c>
      <c r="E188" s="1">
        <v>684041.86163052858</v>
      </c>
      <c r="F188" s="1">
        <v>684041.86163052858</v>
      </c>
      <c r="G188" s="1">
        <v>855052.32703816064</v>
      </c>
      <c r="H188" s="1">
        <v>855052.32703816064</v>
      </c>
      <c r="I188" s="1">
        <v>855052.32703816064</v>
      </c>
      <c r="J188" s="1">
        <v>855052.32703816064</v>
      </c>
      <c r="K188" s="1">
        <v>855052.32703816064</v>
      </c>
      <c r="L188" s="1">
        <v>855052.32703816064</v>
      </c>
      <c r="M188" s="1">
        <v>520804.59919597057</v>
      </c>
      <c r="N188" s="1">
        <v>520804.59919597057</v>
      </c>
      <c r="O188" s="1">
        <v>434003.83266330883</v>
      </c>
      <c r="P188" s="1">
        <v>434003.83266330883</v>
      </c>
      <c r="Q188" s="1">
        <v>607605.36572863231</v>
      </c>
      <c r="R188" s="1">
        <v>607605.36572863231</v>
      </c>
      <c r="S188" s="1">
        <v>607605.36572863231</v>
      </c>
      <c r="T188" s="1">
        <v>607605.36572863231</v>
      </c>
      <c r="U188" s="1">
        <v>607605.36572863231</v>
      </c>
      <c r="V188" s="1">
        <v>607605.36572863231</v>
      </c>
      <c r="W188" s="4">
        <f t="shared" si="7"/>
        <v>6026823.3717901865</v>
      </c>
      <c r="X188" s="4">
        <f t="shared" si="8"/>
        <v>6026823.3717901865</v>
      </c>
      <c r="Y188" s="5">
        <f t="shared" si="9"/>
        <v>0.58150000000000002</v>
      </c>
    </row>
    <row r="189" spans="1:25" x14ac:dyDescent="0.25">
      <c r="A189" s="1" t="s">
        <v>79</v>
      </c>
      <c r="B189" s="1" t="s">
        <v>50</v>
      </c>
      <c r="C189" s="1" t="s">
        <v>25</v>
      </c>
      <c r="D189" s="1">
        <v>4443432.6845277157</v>
      </c>
      <c r="E189" s="1">
        <v>293266.55717882927</v>
      </c>
      <c r="F189" s="1">
        <v>293266.55717882927</v>
      </c>
      <c r="G189" s="1">
        <v>366583.19647353655</v>
      </c>
      <c r="H189" s="1">
        <v>366583.19647353655</v>
      </c>
      <c r="I189" s="1">
        <v>366583.19647353655</v>
      </c>
      <c r="J189" s="1">
        <v>366583.19647353655</v>
      </c>
      <c r="K189" s="1">
        <v>366583.19647353655</v>
      </c>
      <c r="L189" s="1">
        <v>366583.19647353655</v>
      </c>
      <c r="M189" s="1">
        <v>223282.49239751769</v>
      </c>
      <c r="N189" s="1">
        <v>223282.49239751769</v>
      </c>
      <c r="O189" s="1">
        <v>186068.74366459809</v>
      </c>
      <c r="P189" s="1">
        <v>186068.74366459809</v>
      </c>
      <c r="Q189" s="1">
        <v>260496.24113043732</v>
      </c>
      <c r="R189" s="1">
        <v>260496.24113043732</v>
      </c>
      <c r="S189" s="1">
        <v>260496.24113043732</v>
      </c>
      <c r="T189" s="1">
        <v>260496.24113043732</v>
      </c>
      <c r="U189" s="1">
        <v>260496.24113043732</v>
      </c>
      <c r="V189" s="1">
        <v>260496.24113043732</v>
      </c>
      <c r="W189" s="4">
        <f t="shared" si="7"/>
        <v>2583856.1060528667</v>
      </c>
      <c r="X189" s="4">
        <f t="shared" si="8"/>
        <v>2583856.1060528667</v>
      </c>
      <c r="Y189" s="5">
        <f t="shared" si="9"/>
        <v>0.58150000000000002</v>
      </c>
    </row>
    <row r="190" spans="1:25" x14ac:dyDescent="0.25">
      <c r="A190" s="1" t="s">
        <v>80</v>
      </c>
      <c r="B190" s="1" t="s">
        <v>59</v>
      </c>
      <c r="C190" s="1" t="s">
        <v>26</v>
      </c>
      <c r="D190" s="1">
        <v>59172228</v>
      </c>
      <c r="E190" s="1">
        <v>3905367.0206369702</v>
      </c>
      <c r="F190" s="1">
        <v>3905367.0206369702</v>
      </c>
      <c r="G190" s="1">
        <v>4881708.7757962123</v>
      </c>
      <c r="H190" s="1">
        <v>4881708.7757962123</v>
      </c>
      <c r="I190" s="1">
        <v>4881708.7757962123</v>
      </c>
      <c r="J190" s="1">
        <v>4881708.7757962123</v>
      </c>
      <c r="K190" s="1">
        <v>4881708.7757962123</v>
      </c>
      <c r="L190" s="1">
        <v>4881708.7757962123</v>
      </c>
      <c r="M190" s="1">
        <v>4955674.1121018939</v>
      </c>
      <c r="N190" s="1">
        <v>4955674.1121018939</v>
      </c>
      <c r="O190" s="1">
        <v>4955674.1121018939</v>
      </c>
      <c r="P190" s="1">
        <v>4955674.1121018939</v>
      </c>
      <c r="Q190" s="1">
        <v>4955674.1121018939</v>
      </c>
      <c r="R190" s="1">
        <v>4955674.1121018939</v>
      </c>
      <c r="S190" s="1">
        <v>4955674.1121018939</v>
      </c>
      <c r="T190" s="1">
        <v>4955674.1121018939</v>
      </c>
      <c r="U190" s="1">
        <v>4955674.1121018939</v>
      </c>
      <c r="V190" s="1">
        <v>4955674.1121018939</v>
      </c>
      <c r="W190" s="4">
        <f t="shared" si="7"/>
        <v>43328863.908535078</v>
      </c>
      <c r="X190" s="4">
        <f t="shared" si="8"/>
        <v>43328863.908535078</v>
      </c>
      <c r="Y190" s="5">
        <f t="shared" si="9"/>
        <v>0.73224999924855083</v>
      </c>
    </row>
    <row r="191" spans="1:25" x14ac:dyDescent="0.25">
      <c r="A191" s="1" t="s">
        <v>80</v>
      </c>
      <c r="B191" s="1" t="s">
        <v>33</v>
      </c>
      <c r="C191" s="1" t="s">
        <v>34</v>
      </c>
      <c r="D191" s="1">
        <v>96000000</v>
      </c>
      <c r="E191" s="1">
        <v>0</v>
      </c>
      <c r="F191" s="1">
        <v>0</v>
      </c>
      <c r="G191" s="1">
        <v>19200000</v>
      </c>
      <c r="H191" s="1">
        <v>19200000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28800000</v>
      </c>
      <c r="P191" s="1">
        <v>28800000</v>
      </c>
      <c r="Q191" s="1">
        <v>0</v>
      </c>
      <c r="R191" s="1">
        <v>0</v>
      </c>
      <c r="S191" s="1">
        <v>28800000</v>
      </c>
      <c r="T191" s="1">
        <v>28800000</v>
      </c>
      <c r="U191" s="1">
        <v>19200000</v>
      </c>
      <c r="V191" s="1">
        <v>19200000</v>
      </c>
      <c r="W191" s="4">
        <f t="shared" si="7"/>
        <v>96000000</v>
      </c>
      <c r="X191" s="4">
        <f t="shared" si="8"/>
        <v>96000000</v>
      </c>
      <c r="Y191" s="5">
        <f t="shared" si="9"/>
        <v>1</v>
      </c>
    </row>
    <row r="192" spans="1:25" x14ac:dyDescent="0.25">
      <c r="A192" s="1" t="s">
        <v>80</v>
      </c>
      <c r="B192" s="1" t="s">
        <v>35</v>
      </c>
      <c r="C192" s="1" t="s">
        <v>34</v>
      </c>
      <c r="D192" s="1">
        <v>240000000</v>
      </c>
      <c r="E192" s="1">
        <v>0</v>
      </c>
      <c r="F192" s="1">
        <v>0</v>
      </c>
      <c r="G192" s="1">
        <v>66000000</v>
      </c>
      <c r="H192" s="1">
        <v>66000000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58000000</v>
      </c>
      <c r="P192" s="1">
        <v>58000000</v>
      </c>
      <c r="Q192" s="1">
        <v>0</v>
      </c>
      <c r="R192" s="1">
        <v>0</v>
      </c>
      <c r="S192" s="1">
        <v>58000000</v>
      </c>
      <c r="T192" s="1">
        <v>58000000</v>
      </c>
      <c r="U192" s="1">
        <v>58000000</v>
      </c>
      <c r="V192" s="1">
        <v>58000000</v>
      </c>
      <c r="W192" s="4">
        <f t="shared" si="7"/>
        <v>240000000</v>
      </c>
      <c r="X192" s="4">
        <f t="shared" si="8"/>
        <v>240000000</v>
      </c>
      <c r="Y192" s="5">
        <f t="shared" si="9"/>
        <v>1</v>
      </c>
    </row>
    <row r="193" spans="1:25" x14ac:dyDescent="0.25">
      <c r="A193" s="1" t="s">
        <v>80</v>
      </c>
      <c r="B193" s="1" t="s">
        <v>38</v>
      </c>
      <c r="C193" s="1" t="s">
        <v>39</v>
      </c>
      <c r="D193" s="1">
        <v>8257246.6892131176</v>
      </c>
      <c r="E193" s="1">
        <v>544978.28148806584</v>
      </c>
      <c r="F193" s="1">
        <v>544978.28148806584</v>
      </c>
      <c r="G193" s="1">
        <v>681222.85186008224</v>
      </c>
      <c r="H193" s="1">
        <v>681222.85186008224</v>
      </c>
      <c r="I193" s="1">
        <v>681222.85186008224</v>
      </c>
      <c r="J193" s="1">
        <v>681222.85186008224</v>
      </c>
      <c r="K193" s="1">
        <v>681222.85186008224</v>
      </c>
      <c r="L193" s="1">
        <v>681222.85186008224</v>
      </c>
      <c r="M193" s="1">
        <v>414926.64613295929</v>
      </c>
      <c r="N193" s="1">
        <v>414926.64613295929</v>
      </c>
      <c r="O193" s="1">
        <v>345772.2051107994</v>
      </c>
      <c r="P193" s="1">
        <v>345772.2051107994</v>
      </c>
      <c r="Q193" s="1">
        <v>484081.08715511911</v>
      </c>
      <c r="R193" s="1">
        <v>484081.08715511911</v>
      </c>
      <c r="S193" s="1">
        <v>484081.08715511911</v>
      </c>
      <c r="T193" s="1">
        <v>484081.08715511911</v>
      </c>
      <c r="U193" s="1">
        <v>484081.08715511911</v>
      </c>
      <c r="V193" s="1">
        <v>484081.08715511911</v>
      </c>
      <c r="W193" s="4">
        <f t="shared" si="7"/>
        <v>4801588.949777429</v>
      </c>
      <c r="X193" s="4">
        <f t="shared" si="8"/>
        <v>4801588.949777429</v>
      </c>
      <c r="Y193" s="5">
        <f t="shared" si="9"/>
        <v>0.58150000000000013</v>
      </c>
    </row>
    <row r="194" spans="1:25" x14ac:dyDescent="0.25">
      <c r="A194" s="1" t="s">
        <v>80</v>
      </c>
      <c r="B194" s="1" t="s">
        <v>61</v>
      </c>
      <c r="C194" s="1" t="s">
        <v>34</v>
      </c>
      <c r="D194" s="1">
        <v>147117608</v>
      </c>
      <c r="E194" s="1">
        <v>0</v>
      </c>
      <c r="F194" s="1">
        <v>0</v>
      </c>
      <c r="G194" s="1">
        <v>11769408.63865944</v>
      </c>
      <c r="H194" s="1">
        <v>11769408.63865944</v>
      </c>
      <c r="I194" s="1">
        <v>0</v>
      </c>
      <c r="J194" s="1">
        <v>0</v>
      </c>
      <c r="K194" s="1">
        <v>0</v>
      </c>
      <c r="L194" s="1">
        <v>0</v>
      </c>
      <c r="M194" s="1">
        <v>33837049.840335138</v>
      </c>
      <c r="N194" s="1">
        <v>33837049.840335138</v>
      </c>
      <c r="O194" s="1">
        <v>0</v>
      </c>
      <c r="P194" s="1">
        <v>0</v>
      </c>
      <c r="Q194" s="1">
        <v>0</v>
      </c>
      <c r="R194" s="1">
        <v>0</v>
      </c>
      <c r="S194" s="1">
        <v>50755574.760502711</v>
      </c>
      <c r="T194" s="1">
        <v>50755574.760502711</v>
      </c>
      <c r="U194" s="1">
        <v>0</v>
      </c>
      <c r="V194" s="1">
        <v>0</v>
      </c>
      <c r="W194" s="4">
        <f t="shared" si="7"/>
        <v>96362033.239497304</v>
      </c>
      <c r="X194" s="4">
        <f t="shared" si="8"/>
        <v>96362033.239497304</v>
      </c>
      <c r="Y194" s="5">
        <f t="shared" si="9"/>
        <v>0.65499999999658298</v>
      </c>
    </row>
    <row r="195" spans="1:25" x14ac:dyDescent="0.25">
      <c r="A195" s="1" t="s">
        <v>80</v>
      </c>
      <c r="B195" s="1" t="s">
        <v>62</v>
      </c>
      <c r="C195" s="1" t="s">
        <v>63</v>
      </c>
      <c r="D195" s="1">
        <v>28142857</v>
      </c>
      <c r="E195" s="1">
        <v>14079999.999120001</v>
      </c>
      <c r="F195" s="1">
        <v>14079999.999120001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790714.28579678561</v>
      </c>
      <c r="N195" s="1">
        <v>790714.28579678561</v>
      </c>
      <c r="O195" s="1">
        <v>658928.57149732136</v>
      </c>
      <c r="P195" s="1">
        <v>658928.57149732136</v>
      </c>
      <c r="Q195" s="1">
        <v>922500.00009624986</v>
      </c>
      <c r="R195" s="1">
        <v>922500.00009624986</v>
      </c>
      <c r="S195" s="1">
        <v>922500.00009624986</v>
      </c>
      <c r="T195" s="1">
        <v>922500.00009624986</v>
      </c>
      <c r="U195" s="1">
        <v>922500.00009624986</v>
      </c>
      <c r="V195" s="1">
        <v>922500.00009624986</v>
      </c>
      <c r="W195" s="4">
        <f t="shared" ref="W195:W258" si="10">U195+S195+Q195+O195+M195+K195+I195+G195+E195</f>
        <v>18297142.856702857</v>
      </c>
      <c r="X195" s="4">
        <f t="shared" ref="X195:X258" si="11">V195+T195+R195+P195+N195+L195+J195+H195+F195</f>
        <v>18297142.856702857</v>
      </c>
      <c r="Y195" s="5">
        <f t="shared" ref="Y195:Y258" si="12">X195/D195</f>
        <v>0.65015228754859022</v>
      </c>
    </row>
    <row r="196" spans="1:25" x14ac:dyDescent="0.25">
      <c r="A196" s="1" t="s">
        <v>80</v>
      </c>
      <c r="B196" s="1" t="s">
        <v>40</v>
      </c>
      <c r="C196" s="1" t="s">
        <v>27</v>
      </c>
      <c r="D196" s="1">
        <v>161795933</v>
      </c>
      <c r="E196" s="1">
        <v>6881279</v>
      </c>
      <c r="F196" s="1">
        <v>6881279</v>
      </c>
      <c r="G196" s="1">
        <v>7779318</v>
      </c>
      <c r="H196" s="1">
        <v>7779318</v>
      </c>
      <c r="I196" s="1">
        <v>15894416.315048546</v>
      </c>
      <c r="J196" s="1">
        <v>15894416.315048546</v>
      </c>
      <c r="K196" s="1">
        <v>43794718</v>
      </c>
      <c r="L196" s="1">
        <v>43794718</v>
      </c>
      <c r="M196" s="1">
        <v>4237903.2637135908</v>
      </c>
      <c r="N196" s="1">
        <v>4237903.2637135908</v>
      </c>
      <c r="O196" s="1">
        <v>29777137.421237864</v>
      </c>
      <c r="P196" s="1">
        <v>29777137.421237864</v>
      </c>
      <c r="Q196" s="1">
        <v>10035525</v>
      </c>
      <c r="R196" s="1">
        <v>10035525</v>
      </c>
      <c r="S196" s="1">
        <v>9040355</v>
      </c>
      <c r="T196" s="1">
        <v>9040355</v>
      </c>
      <c r="U196" s="1">
        <v>15731683</v>
      </c>
      <c r="V196" s="1">
        <v>15731683</v>
      </c>
      <c r="W196" s="4">
        <f t="shared" si="10"/>
        <v>143172335</v>
      </c>
      <c r="X196" s="4">
        <f t="shared" si="11"/>
        <v>143172335</v>
      </c>
      <c r="Y196" s="5">
        <f t="shared" si="12"/>
        <v>0.88489452327581064</v>
      </c>
    </row>
    <row r="197" spans="1:25" x14ac:dyDescent="0.25">
      <c r="A197" s="1" t="s">
        <v>80</v>
      </c>
      <c r="B197" s="1" t="s">
        <v>41</v>
      </c>
      <c r="C197" s="1" t="s">
        <v>27</v>
      </c>
      <c r="D197" s="1">
        <v>226853992</v>
      </c>
      <c r="E197" s="1">
        <v>20485000</v>
      </c>
      <c r="F197" s="1">
        <v>20485000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76526130</v>
      </c>
      <c r="N197" s="1">
        <v>76526130</v>
      </c>
      <c r="O197" s="1">
        <v>51017420</v>
      </c>
      <c r="P197" s="1">
        <v>51017420</v>
      </c>
      <c r="Q197" s="1">
        <v>78825442</v>
      </c>
      <c r="R197" s="1">
        <v>78825442</v>
      </c>
      <c r="S197" s="1">
        <v>0</v>
      </c>
      <c r="T197" s="1">
        <v>0</v>
      </c>
      <c r="U197" s="1">
        <v>0</v>
      </c>
      <c r="V197" s="1">
        <v>0</v>
      </c>
      <c r="W197" s="4">
        <f t="shared" si="10"/>
        <v>226853992</v>
      </c>
      <c r="X197" s="4">
        <f t="shared" si="11"/>
        <v>226853992</v>
      </c>
      <c r="Y197" s="5">
        <f t="shared" si="12"/>
        <v>1</v>
      </c>
    </row>
    <row r="198" spans="1:25" x14ac:dyDescent="0.25">
      <c r="A198" s="1" t="s">
        <v>80</v>
      </c>
      <c r="B198" s="1" t="s">
        <v>42</v>
      </c>
      <c r="C198" s="1" t="s">
        <v>27</v>
      </c>
      <c r="D198" s="1">
        <v>49880215</v>
      </c>
      <c r="E198" s="1">
        <v>0</v>
      </c>
      <c r="F198" s="1">
        <v>0</v>
      </c>
      <c r="G198" s="1">
        <v>0</v>
      </c>
      <c r="H198" s="1">
        <v>0</v>
      </c>
      <c r="I198" s="1">
        <v>49880215</v>
      </c>
      <c r="J198" s="1">
        <v>49880215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4">
        <f t="shared" si="10"/>
        <v>49880215</v>
      </c>
      <c r="X198" s="4">
        <f t="shared" si="11"/>
        <v>49880215</v>
      </c>
      <c r="Y198" s="5">
        <f t="shared" si="12"/>
        <v>1</v>
      </c>
    </row>
    <row r="199" spans="1:25" x14ac:dyDescent="0.25">
      <c r="A199" s="1" t="s">
        <v>80</v>
      </c>
      <c r="B199" s="1" t="s">
        <v>43</v>
      </c>
      <c r="C199" s="1" t="s">
        <v>31</v>
      </c>
      <c r="D199" s="1">
        <v>7499160.320617863</v>
      </c>
      <c r="E199" s="1">
        <v>435614.21541961166</v>
      </c>
      <c r="F199" s="1">
        <v>435614.21541961166</v>
      </c>
      <c r="G199" s="1">
        <v>544517.76927451452</v>
      </c>
      <c r="H199" s="1">
        <v>544517.76927451452</v>
      </c>
      <c r="I199" s="1">
        <v>544517.76927451452</v>
      </c>
      <c r="J199" s="1">
        <v>544517.76927451452</v>
      </c>
      <c r="K199" s="1">
        <v>544517.76927451452</v>
      </c>
      <c r="L199" s="1">
        <v>544517.76927451452</v>
      </c>
      <c r="M199" s="1">
        <v>404889.56840270071</v>
      </c>
      <c r="N199" s="1">
        <v>404889.56840270071</v>
      </c>
      <c r="O199" s="1">
        <v>337407.97366891726</v>
      </c>
      <c r="P199" s="1">
        <v>337407.97366891726</v>
      </c>
      <c r="Q199" s="1">
        <v>418164.32850847527</v>
      </c>
      <c r="R199" s="1">
        <v>418164.32850847527</v>
      </c>
      <c r="S199" s="1">
        <v>472371.1631364841</v>
      </c>
      <c r="T199" s="1">
        <v>472371.1631364841</v>
      </c>
      <c r="U199" s="1">
        <v>472371.1631364841</v>
      </c>
      <c r="V199" s="1">
        <v>472371.1631364841</v>
      </c>
      <c r="W199" s="4">
        <f t="shared" si="10"/>
        <v>4174371.7200962175</v>
      </c>
      <c r="X199" s="4">
        <f t="shared" si="11"/>
        <v>4174371.7200962175</v>
      </c>
      <c r="Y199" s="5">
        <f t="shared" si="12"/>
        <v>0.55664521648102161</v>
      </c>
    </row>
    <row r="200" spans="1:25" x14ac:dyDescent="0.25">
      <c r="A200" s="1" t="s">
        <v>80</v>
      </c>
      <c r="B200" s="1" t="s">
        <v>64</v>
      </c>
      <c r="C200" s="1" t="s">
        <v>23</v>
      </c>
      <c r="D200" s="1">
        <v>3819367.2775485548</v>
      </c>
      <c r="E200" s="1">
        <v>252078.24031820465</v>
      </c>
      <c r="F200" s="1">
        <v>252078.24031820465</v>
      </c>
      <c r="G200" s="1">
        <v>315097.80039775581</v>
      </c>
      <c r="H200" s="1">
        <v>315097.80039775581</v>
      </c>
      <c r="I200" s="1">
        <v>315097.80039775581</v>
      </c>
      <c r="J200" s="1">
        <v>315097.80039775581</v>
      </c>
      <c r="K200" s="1">
        <v>315097.80039775581</v>
      </c>
      <c r="L200" s="1">
        <v>315097.80039775581</v>
      </c>
      <c r="M200" s="1">
        <v>191923.20569681487</v>
      </c>
      <c r="N200" s="1">
        <v>191923.20569681487</v>
      </c>
      <c r="O200" s="1">
        <v>159936.00474734572</v>
      </c>
      <c r="P200" s="1">
        <v>159936.00474734572</v>
      </c>
      <c r="Q200" s="1">
        <v>223910.40664628401</v>
      </c>
      <c r="R200" s="1">
        <v>223910.40664628401</v>
      </c>
      <c r="S200" s="1">
        <v>223910.40664628401</v>
      </c>
      <c r="T200" s="1">
        <v>223910.40664628401</v>
      </c>
      <c r="U200" s="1">
        <v>223910.40664628401</v>
      </c>
      <c r="V200" s="1">
        <v>223910.40664628401</v>
      </c>
      <c r="W200" s="4">
        <f t="shared" si="10"/>
        <v>2220962.0718944846</v>
      </c>
      <c r="X200" s="4">
        <f t="shared" si="11"/>
        <v>2220962.0718944846</v>
      </c>
      <c r="Y200" s="5">
        <f t="shared" si="12"/>
        <v>0.58150000000000002</v>
      </c>
    </row>
    <row r="201" spans="1:25" x14ac:dyDescent="0.25">
      <c r="A201" s="1" t="s">
        <v>80</v>
      </c>
      <c r="B201" s="1" t="s">
        <v>65</v>
      </c>
      <c r="C201" s="1" t="s">
        <v>31</v>
      </c>
      <c r="D201" s="1">
        <v>5176788.2778887544</v>
      </c>
      <c r="E201" s="1">
        <v>341668.02634065785</v>
      </c>
      <c r="F201" s="1">
        <v>341668.02634065785</v>
      </c>
      <c r="G201" s="1">
        <v>427085.03292582225</v>
      </c>
      <c r="H201" s="1">
        <v>427085.03292582225</v>
      </c>
      <c r="I201" s="1">
        <v>427085.03292582225</v>
      </c>
      <c r="J201" s="1">
        <v>427085.03292582225</v>
      </c>
      <c r="K201" s="1">
        <v>427085.03292582225</v>
      </c>
      <c r="L201" s="1">
        <v>427085.03292582225</v>
      </c>
      <c r="M201" s="1">
        <v>260133.61096390989</v>
      </c>
      <c r="N201" s="1">
        <v>260133.61096390989</v>
      </c>
      <c r="O201" s="1">
        <v>216778.00913659157</v>
      </c>
      <c r="P201" s="1">
        <v>216778.00913659157</v>
      </c>
      <c r="Q201" s="1">
        <v>303489.2127912282</v>
      </c>
      <c r="R201" s="1">
        <v>303489.2127912282</v>
      </c>
      <c r="S201" s="1">
        <v>303489.2127912282</v>
      </c>
      <c r="T201" s="1">
        <v>303489.2127912282</v>
      </c>
      <c r="U201" s="1">
        <v>303489.2127912282</v>
      </c>
      <c r="V201" s="1">
        <v>303489.2127912282</v>
      </c>
      <c r="W201" s="4">
        <f t="shared" si="10"/>
        <v>3010302.3835923108</v>
      </c>
      <c r="X201" s="4">
        <f t="shared" si="11"/>
        <v>3010302.3835923108</v>
      </c>
      <c r="Y201" s="5">
        <f t="shared" si="12"/>
        <v>0.58150000000000002</v>
      </c>
    </row>
    <row r="202" spans="1:25" x14ac:dyDescent="0.25">
      <c r="A202" s="1" t="s">
        <v>80</v>
      </c>
      <c r="B202" s="1" t="s">
        <v>44</v>
      </c>
      <c r="C202" s="1" t="s">
        <v>45</v>
      </c>
      <c r="D202" s="1">
        <v>8257246.6892131176</v>
      </c>
      <c r="E202" s="1">
        <v>544978.28148806584</v>
      </c>
      <c r="F202" s="1">
        <v>544978.28148806584</v>
      </c>
      <c r="G202" s="1">
        <v>681222.85186008224</v>
      </c>
      <c r="H202" s="1">
        <v>681222.85186008224</v>
      </c>
      <c r="I202" s="1">
        <v>681222.85186008224</v>
      </c>
      <c r="J202" s="1">
        <v>681222.85186008224</v>
      </c>
      <c r="K202" s="1">
        <v>681222.85186008224</v>
      </c>
      <c r="L202" s="1">
        <v>681222.85186008224</v>
      </c>
      <c r="M202" s="1">
        <v>414926.64613295929</v>
      </c>
      <c r="N202" s="1">
        <v>414926.64613295929</v>
      </c>
      <c r="O202" s="1">
        <v>345772.2051107994</v>
      </c>
      <c r="P202" s="1">
        <v>345772.2051107994</v>
      </c>
      <c r="Q202" s="1">
        <v>484081.08715511911</v>
      </c>
      <c r="R202" s="1">
        <v>484081.08715511911</v>
      </c>
      <c r="S202" s="1">
        <v>484081.08715511911</v>
      </c>
      <c r="T202" s="1">
        <v>484081.08715511911</v>
      </c>
      <c r="U202" s="1">
        <v>484081.08715511911</v>
      </c>
      <c r="V202" s="1">
        <v>484081.08715511911</v>
      </c>
      <c r="W202" s="4">
        <f t="shared" si="10"/>
        <v>4801588.949777429</v>
      </c>
      <c r="X202" s="4">
        <f t="shared" si="11"/>
        <v>4801588.949777429</v>
      </c>
      <c r="Y202" s="5">
        <f t="shared" si="12"/>
        <v>0.58150000000000013</v>
      </c>
    </row>
    <row r="203" spans="1:25" x14ac:dyDescent="0.25">
      <c r="A203" s="1" t="s">
        <v>80</v>
      </c>
      <c r="B203" s="1" t="s">
        <v>46</v>
      </c>
      <c r="C203" s="1" t="s">
        <v>22</v>
      </c>
      <c r="D203" s="1">
        <v>127456615.32313298</v>
      </c>
      <c r="E203" s="1">
        <v>8420016.4900583122</v>
      </c>
      <c r="F203" s="1">
        <v>8420016.4900583122</v>
      </c>
      <c r="G203" s="1">
        <v>10525020.61257289</v>
      </c>
      <c r="H203" s="1">
        <v>10525020.61257289</v>
      </c>
      <c r="I203" s="1">
        <v>10525020.61257289</v>
      </c>
      <c r="J203" s="1">
        <v>10525020.61257289</v>
      </c>
      <c r="K203" s="1">
        <v>10525020.61257289</v>
      </c>
      <c r="L203" s="1">
        <v>10525020.61257289</v>
      </c>
      <c r="M203" s="1">
        <v>6604104.3880062895</v>
      </c>
      <c r="N203" s="1">
        <v>6604104.3880062895</v>
      </c>
      <c r="O203" s="1">
        <v>5370388.3106127484</v>
      </c>
      <c r="P203" s="1">
        <v>5370388.3106127484</v>
      </c>
      <c r="Q203" s="1">
        <v>7351394.7555790385</v>
      </c>
      <c r="R203" s="1">
        <v>7351394.7555790385</v>
      </c>
      <c r="S203" s="1">
        <v>7434969.2335756188</v>
      </c>
      <c r="T203" s="1">
        <v>7434969.2335756188</v>
      </c>
      <c r="U203" s="1">
        <v>7434969.2335756188</v>
      </c>
      <c r="V203" s="1">
        <v>7434969.2335756188</v>
      </c>
      <c r="W203" s="4">
        <f t="shared" si="10"/>
        <v>74190904.249126315</v>
      </c>
      <c r="X203" s="4">
        <f t="shared" si="11"/>
        <v>74190904.249126315</v>
      </c>
      <c r="Y203" s="5">
        <f t="shared" si="12"/>
        <v>0.58208751315916119</v>
      </c>
    </row>
    <row r="204" spans="1:25" x14ac:dyDescent="0.25">
      <c r="A204" s="1" t="s">
        <v>80</v>
      </c>
      <c r="B204" s="1" t="s">
        <v>66</v>
      </c>
      <c r="C204" s="1" t="s">
        <v>24</v>
      </c>
      <c r="D204" s="1">
        <v>397075012.23577017</v>
      </c>
      <c r="E204" s="1">
        <v>32758688.509451039</v>
      </c>
      <c r="F204" s="1">
        <v>32758688.509451039</v>
      </c>
      <c r="G204" s="1">
        <v>32758688.509451039</v>
      </c>
      <c r="H204" s="1">
        <v>32758688.509451039</v>
      </c>
      <c r="I204" s="1">
        <v>32758688.509451039</v>
      </c>
      <c r="J204" s="1">
        <v>32758688.509451039</v>
      </c>
      <c r="K204" s="1">
        <v>32758688.509451039</v>
      </c>
      <c r="L204" s="1">
        <v>32758688.509451039</v>
      </c>
      <c r="M204" s="1">
        <v>34413167.712195851</v>
      </c>
      <c r="N204" s="1">
        <v>34413167.712195851</v>
      </c>
      <c r="O204" s="1">
        <v>33089584.350000001</v>
      </c>
      <c r="P204" s="1">
        <v>33089584.350000001</v>
      </c>
      <c r="Q204" s="1">
        <v>33089584.350000001</v>
      </c>
      <c r="R204" s="1">
        <v>33089584.350000001</v>
      </c>
      <c r="S204" s="1">
        <v>33089584.149999999</v>
      </c>
      <c r="T204" s="1">
        <v>33089584.149999999</v>
      </c>
      <c r="U204" s="1">
        <v>33089584.350000001</v>
      </c>
      <c r="V204" s="1">
        <v>33089584.350000001</v>
      </c>
      <c r="W204" s="4">
        <f t="shared" si="10"/>
        <v>297806258.94999999</v>
      </c>
      <c r="X204" s="4">
        <f t="shared" si="11"/>
        <v>297806258.94999999</v>
      </c>
      <c r="Y204" s="5">
        <f t="shared" si="12"/>
        <v>0.74999999942875373</v>
      </c>
    </row>
    <row r="205" spans="1:25" x14ac:dyDescent="0.25">
      <c r="A205" s="1" t="s">
        <v>80</v>
      </c>
      <c r="B205" s="1" t="s">
        <v>67</v>
      </c>
      <c r="C205" s="1" t="s">
        <v>68</v>
      </c>
      <c r="D205" s="1">
        <v>5916750.6585043678</v>
      </c>
      <c r="E205" s="1">
        <v>390505.54346128833</v>
      </c>
      <c r="F205" s="1">
        <v>390505.54346128833</v>
      </c>
      <c r="G205" s="1">
        <v>488131.92932661035</v>
      </c>
      <c r="H205" s="1">
        <v>488131.92932661035</v>
      </c>
      <c r="I205" s="1">
        <v>488131.92932661035</v>
      </c>
      <c r="J205" s="1">
        <v>488131.92932661035</v>
      </c>
      <c r="K205" s="1">
        <v>488131.92932661035</v>
      </c>
      <c r="L205" s="1">
        <v>488131.92932661035</v>
      </c>
      <c r="M205" s="1">
        <v>307671.03424222715</v>
      </c>
      <c r="N205" s="1">
        <v>307671.03424222715</v>
      </c>
      <c r="O205" s="1">
        <v>246531.277437682</v>
      </c>
      <c r="P205" s="1">
        <v>246531.277437682</v>
      </c>
      <c r="Q205" s="1">
        <v>345143.78841275477</v>
      </c>
      <c r="R205" s="1">
        <v>345143.78841275477</v>
      </c>
      <c r="S205" s="1">
        <v>345143.78841275477</v>
      </c>
      <c r="T205" s="1">
        <v>345143.78841275477</v>
      </c>
      <c r="U205" s="1">
        <v>345143.78841275477</v>
      </c>
      <c r="V205" s="1">
        <v>345143.78841275477</v>
      </c>
      <c r="W205" s="4">
        <f t="shared" si="10"/>
        <v>3444535.0083592925</v>
      </c>
      <c r="X205" s="4">
        <f t="shared" si="11"/>
        <v>3444535.0083592925</v>
      </c>
      <c r="Y205" s="5">
        <f t="shared" si="12"/>
        <v>0.58216666666666661</v>
      </c>
    </row>
    <row r="206" spans="1:25" x14ac:dyDescent="0.25">
      <c r="A206" s="1" t="s">
        <v>80</v>
      </c>
      <c r="B206" s="1" t="s">
        <v>47</v>
      </c>
      <c r="C206" s="1" t="s">
        <v>34</v>
      </c>
      <c r="D206" s="1">
        <v>11415625.887323946</v>
      </c>
      <c r="E206" s="1">
        <v>0</v>
      </c>
      <c r="F206" s="1">
        <v>0</v>
      </c>
      <c r="G206" s="1">
        <v>751704.92883579014</v>
      </c>
      <c r="H206" s="1">
        <v>751704.92883579014</v>
      </c>
      <c r="I206" s="1">
        <v>0</v>
      </c>
      <c r="J206" s="1">
        <v>0</v>
      </c>
      <c r="K206" s="1">
        <v>0</v>
      </c>
      <c r="L206" s="1">
        <v>0</v>
      </c>
      <c r="M206" s="1">
        <v>5331960.4792440776</v>
      </c>
      <c r="N206" s="1">
        <v>5331960.4792440776</v>
      </c>
      <c r="O206" s="1">
        <v>0</v>
      </c>
      <c r="P206" s="1">
        <v>0</v>
      </c>
      <c r="Q206" s="1">
        <v>0</v>
      </c>
      <c r="R206" s="1">
        <v>0</v>
      </c>
      <c r="S206" s="1">
        <v>5331960.4792440776</v>
      </c>
      <c r="T206" s="1">
        <v>5331960.4792440776</v>
      </c>
      <c r="U206" s="1">
        <v>0</v>
      </c>
      <c r="V206" s="1">
        <v>0</v>
      </c>
      <c r="W206" s="4">
        <f t="shared" si="10"/>
        <v>11415625.887323946</v>
      </c>
      <c r="X206" s="4">
        <f t="shared" si="11"/>
        <v>11415625.887323946</v>
      </c>
      <c r="Y206" s="5">
        <f t="shared" si="12"/>
        <v>1</v>
      </c>
    </row>
    <row r="207" spans="1:25" x14ac:dyDescent="0.25">
      <c r="A207" s="1" t="s">
        <v>80</v>
      </c>
      <c r="B207" s="1" t="s">
        <v>69</v>
      </c>
      <c r="C207" s="1" t="s">
        <v>28</v>
      </c>
      <c r="D207" s="1">
        <v>9669847.1730263494</v>
      </c>
      <c r="E207" s="1">
        <v>638209.91341973911</v>
      </c>
      <c r="F207" s="1">
        <v>638209.91341973911</v>
      </c>
      <c r="G207" s="1">
        <v>797762.39177467383</v>
      </c>
      <c r="H207" s="1">
        <v>797762.39177467383</v>
      </c>
      <c r="I207" s="1">
        <v>797762.39177467383</v>
      </c>
      <c r="J207" s="1">
        <v>797762.39177467383</v>
      </c>
      <c r="K207" s="1">
        <v>797762.39177467383</v>
      </c>
      <c r="L207" s="1">
        <v>797762.39177467383</v>
      </c>
      <c r="M207" s="1">
        <v>485909.820444574</v>
      </c>
      <c r="N207" s="1">
        <v>485909.820444574</v>
      </c>
      <c r="O207" s="1">
        <v>404924.85037047835</v>
      </c>
      <c r="P207" s="1">
        <v>404924.85037047835</v>
      </c>
      <c r="Q207" s="1">
        <v>566894.79051866964</v>
      </c>
      <c r="R207" s="1">
        <v>566894.79051866964</v>
      </c>
      <c r="S207" s="1">
        <v>566894.79051866964</v>
      </c>
      <c r="T207" s="1">
        <v>566894.79051866964</v>
      </c>
      <c r="U207" s="1">
        <v>566894.79051866964</v>
      </c>
      <c r="V207" s="1">
        <v>566894.79051866964</v>
      </c>
      <c r="W207" s="4">
        <f t="shared" si="10"/>
        <v>5623016.1311148219</v>
      </c>
      <c r="X207" s="4">
        <f t="shared" si="11"/>
        <v>5623016.1311148219</v>
      </c>
      <c r="Y207" s="5">
        <f t="shared" si="12"/>
        <v>0.58150000000000002</v>
      </c>
    </row>
    <row r="208" spans="1:25" x14ac:dyDescent="0.25">
      <c r="A208" s="1" t="s">
        <v>80</v>
      </c>
      <c r="B208" s="1" t="s">
        <v>70</v>
      </c>
      <c r="C208" s="1" t="s">
        <v>23</v>
      </c>
      <c r="D208" s="1">
        <v>8268750.0182812503</v>
      </c>
      <c r="E208" s="1">
        <v>545737.50120656262</v>
      </c>
      <c r="F208" s="1">
        <v>545737.50120656262</v>
      </c>
      <c r="G208" s="1">
        <v>682171.87650820322</v>
      </c>
      <c r="H208" s="1">
        <v>682171.87650820322</v>
      </c>
      <c r="I208" s="1">
        <v>682171.87650820322</v>
      </c>
      <c r="J208" s="1">
        <v>682171.87650820322</v>
      </c>
      <c r="K208" s="1">
        <v>682171.87650820322</v>
      </c>
      <c r="L208" s="1">
        <v>682171.87650820322</v>
      </c>
      <c r="M208" s="1">
        <v>415504.68841863284</v>
      </c>
      <c r="N208" s="1">
        <v>415504.68841863284</v>
      </c>
      <c r="O208" s="1">
        <v>346253.90701552737</v>
      </c>
      <c r="P208" s="1">
        <v>346253.90701552737</v>
      </c>
      <c r="Q208" s="1">
        <v>484755.46982173825</v>
      </c>
      <c r="R208" s="1">
        <v>484755.46982173825</v>
      </c>
      <c r="S208" s="1">
        <v>484755.46982173825</v>
      </c>
      <c r="T208" s="1">
        <v>484755.46982173825</v>
      </c>
      <c r="U208" s="1">
        <v>484755.46982173825</v>
      </c>
      <c r="V208" s="1">
        <v>484755.46982173825</v>
      </c>
      <c r="W208" s="4">
        <f t="shared" si="10"/>
        <v>4808278.135630548</v>
      </c>
      <c r="X208" s="4">
        <f t="shared" si="11"/>
        <v>4808278.135630548</v>
      </c>
      <c r="Y208" s="5">
        <f t="shared" si="12"/>
        <v>0.58150000000000013</v>
      </c>
    </row>
    <row r="209" spans="1:25" x14ac:dyDescent="0.25">
      <c r="A209" s="1" t="s">
        <v>80</v>
      </c>
      <c r="B209" s="1" t="s">
        <v>71</v>
      </c>
      <c r="C209" s="1" t="s">
        <v>29</v>
      </c>
      <c r="D209" s="1">
        <v>6565088.3711538436</v>
      </c>
      <c r="E209" s="1">
        <v>433295.83249615366</v>
      </c>
      <c r="F209" s="1">
        <v>433295.83249615366</v>
      </c>
      <c r="G209" s="1">
        <v>541619.79062019207</v>
      </c>
      <c r="H209" s="1">
        <v>541619.79062019207</v>
      </c>
      <c r="I209" s="1">
        <v>541619.79062019207</v>
      </c>
      <c r="J209" s="1">
        <v>541619.79062019207</v>
      </c>
      <c r="K209" s="1">
        <v>541619.79062019207</v>
      </c>
      <c r="L209" s="1">
        <v>541619.79062019207</v>
      </c>
      <c r="M209" s="1">
        <v>329895.69065048062</v>
      </c>
      <c r="N209" s="1">
        <v>329895.69065048062</v>
      </c>
      <c r="O209" s="1">
        <v>274913.07554206718</v>
      </c>
      <c r="P209" s="1">
        <v>274913.07554206718</v>
      </c>
      <c r="Q209" s="1">
        <v>384878.30575889401</v>
      </c>
      <c r="R209" s="1">
        <v>384878.30575889401</v>
      </c>
      <c r="S209" s="1">
        <v>384878.30575889401</v>
      </c>
      <c r="T209" s="1">
        <v>384878.30575889401</v>
      </c>
      <c r="U209" s="1">
        <v>384878.30575889401</v>
      </c>
      <c r="V209" s="1">
        <v>384878.30575889401</v>
      </c>
      <c r="W209" s="4">
        <f t="shared" si="10"/>
        <v>3817598.8878259594</v>
      </c>
      <c r="X209" s="4">
        <f t="shared" si="11"/>
        <v>3817598.8878259594</v>
      </c>
      <c r="Y209" s="5">
        <f t="shared" si="12"/>
        <v>0.58149999999999991</v>
      </c>
    </row>
    <row r="210" spans="1:25" x14ac:dyDescent="0.25">
      <c r="A210" s="1" t="s">
        <v>80</v>
      </c>
      <c r="B210" s="1" t="s">
        <v>72</v>
      </c>
      <c r="C210" s="1" t="s">
        <v>73</v>
      </c>
      <c r="D210" s="1">
        <v>10130369.523859976</v>
      </c>
      <c r="E210" s="1">
        <v>668604.38857475854</v>
      </c>
      <c r="F210" s="1">
        <v>668604.38857475854</v>
      </c>
      <c r="G210" s="1">
        <v>835755.48571844806</v>
      </c>
      <c r="H210" s="1">
        <v>835755.48571844806</v>
      </c>
      <c r="I210" s="1">
        <v>835755.48571844806</v>
      </c>
      <c r="J210" s="1">
        <v>835755.48571844806</v>
      </c>
      <c r="K210" s="1">
        <v>835755.48571844806</v>
      </c>
      <c r="L210" s="1">
        <v>835755.48571844806</v>
      </c>
      <c r="M210" s="1">
        <v>509051.06857396371</v>
      </c>
      <c r="N210" s="1">
        <v>509051.06857396371</v>
      </c>
      <c r="O210" s="1">
        <v>424209.22381163645</v>
      </c>
      <c r="P210" s="1">
        <v>424209.22381163645</v>
      </c>
      <c r="Q210" s="1">
        <v>593892.91333629098</v>
      </c>
      <c r="R210" s="1">
        <v>593892.91333629098</v>
      </c>
      <c r="S210" s="1">
        <v>593892.91333629098</v>
      </c>
      <c r="T210" s="1">
        <v>593892.91333629098</v>
      </c>
      <c r="U210" s="1">
        <v>593892.91333629098</v>
      </c>
      <c r="V210" s="1">
        <v>593892.91333629098</v>
      </c>
      <c r="W210" s="4">
        <f t="shared" si="10"/>
        <v>5890809.8781245761</v>
      </c>
      <c r="X210" s="4">
        <f t="shared" si="11"/>
        <v>5890809.8781245761</v>
      </c>
      <c r="Y210" s="5">
        <f t="shared" si="12"/>
        <v>0.58150000000000002</v>
      </c>
    </row>
    <row r="211" spans="1:25" x14ac:dyDescent="0.25">
      <c r="A211" s="1" t="s">
        <v>80</v>
      </c>
      <c r="B211" s="1" t="s">
        <v>48</v>
      </c>
      <c r="C211" s="1" t="s">
        <v>49</v>
      </c>
      <c r="D211" s="1">
        <v>6371823.7532031825</v>
      </c>
      <c r="E211" s="1">
        <v>420540.36771141004</v>
      </c>
      <c r="F211" s="1">
        <v>420540.36771141004</v>
      </c>
      <c r="G211" s="1">
        <v>525675.45963926252</v>
      </c>
      <c r="H211" s="1">
        <v>525675.45963926252</v>
      </c>
      <c r="I211" s="1">
        <v>525675.45963926252</v>
      </c>
      <c r="J211" s="1">
        <v>525675.45963926252</v>
      </c>
      <c r="K211" s="1">
        <v>525675.45963926252</v>
      </c>
      <c r="L211" s="1">
        <v>525675.45963926252</v>
      </c>
      <c r="M211" s="1">
        <v>320184.14359845995</v>
      </c>
      <c r="N211" s="1">
        <v>320184.14359845995</v>
      </c>
      <c r="O211" s="1">
        <v>266820.1196653833</v>
      </c>
      <c r="P211" s="1">
        <v>266820.1196653833</v>
      </c>
      <c r="Q211" s="1">
        <v>373548.1675315366</v>
      </c>
      <c r="R211" s="1">
        <v>373548.1675315366</v>
      </c>
      <c r="S211" s="1">
        <v>373548.1675315366</v>
      </c>
      <c r="T211" s="1">
        <v>373548.1675315366</v>
      </c>
      <c r="U211" s="1">
        <v>373548.1675315366</v>
      </c>
      <c r="V211" s="1">
        <v>373548.1675315366</v>
      </c>
      <c r="W211" s="4">
        <f t="shared" si="10"/>
        <v>3705215.5124876504</v>
      </c>
      <c r="X211" s="4">
        <f t="shared" si="11"/>
        <v>3705215.5124876504</v>
      </c>
      <c r="Y211" s="5">
        <f t="shared" si="12"/>
        <v>0.58150000000000002</v>
      </c>
    </row>
    <row r="212" spans="1:25" x14ac:dyDescent="0.25">
      <c r="A212" s="1" t="s">
        <v>80</v>
      </c>
      <c r="B212" s="1" t="s">
        <v>53</v>
      </c>
      <c r="C212" s="1" t="s">
        <v>30</v>
      </c>
      <c r="D212" s="1">
        <v>3286014.9262045384</v>
      </c>
      <c r="E212" s="1">
        <v>216876.98512949955</v>
      </c>
      <c r="F212" s="1">
        <v>216876.98512949955</v>
      </c>
      <c r="G212" s="1">
        <v>271096.23141187441</v>
      </c>
      <c r="H212" s="1">
        <v>271096.23141187441</v>
      </c>
      <c r="I212" s="1">
        <v>271096.23141187441</v>
      </c>
      <c r="J212" s="1">
        <v>271096.23141187441</v>
      </c>
      <c r="K212" s="1">
        <v>271096.23141187441</v>
      </c>
      <c r="L212" s="1">
        <v>271096.23141187441</v>
      </c>
      <c r="M212" s="1">
        <v>165122.25004177805</v>
      </c>
      <c r="N212" s="1">
        <v>165122.25004177805</v>
      </c>
      <c r="O212" s="1">
        <v>137601.87503481505</v>
      </c>
      <c r="P212" s="1">
        <v>137601.87503481505</v>
      </c>
      <c r="Q212" s="1">
        <v>192642.62504874106</v>
      </c>
      <c r="R212" s="1">
        <v>192642.62504874106</v>
      </c>
      <c r="S212" s="1">
        <v>192642.62504874106</v>
      </c>
      <c r="T212" s="1">
        <v>192642.62504874106</v>
      </c>
      <c r="U212" s="1">
        <v>192642.62504874106</v>
      </c>
      <c r="V212" s="1">
        <v>192642.62504874106</v>
      </c>
      <c r="W212" s="4">
        <f t="shared" si="10"/>
        <v>1910817.6795879391</v>
      </c>
      <c r="X212" s="4">
        <f t="shared" si="11"/>
        <v>1910817.6795879391</v>
      </c>
      <c r="Y212" s="5">
        <f t="shared" si="12"/>
        <v>0.58150000000000002</v>
      </c>
    </row>
    <row r="213" spans="1:25" x14ac:dyDescent="0.25">
      <c r="A213" s="1" t="s">
        <v>80</v>
      </c>
      <c r="B213" s="1" t="s">
        <v>74</v>
      </c>
      <c r="C213" s="1" t="s">
        <v>75</v>
      </c>
      <c r="D213" s="1">
        <v>5940301.0640891325</v>
      </c>
      <c r="E213" s="1">
        <v>392059.87022988277</v>
      </c>
      <c r="F213" s="1">
        <v>392059.87022988277</v>
      </c>
      <c r="G213" s="1">
        <v>490074.83778735343</v>
      </c>
      <c r="H213" s="1">
        <v>490074.83778735343</v>
      </c>
      <c r="I213" s="1">
        <v>490074.83778735343</v>
      </c>
      <c r="J213" s="1">
        <v>490074.83778735343</v>
      </c>
      <c r="K213" s="1">
        <v>490074.83778735343</v>
      </c>
      <c r="L213" s="1">
        <v>490074.83778735343</v>
      </c>
      <c r="M213" s="1">
        <v>298500.12847047887</v>
      </c>
      <c r="N213" s="1">
        <v>298500.12847047887</v>
      </c>
      <c r="O213" s="1">
        <v>248750.10705873242</v>
      </c>
      <c r="P213" s="1">
        <v>248750.10705873242</v>
      </c>
      <c r="Q213" s="1">
        <v>348250.14988222538</v>
      </c>
      <c r="R213" s="1">
        <v>348250.14988222538</v>
      </c>
      <c r="S213" s="1">
        <v>348250.14988222538</v>
      </c>
      <c r="T213" s="1">
        <v>348250.14988222538</v>
      </c>
      <c r="U213" s="1">
        <v>348250.14988222538</v>
      </c>
      <c r="V213" s="1">
        <v>348250.14988222538</v>
      </c>
      <c r="W213" s="4">
        <f t="shared" si="10"/>
        <v>3454285.0687678303</v>
      </c>
      <c r="X213" s="4">
        <f t="shared" si="11"/>
        <v>3454285.0687678303</v>
      </c>
      <c r="Y213" s="5">
        <f t="shared" si="12"/>
        <v>0.58149999999999991</v>
      </c>
    </row>
    <row r="214" spans="1:25" x14ac:dyDescent="0.25">
      <c r="A214" s="1" t="s">
        <v>80</v>
      </c>
      <c r="B214" s="1" t="s">
        <v>50</v>
      </c>
      <c r="C214" s="1" t="s">
        <v>25</v>
      </c>
      <c r="D214" s="1">
        <v>6690414.9408633402</v>
      </c>
      <c r="E214" s="1">
        <v>441567.38609698054</v>
      </c>
      <c r="F214" s="1">
        <v>441567.38609698054</v>
      </c>
      <c r="G214" s="1">
        <v>551959.23262122564</v>
      </c>
      <c r="H214" s="1">
        <v>551959.23262122564</v>
      </c>
      <c r="I214" s="1">
        <v>551959.23262122564</v>
      </c>
      <c r="J214" s="1">
        <v>551959.23262122564</v>
      </c>
      <c r="K214" s="1">
        <v>551959.23262122564</v>
      </c>
      <c r="L214" s="1">
        <v>551959.23262122564</v>
      </c>
      <c r="M214" s="1">
        <v>336193.3507783828</v>
      </c>
      <c r="N214" s="1">
        <v>336193.3507783828</v>
      </c>
      <c r="O214" s="1">
        <v>280161.12564865232</v>
      </c>
      <c r="P214" s="1">
        <v>280161.12564865232</v>
      </c>
      <c r="Q214" s="1">
        <v>392225.57590811321</v>
      </c>
      <c r="R214" s="1">
        <v>392225.57590811321</v>
      </c>
      <c r="S214" s="1">
        <v>392225.57590811321</v>
      </c>
      <c r="T214" s="1">
        <v>392225.57590811321</v>
      </c>
      <c r="U214" s="1">
        <v>392225.57590811321</v>
      </c>
      <c r="V214" s="1">
        <v>392225.57590811321</v>
      </c>
      <c r="W214" s="4">
        <f t="shared" si="10"/>
        <v>3890476.2881120318</v>
      </c>
      <c r="X214" s="4">
        <f t="shared" si="11"/>
        <v>3890476.2881120318</v>
      </c>
      <c r="Y214" s="5">
        <f t="shared" si="12"/>
        <v>0.58149999999999991</v>
      </c>
    </row>
    <row r="215" spans="1:25" x14ac:dyDescent="0.25">
      <c r="A215" s="1" t="s">
        <v>81</v>
      </c>
      <c r="B215" s="1" t="s">
        <v>59</v>
      </c>
      <c r="C215" s="1" t="s">
        <v>26</v>
      </c>
      <c r="D215" s="1">
        <v>48168876</v>
      </c>
      <c r="E215" s="1">
        <v>4235145.8427697551</v>
      </c>
      <c r="F215" s="1">
        <v>4235145.8427697551</v>
      </c>
      <c r="G215" s="1">
        <v>5293932.3034621933</v>
      </c>
      <c r="H215" s="1">
        <v>5293932.3034621933</v>
      </c>
      <c r="I215" s="1">
        <v>5293932.3034621933</v>
      </c>
      <c r="J215" s="1">
        <v>5293932.3034621933</v>
      </c>
      <c r="K215" s="1">
        <v>5293932.3034621933</v>
      </c>
      <c r="L215" s="1">
        <v>5293932.3034621933</v>
      </c>
      <c r="M215" s="1">
        <v>3374143.3482689038</v>
      </c>
      <c r="N215" s="1">
        <v>3374143.3482689038</v>
      </c>
      <c r="O215" s="1">
        <v>3374143.3482689038</v>
      </c>
      <c r="P215" s="1">
        <v>3374143.3482689038</v>
      </c>
      <c r="Q215" s="1">
        <v>3374143.3482689038</v>
      </c>
      <c r="R215" s="1">
        <v>3374143.3482689038</v>
      </c>
      <c r="S215" s="1">
        <v>3374143.3482689038</v>
      </c>
      <c r="T215" s="1">
        <v>3374143.3482689038</v>
      </c>
      <c r="U215" s="1">
        <v>3374143.3482689038</v>
      </c>
      <c r="V215" s="1">
        <v>3374143.3482689038</v>
      </c>
      <c r="W215" s="4">
        <f t="shared" si="10"/>
        <v>36987659.494500853</v>
      </c>
      <c r="X215" s="4">
        <f t="shared" si="11"/>
        <v>36987659.494500853</v>
      </c>
      <c r="Y215" s="5">
        <f t="shared" si="12"/>
        <v>0.76787466443063468</v>
      </c>
    </row>
    <row r="216" spans="1:25" x14ac:dyDescent="0.25">
      <c r="A216" s="1" t="s">
        <v>81</v>
      </c>
      <c r="B216" s="1" t="s">
        <v>60</v>
      </c>
      <c r="C216" s="1" t="s">
        <v>26</v>
      </c>
      <c r="D216" s="1">
        <v>16000000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8000000</v>
      </c>
      <c r="N216" s="1">
        <v>8000000</v>
      </c>
      <c r="O216" s="1">
        <v>8000000</v>
      </c>
      <c r="P216" s="1">
        <v>8000000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4">
        <f t="shared" si="10"/>
        <v>16000000</v>
      </c>
      <c r="X216" s="4">
        <f t="shared" si="11"/>
        <v>16000000</v>
      </c>
      <c r="Y216" s="5">
        <f t="shared" si="12"/>
        <v>1</v>
      </c>
    </row>
    <row r="217" spans="1:25" x14ac:dyDescent="0.25">
      <c r="A217" s="1" t="s">
        <v>81</v>
      </c>
      <c r="B217" s="1" t="s">
        <v>33</v>
      </c>
      <c r="C217" s="1" t="s">
        <v>34</v>
      </c>
      <c r="D217" s="1">
        <v>84000000</v>
      </c>
      <c r="E217" s="1">
        <v>0</v>
      </c>
      <c r="F217" s="1">
        <v>0</v>
      </c>
      <c r="G217" s="1">
        <v>16800000</v>
      </c>
      <c r="H217" s="1">
        <v>16800000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25200000</v>
      </c>
      <c r="P217" s="1">
        <v>25200000</v>
      </c>
      <c r="Q217" s="1">
        <v>0</v>
      </c>
      <c r="R217" s="1">
        <v>0</v>
      </c>
      <c r="S217" s="1">
        <v>25200000</v>
      </c>
      <c r="T217" s="1">
        <v>25200000</v>
      </c>
      <c r="U217" s="1">
        <v>16800000</v>
      </c>
      <c r="V217" s="1">
        <v>16800000</v>
      </c>
      <c r="W217" s="4">
        <f t="shared" si="10"/>
        <v>84000000</v>
      </c>
      <c r="X217" s="4">
        <f t="shared" si="11"/>
        <v>84000000</v>
      </c>
      <c r="Y217" s="5">
        <f t="shared" si="12"/>
        <v>1</v>
      </c>
    </row>
    <row r="218" spans="1:25" x14ac:dyDescent="0.25">
      <c r="A218" s="1" t="s">
        <v>81</v>
      </c>
      <c r="B218" s="1" t="s">
        <v>35</v>
      </c>
      <c r="C218" s="1" t="s">
        <v>34</v>
      </c>
      <c r="D218" s="1">
        <v>209999999.99999997</v>
      </c>
      <c r="E218" s="1">
        <v>0</v>
      </c>
      <c r="F218" s="1">
        <v>0</v>
      </c>
      <c r="G218" s="1">
        <v>57750000</v>
      </c>
      <c r="H218" s="1">
        <v>57750000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50749999.999999993</v>
      </c>
      <c r="P218" s="1">
        <v>50749999.999999993</v>
      </c>
      <c r="Q218" s="1">
        <v>0</v>
      </c>
      <c r="R218" s="1">
        <v>0</v>
      </c>
      <c r="S218" s="1">
        <v>50749999.999999993</v>
      </c>
      <c r="T218" s="1">
        <v>50749999.999999993</v>
      </c>
      <c r="U218" s="1">
        <v>50749999.999999993</v>
      </c>
      <c r="V218" s="1">
        <v>50749999.999999993</v>
      </c>
      <c r="W218" s="4">
        <f t="shared" si="10"/>
        <v>209999999.99999997</v>
      </c>
      <c r="X218" s="4">
        <f t="shared" si="11"/>
        <v>209999999.99999997</v>
      </c>
      <c r="Y218" s="5">
        <f t="shared" si="12"/>
        <v>1</v>
      </c>
    </row>
    <row r="219" spans="1:25" x14ac:dyDescent="0.25">
      <c r="A219" s="1" t="s">
        <v>81</v>
      </c>
      <c r="B219" s="1" t="s">
        <v>38</v>
      </c>
      <c r="C219" s="1" t="s">
        <v>39</v>
      </c>
      <c r="D219" s="1">
        <v>8843640.5115986671</v>
      </c>
      <c r="E219" s="1">
        <v>583680.27376551216</v>
      </c>
      <c r="F219" s="1">
        <v>583680.27376551216</v>
      </c>
      <c r="G219" s="1">
        <v>729600.34220689011</v>
      </c>
      <c r="H219" s="1">
        <v>729600.34220689011</v>
      </c>
      <c r="I219" s="1">
        <v>729600.34220689011</v>
      </c>
      <c r="J219" s="1">
        <v>729600.34220689011</v>
      </c>
      <c r="K219" s="1">
        <v>729600.34220689011</v>
      </c>
      <c r="L219" s="1">
        <v>729600.34220689011</v>
      </c>
      <c r="M219" s="1">
        <v>444392.93570783309</v>
      </c>
      <c r="N219" s="1">
        <v>444392.93570783309</v>
      </c>
      <c r="O219" s="1">
        <v>370327.44642319425</v>
      </c>
      <c r="P219" s="1">
        <v>370327.44642319425</v>
      </c>
      <c r="Q219" s="1">
        <v>518458.42499247193</v>
      </c>
      <c r="R219" s="1">
        <v>518458.42499247193</v>
      </c>
      <c r="S219" s="1">
        <v>518458.42499247193</v>
      </c>
      <c r="T219" s="1">
        <v>518458.42499247193</v>
      </c>
      <c r="U219" s="1">
        <v>518458.42499247193</v>
      </c>
      <c r="V219" s="1">
        <v>518458.42499247193</v>
      </c>
      <c r="W219" s="4">
        <f t="shared" si="10"/>
        <v>5142576.9574946258</v>
      </c>
      <c r="X219" s="4">
        <f t="shared" si="11"/>
        <v>5142576.9574946258</v>
      </c>
      <c r="Y219" s="5">
        <f t="shared" si="12"/>
        <v>0.58150000000000013</v>
      </c>
    </row>
    <row r="220" spans="1:25" x14ac:dyDescent="0.25">
      <c r="A220" s="1" t="s">
        <v>81</v>
      </c>
      <c r="B220" s="1" t="s">
        <v>61</v>
      </c>
      <c r="C220" s="1" t="s">
        <v>34</v>
      </c>
      <c r="D220" s="1">
        <v>130705096</v>
      </c>
      <c r="E220" s="1">
        <v>0</v>
      </c>
      <c r="F220" s="1">
        <v>0</v>
      </c>
      <c r="G220" s="1">
        <v>10456407.678808993</v>
      </c>
      <c r="H220" s="1">
        <v>10456407.678808993</v>
      </c>
      <c r="I220" s="1">
        <v>0</v>
      </c>
      <c r="J220" s="1">
        <v>0</v>
      </c>
      <c r="K220" s="1">
        <v>0</v>
      </c>
      <c r="L220" s="1">
        <v>0</v>
      </c>
      <c r="M220" s="1">
        <v>30062172.080297753</v>
      </c>
      <c r="N220" s="1">
        <v>30062172.080297753</v>
      </c>
      <c r="O220" s="1">
        <v>0</v>
      </c>
      <c r="P220" s="1">
        <v>0</v>
      </c>
      <c r="Q220" s="1">
        <v>0</v>
      </c>
      <c r="R220" s="1">
        <v>0</v>
      </c>
      <c r="S220" s="1">
        <v>45093258.12044663</v>
      </c>
      <c r="T220" s="1">
        <v>45093258.12044663</v>
      </c>
      <c r="U220" s="1">
        <v>0</v>
      </c>
      <c r="V220" s="1">
        <v>0</v>
      </c>
      <c r="W220" s="4">
        <f t="shared" si="10"/>
        <v>85611837.879553378</v>
      </c>
      <c r="X220" s="4">
        <f t="shared" si="11"/>
        <v>85611837.879553378</v>
      </c>
      <c r="Y220" s="5">
        <f t="shared" si="12"/>
        <v>0.65499999999658298</v>
      </c>
    </row>
    <row r="221" spans="1:25" x14ac:dyDescent="0.25">
      <c r="A221" s="1" t="s">
        <v>81</v>
      </c>
      <c r="B221" s="1" t="s">
        <v>62</v>
      </c>
      <c r="C221" s="1" t="s">
        <v>63</v>
      </c>
      <c r="D221" s="1">
        <v>18142857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1360714.2857142857</v>
      </c>
      <c r="N221" s="1">
        <v>1360714.2857142857</v>
      </c>
      <c r="O221" s="1">
        <v>1133928.5714285714</v>
      </c>
      <c r="P221" s="1">
        <v>1133928.5714285714</v>
      </c>
      <c r="Q221" s="1">
        <v>1587499.9999999998</v>
      </c>
      <c r="R221" s="1">
        <v>1587499.9999999998</v>
      </c>
      <c r="S221" s="1">
        <v>1587499.9999999998</v>
      </c>
      <c r="T221" s="1">
        <v>1587499.9999999998</v>
      </c>
      <c r="U221" s="1">
        <v>1587499.9999999998</v>
      </c>
      <c r="V221" s="1">
        <v>1587499.9999999998</v>
      </c>
      <c r="W221" s="4">
        <f t="shared" si="10"/>
        <v>7257142.8571428563</v>
      </c>
      <c r="X221" s="4">
        <f t="shared" si="11"/>
        <v>7257142.8571428563</v>
      </c>
      <c r="Y221" s="5">
        <f t="shared" si="12"/>
        <v>0.40000000314960626</v>
      </c>
    </row>
    <row r="222" spans="1:25" x14ac:dyDescent="0.25">
      <c r="A222" s="1" t="s">
        <v>81</v>
      </c>
      <c r="B222" s="1" t="s">
        <v>40</v>
      </c>
      <c r="C222" s="1" t="s">
        <v>27</v>
      </c>
      <c r="D222" s="1">
        <v>172084393.81</v>
      </c>
      <c r="E222" s="1">
        <v>13432454.039999999</v>
      </c>
      <c r="F222" s="1">
        <v>13432454.039999999</v>
      </c>
      <c r="G222" s="1">
        <v>22102987.390000001</v>
      </c>
      <c r="H222" s="1">
        <v>22102987.390000001</v>
      </c>
      <c r="I222" s="1">
        <v>14048820.449999999</v>
      </c>
      <c r="J222" s="1">
        <v>14048820.449999999</v>
      </c>
      <c r="K222" s="1">
        <v>13719483.100537907</v>
      </c>
      <c r="L222" s="1">
        <v>13719483.100537907</v>
      </c>
      <c r="M222" s="1">
        <v>33799378.012096584</v>
      </c>
      <c r="N222" s="1">
        <v>33799378.012096584</v>
      </c>
      <c r="O222" s="1">
        <v>34699599.717365533</v>
      </c>
      <c r="P222" s="1">
        <v>34699599.717365533</v>
      </c>
      <c r="Q222" s="1">
        <v>10906068.841666667</v>
      </c>
      <c r="R222" s="1">
        <v>10906068.841666667</v>
      </c>
      <c r="S222" s="1">
        <v>5274653.7850000001</v>
      </c>
      <c r="T222" s="1">
        <v>5274653.7850000001</v>
      </c>
      <c r="U222" s="1">
        <v>9757820.4516666662</v>
      </c>
      <c r="V222" s="1">
        <v>9757820.4516666662</v>
      </c>
      <c r="W222" s="4">
        <f t="shared" si="10"/>
        <v>157741265.78833336</v>
      </c>
      <c r="X222" s="4">
        <f t="shared" si="11"/>
        <v>157741265.78833336</v>
      </c>
      <c r="Y222" s="5">
        <f t="shared" si="12"/>
        <v>0.91665061715298235</v>
      </c>
    </row>
    <row r="223" spans="1:25" x14ac:dyDescent="0.25">
      <c r="A223" s="1" t="s">
        <v>81</v>
      </c>
      <c r="B223" s="1" t="s">
        <v>41</v>
      </c>
      <c r="C223" s="1" t="s">
        <v>27</v>
      </c>
      <c r="D223" s="1">
        <v>190977089</v>
      </c>
      <c r="E223" s="1">
        <v>0</v>
      </c>
      <c r="F223" s="1">
        <v>0</v>
      </c>
      <c r="G223" s="1">
        <v>26869272.25</v>
      </c>
      <c r="H223" s="1">
        <v>26869272.25</v>
      </c>
      <c r="I223" s="1">
        <v>26869272.25</v>
      </c>
      <c r="J223" s="1">
        <v>26869272.25</v>
      </c>
      <c r="K223" s="1">
        <v>0</v>
      </c>
      <c r="L223" s="1">
        <v>0</v>
      </c>
      <c r="M223" s="1">
        <v>51464454.1875</v>
      </c>
      <c r="N223" s="1">
        <v>51464454.1875</v>
      </c>
      <c r="O223" s="1">
        <v>34309636.125</v>
      </c>
      <c r="P223" s="1">
        <v>34309636.125</v>
      </c>
      <c r="Q223" s="1">
        <v>51464454.1875</v>
      </c>
      <c r="R223" s="1">
        <v>51464454.1875</v>
      </c>
      <c r="S223" s="1">
        <v>0</v>
      </c>
      <c r="T223" s="1">
        <v>0</v>
      </c>
      <c r="U223" s="1">
        <v>0</v>
      </c>
      <c r="V223" s="1">
        <v>0</v>
      </c>
      <c r="W223" s="4">
        <f t="shared" si="10"/>
        <v>190977089</v>
      </c>
      <c r="X223" s="4">
        <f t="shared" si="11"/>
        <v>190977089</v>
      </c>
      <c r="Y223" s="5">
        <f t="shared" si="12"/>
        <v>1</v>
      </c>
    </row>
    <row r="224" spans="1:25" x14ac:dyDescent="0.25">
      <c r="A224" s="1" t="s">
        <v>81</v>
      </c>
      <c r="B224" s="1" t="s">
        <v>42</v>
      </c>
      <c r="C224" s="1" t="s">
        <v>27</v>
      </c>
      <c r="D224" s="1">
        <v>50400000</v>
      </c>
      <c r="E224" s="1">
        <v>0</v>
      </c>
      <c r="F224" s="1">
        <v>0</v>
      </c>
      <c r="G224" s="1">
        <v>12900000</v>
      </c>
      <c r="H224" s="1">
        <v>12900000</v>
      </c>
      <c r="I224" s="1">
        <v>6500000</v>
      </c>
      <c r="J224" s="1">
        <v>6500000</v>
      </c>
      <c r="K224" s="1">
        <v>0</v>
      </c>
      <c r="L224" s="1">
        <v>0</v>
      </c>
      <c r="M224" s="1">
        <v>11625000</v>
      </c>
      <c r="N224" s="1">
        <v>11625000</v>
      </c>
      <c r="O224" s="1">
        <v>7750000</v>
      </c>
      <c r="P224" s="1">
        <v>7750000</v>
      </c>
      <c r="Q224" s="1">
        <v>11625000</v>
      </c>
      <c r="R224" s="1">
        <v>11625000</v>
      </c>
      <c r="S224" s="1">
        <v>0</v>
      </c>
      <c r="T224" s="1">
        <v>0</v>
      </c>
      <c r="U224" s="1">
        <v>0</v>
      </c>
      <c r="V224" s="1">
        <v>0</v>
      </c>
      <c r="W224" s="4">
        <f t="shared" si="10"/>
        <v>50400000</v>
      </c>
      <c r="X224" s="4">
        <f t="shared" si="11"/>
        <v>50400000</v>
      </c>
      <c r="Y224" s="5">
        <f t="shared" si="12"/>
        <v>1</v>
      </c>
    </row>
    <row r="225" spans="1:25" x14ac:dyDescent="0.25">
      <c r="A225" s="1" t="s">
        <v>81</v>
      </c>
      <c r="B225" s="1" t="s">
        <v>43</v>
      </c>
      <c r="C225" s="1" t="s">
        <v>31</v>
      </c>
      <c r="D225" s="1">
        <v>4336745</v>
      </c>
      <c r="E225" s="1">
        <v>251914.58847498187</v>
      </c>
      <c r="F225" s="1">
        <v>251914.58847498187</v>
      </c>
      <c r="G225" s="1">
        <v>314893.23559372732</v>
      </c>
      <c r="H225" s="1">
        <v>314893.23559372732</v>
      </c>
      <c r="I225" s="1">
        <v>314893.23559372732</v>
      </c>
      <c r="J225" s="1">
        <v>314893.23559372732</v>
      </c>
      <c r="K225" s="1">
        <v>314893.23559372732</v>
      </c>
      <c r="L225" s="1">
        <v>314893.23559372732</v>
      </c>
      <c r="M225" s="1">
        <v>234146.60355775742</v>
      </c>
      <c r="N225" s="1">
        <v>234146.60355775742</v>
      </c>
      <c r="O225" s="1">
        <v>195122.16963146452</v>
      </c>
      <c r="P225" s="1">
        <v>195122.16963146452</v>
      </c>
      <c r="Q225" s="1">
        <v>241823.17794921115</v>
      </c>
      <c r="R225" s="1">
        <v>241823.17794921115</v>
      </c>
      <c r="S225" s="1">
        <v>273171.03748405032</v>
      </c>
      <c r="T225" s="1">
        <v>273171.03748405032</v>
      </c>
      <c r="U225" s="1">
        <v>273171.03748405032</v>
      </c>
      <c r="V225" s="1">
        <v>273171.03748405032</v>
      </c>
      <c r="W225" s="4">
        <f t="shared" si="10"/>
        <v>2414028.321362698</v>
      </c>
      <c r="X225" s="4">
        <f t="shared" si="11"/>
        <v>2414028.321362698</v>
      </c>
      <c r="Y225" s="5">
        <f t="shared" si="12"/>
        <v>0.55664520772208137</v>
      </c>
    </row>
    <row r="226" spans="1:25" x14ac:dyDescent="0.25">
      <c r="A226" s="1" t="s">
        <v>81</v>
      </c>
      <c r="B226" s="1" t="s">
        <v>64</v>
      </c>
      <c r="C226" s="1" t="s">
        <v>23</v>
      </c>
      <c r="D226" s="1">
        <v>4617088.0876949253</v>
      </c>
      <c r="E226" s="1">
        <v>304727.8137878651</v>
      </c>
      <c r="F226" s="1">
        <v>304727.8137878651</v>
      </c>
      <c r="G226" s="1">
        <v>380909.76723483135</v>
      </c>
      <c r="H226" s="1">
        <v>380909.76723483135</v>
      </c>
      <c r="I226" s="1">
        <v>380909.76723483135</v>
      </c>
      <c r="J226" s="1">
        <v>380909.76723483135</v>
      </c>
      <c r="K226" s="1">
        <v>380909.76723483135</v>
      </c>
      <c r="L226" s="1">
        <v>380909.76723483135</v>
      </c>
      <c r="M226" s="1">
        <v>232008.67640666998</v>
      </c>
      <c r="N226" s="1">
        <v>232008.67640666998</v>
      </c>
      <c r="O226" s="1">
        <v>193340.56367222499</v>
      </c>
      <c r="P226" s="1">
        <v>193340.56367222499</v>
      </c>
      <c r="Q226" s="1">
        <v>270676.78914111498</v>
      </c>
      <c r="R226" s="1">
        <v>270676.78914111498</v>
      </c>
      <c r="S226" s="1">
        <v>270676.78914111498</v>
      </c>
      <c r="T226" s="1">
        <v>270676.78914111498</v>
      </c>
      <c r="U226" s="1">
        <v>270676.78914111498</v>
      </c>
      <c r="V226" s="1">
        <v>270676.78914111498</v>
      </c>
      <c r="W226" s="4">
        <f t="shared" si="10"/>
        <v>2684836.722994599</v>
      </c>
      <c r="X226" s="4">
        <f t="shared" si="11"/>
        <v>2684836.722994599</v>
      </c>
      <c r="Y226" s="5">
        <f t="shared" si="12"/>
        <v>0.58150000000000002</v>
      </c>
    </row>
    <row r="227" spans="1:25" x14ac:dyDescent="0.25">
      <c r="A227" s="1" t="s">
        <v>81</v>
      </c>
      <c r="B227" s="1" t="s">
        <v>65</v>
      </c>
      <c r="C227" s="1" t="s">
        <v>31</v>
      </c>
      <c r="D227" s="1">
        <v>3860251.5168930986</v>
      </c>
      <c r="E227" s="1">
        <v>254776.60011494454</v>
      </c>
      <c r="F227" s="1">
        <v>254776.60011494454</v>
      </c>
      <c r="G227" s="1">
        <v>318470.75014368066</v>
      </c>
      <c r="H227" s="1">
        <v>318470.75014368066</v>
      </c>
      <c r="I227" s="1">
        <v>318470.75014368066</v>
      </c>
      <c r="J227" s="1">
        <v>318470.75014368066</v>
      </c>
      <c r="K227" s="1">
        <v>318470.75014368066</v>
      </c>
      <c r="L227" s="1">
        <v>318470.75014368066</v>
      </c>
      <c r="M227" s="1">
        <v>193977.63872387822</v>
      </c>
      <c r="N227" s="1">
        <v>193977.63872387822</v>
      </c>
      <c r="O227" s="1">
        <v>161648.03226989851</v>
      </c>
      <c r="P227" s="1">
        <v>161648.03226989851</v>
      </c>
      <c r="Q227" s="1">
        <v>226307.2451778579</v>
      </c>
      <c r="R227" s="1">
        <v>226307.2451778579</v>
      </c>
      <c r="S227" s="1">
        <v>226307.2451778579</v>
      </c>
      <c r="T227" s="1">
        <v>226307.2451778579</v>
      </c>
      <c r="U227" s="1">
        <v>226307.2451778579</v>
      </c>
      <c r="V227" s="1">
        <v>226307.2451778579</v>
      </c>
      <c r="W227" s="4">
        <f t="shared" si="10"/>
        <v>2244736.2570733372</v>
      </c>
      <c r="X227" s="4">
        <f t="shared" si="11"/>
        <v>2244736.2570733372</v>
      </c>
      <c r="Y227" s="5">
        <f t="shared" si="12"/>
        <v>0.58150000000000013</v>
      </c>
    </row>
    <row r="228" spans="1:25" x14ac:dyDescent="0.25">
      <c r="A228" s="1" t="s">
        <v>81</v>
      </c>
      <c r="B228" s="1" t="s">
        <v>44</v>
      </c>
      <c r="C228" s="1" t="s">
        <v>45</v>
      </c>
      <c r="D228" s="1">
        <v>8843640.5115986671</v>
      </c>
      <c r="E228" s="1">
        <v>583680.27376551216</v>
      </c>
      <c r="F228" s="1">
        <v>583680.27376551216</v>
      </c>
      <c r="G228" s="1">
        <v>729600.34220689011</v>
      </c>
      <c r="H228" s="1">
        <v>729600.34220689011</v>
      </c>
      <c r="I228" s="1">
        <v>729600.34220689011</v>
      </c>
      <c r="J228" s="1">
        <v>729600.34220689011</v>
      </c>
      <c r="K228" s="1">
        <v>729600.34220689011</v>
      </c>
      <c r="L228" s="1">
        <v>729600.34220689011</v>
      </c>
      <c r="M228" s="1">
        <v>444392.93570783309</v>
      </c>
      <c r="N228" s="1">
        <v>444392.93570783309</v>
      </c>
      <c r="O228" s="1">
        <v>370327.44642319425</v>
      </c>
      <c r="P228" s="1">
        <v>370327.44642319425</v>
      </c>
      <c r="Q228" s="1">
        <v>518458.42499247193</v>
      </c>
      <c r="R228" s="1">
        <v>518458.42499247193</v>
      </c>
      <c r="S228" s="1">
        <v>518458.42499247193</v>
      </c>
      <c r="T228" s="1">
        <v>518458.42499247193</v>
      </c>
      <c r="U228" s="1">
        <v>518458.42499247193</v>
      </c>
      <c r="V228" s="1">
        <v>518458.42499247193</v>
      </c>
      <c r="W228" s="4">
        <f t="shared" si="10"/>
        <v>5142576.9574946258</v>
      </c>
      <c r="X228" s="4">
        <f t="shared" si="11"/>
        <v>5142576.9574946258</v>
      </c>
      <c r="Y228" s="5">
        <f t="shared" si="12"/>
        <v>0.58150000000000013</v>
      </c>
    </row>
    <row r="229" spans="1:25" x14ac:dyDescent="0.25">
      <c r="A229" s="1" t="s">
        <v>81</v>
      </c>
      <c r="B229" s="1" t="s">
        <v>46</v>
      </c>
      <c r="C229" s="1" t="s">
        <v>22</v>
      </c>
      <c r="D229" s="1">
        <v>106643535.0828632</v>
      </c>
      <c r="E229" s="1">
        <v>7045066.4461732879</v>
      </c>
      <c r="F229" s="1">
        <v>7045066.4461732879</v>
      </c>
      <c r="G229" s="1">
        <v>8806333.0577166099</v>
      </c>
      <c r="H229" s="1">
        <v>8806333.0577166099</v>
      </c>
      <c r="I229" s="1">
        <v>8806333.0577166099</v>
      </c>
      <c r="J229" s="1">
        <v>8806333.0577166099</v>
      </c>
      <c r="K229" s="1">
        <v>8806333.0577166099</v>
      </c>
      <c r="L229" s="1">
        <v>8806333.0577166099</v>
      </c>
      <c r="M229" s="1">
        <v>5525684.4551199563</v>
      </c>
      <c r="N229" s="1">
        <v>5525684.4551199563</v>
      </c>
      <c r="O229" s="1">
        <v>4493428.5502518211</v>
      </c>
      <c r="P229" s="1">
        <v>4493428.5502518211</v>
      </c>
      <c r="Q229" s="1">
        <v>6220872.8851826247</v>
      </c>
      <c r="R229" s="1">
        <v>6220872.8851826247</v>
      </c>
      <c r="S229" s="1">
        <v>6220872.8851826247</v>
      </c>
      <c r="T229" s="1">
        <v>6220872.8851826247</v>
      </c>
      <c r="U229" s="1">
        <v>6220872.8851826247</v>
      </c>
      <c r="V229" s="1">
        <v>6220872.8851826247</v>
      </c>
      <c r="W229" s="4">
        <f t="shared" si="10"/>
        <v>62145797.280242763</v>
      </c>
      <c r="X229" s="4">
        <f t="shared" si="11"/>
        <v>62145797.280242763</v>
      </c>
      <c r="Y229" s="5">
        <f t="shared" si="12"/>
        <v>0.58274322238056719</v>
      </c>
    </row>
    <row r="230" spans="1:25" x14ac:dyDescent="0.25">
      <c r="A230" s="1" t="s">
        <v>81</v>
      </c>
      <c r="B230" s="1" t="s">
        <v>66</v>
      </c>
      <c r="C230" s="1" t="s">
        <v>24</v>
      </c>
      <c r="D230" s="1">
        <v>347015009.53974646</v>
      </c>
      <c r="E230" s="1">
        <v>28628738.287029084</v>
      </c>
      <c r="F230" s="1">
        <v>28628738.287029084</v>
      </c>
      <c r="G230" s="1">
        <v>28628738.287029084</v>
      </c>
      <c r="H230" s="1">
        <v>28628738.287029084</v>
      </c>
      <c r="I230" s="1">
        <v>28628738.287029084</v>
      </c>
      <c r="J230" s="1">
        <v>28628738.287029084</v>
      </c>
      <c r="K230" s="1">
        <v>28628738.287029084</v>
      </c>
      <c r="L230" s="1">
        <v>28628738.287029084</v>
      </c>
      <c r="M230" s="1">
        <v>30074634.351883665</v>
      </c>
      <c r="N230" s="1">
        <v>30074634.351883665</v>
      </c>
      <c r="O230" s="1">
        <v>28917917.5</v>
      </c>
      <c r="P230" s="1">
        <v>28917917.5</v>
      </c>
      <c r="Q230" s="1">
        <v>28917917.5</v>
      </c>
      <c r="R230" s="1">
        <v>28917917.5</v>
      </c>
      <c r="S230" s="1">
        <v>28917917.5</v>
      </c>
      <c r="T230" s="1">
        <v>28917917.5</v>
      </c>
      <c r="U230" s="1">
        <v>28917917.5</v>
      </c>
      <c r="V230" s="1">
        <v>28917917.5</v>
      </c>
      <c r="W230" s="4">
        <f t="shared" si="10"/>
        <v>260261257.5</v>
      </c>
      <c r="X230" s="4">
        <f t="shared" si="11"/>
        <v>260261257.5</v>
      </c>
      <c r="Y230" s="5">
        <f t="shared" si="12"/>
        <v>0.75000000099474129</v>
      </c>
    </row>
    <row r="231" spans="1:25" x14ac:dyDescent="0.25">
      <c r="A231" s="1" t="s">
        <v>81</v>
      </c>
      <c r="B231" s="1" t="s">
        <v>67</v>
      </c>
      <c r="C231" s="1" t="s">
        <v>68</v>
      </c>
      <c r="D231" s="1">
        <v>5916750.6585043678</v>
      </c>
      <c r="E231" s="1">
        <v>390505.54346128833</v>
      </c>
      <c r="F231" s="1">
        <v>390505.54346128833</v>
      </c>
      <c r="G231" s="1">
        <v>488131.92932661035</v>
      </c>
      <c r="H231" s="1">
        <v>488131.92932661035</v>
      </c>
      <c r="I231" s="1">
        <v>488131.92932661035</v>
      </c>
      <c r="J231" s="1">
        <v>488131.92932661035</v>
      </c>
      <c r="K231" s="1">
        <v>488131.92932661035</v>
      </c>
      <c r="L231" s="1">
        <v>488131.92932661035</v>
      </c>
      <c r="M231" s="1">
        <v>307671.03424222715</v>
      </c>
      <c r="N231" s="1">
        <v>307671.03424222715</v>
      </c>
      <c r="O231" s="1">
        <v>246531.277437682</v>
      </c>
      <c r="P231" s="1">
        <v>246531.277437682</v>
      </c>
      <c r="Q231" s="1">
        <v>345143.78841275477</v>
      </c>
      <c r="R231" s="1">
        <v>345143.78841275477</v>
      </c>
      <c r="S231" s="1">
        <v>345143.78841275477</v>
      </c>
      <c r="T231" s="1">
        <v>345143.78841275477</v>
      </c>
      <c r="U231" s="1">
        <v>345143.78841275477</v>
      </c>
      <c r="V231" s="1">
        <v>345143.78841275477</v>
      </c>
      <c r="W231" s="4">
        <f t="shared" si="10"/>
        <v>3444535.0083592925</v>
      </c>
      <c r="X231" s="4">
        <f t="shared" si="11"/>
        <v>3444535.0083592925</v>
      </c>
      <c r="Y231" s="5">
        <f t="shared" si="12"/>
        <v>0.58216666666666661</v>
      </c>
    </row>
    <row r="232" spans="1:25" x14ac:dyDescent="0.25">
      <c r="A232" s="1" t="s">
        <v>81</v>
      </c>
      <c r="B232" s="1" t="s">
        <v>69</v>
      </c>
      <c r="C232" s="1" t="s">
        <v>28</v>
      </c>
      <c r="D232" s="1">
        <v>8615870.6825547982</v>
      </c>
      <c r="E232" s="1">
        <v>568647.46504861675</v>
      </c>
      <c r="F232" s="1">
        <v>568647.46504861675</v>
      </c>
      <c r="G232" s="1">
        <v>710809.33131077094</v>
      </c>
      <c r="H232" s="1">
        <v>710809.33131077094</v>
      </c>
      <c r="I232" s="1">
        <v>710809.33131077094</v>
      </c>
      <c r="J232" s="1">
        <v>710809.33131077094</v>
      </c>
      <c r="K232" s="1">
        <v>710809.33131077094</v>
      </c>
      <c r="L232" s="1">
        <v>710809.33131077094</v>
      </c>
      <c r="M232" s="1">
        <v>432947.50179837859</v>
      </c>
      <c r="N232" s="1">
        <v>432947.50179837859</v>
      </c>
      <c r="O232" s="1">
        <v>360789.58483198215</v>
      </c>
      <c r="P232" s="1">
        <v>360789.58483198215</v>
      </c>
      <c r="Q232" s="1">
        <v>505105.41876477498</v>
      </c>
      <c r="R232" s="1">
        <v>505105.41876477498</v>
      </c>
      <c r="S232" s="1">
        <v>505105.41876477498</v>
      </c>
      <c r="T232" s="1">
        <v>505105.41876477498</v>
      </c>
      <c r="U232" s="1">
        <v>505105.41876477498</v>
      </c>
      <c r="V232" s="1">
        <v>505105.41876477498</v>
      </c>
      <c r="W232" s="4">
        <f t="shared" si="10"/>
        <v>5010128.8019056153</v>
      </c>
      <c r="X232" s="4">
        <f t="shared" si="11"/>
        <v>5010128.8019056153</v>
      </c>
      <c r="Y232" s="5">
        <f t="shared" si="12"/>
        <v>0.58150000000000002</v>
      </c>
    </row>
    <row r="233" spans="1:25" x14ac:dyDescent="0.25">
      <c r="A233" s="1" t="s">
        <v>81</v>
      </c>
      <c r="B233" s="1" t="s">
        <v>70</v>
      </c>
      <c r="C233" s="1" t="s">
        <v>23</v>
      </c>
      <c r="D233" s="1">
        <v>8268750.0182812503</v>
      </c>
      <c r="E233" s="1">
        <v>545737.50120656262</v>
      </c>
      <c r="F233" s="1">
        <v>545737.50120656262</v>
      </c>
      <c r="G233" s="1">
        <v>682171.87650820322</v>
      </c>
      <c r="H233" s="1">
        <v>682171.87650820322</v>
      </c>
      <c r="I233" s="1">
        <v>682171.87650820322</v>
      </c>
      <c r="J233" s="1">
        <v>682171.87650820322</v>
      </c>
      <c r="K233" s="1">
        <v>682171.87650820322</v>
      </c>
      <c r="L233" s="1">
        <v>682171.87650820322</v>
      </c>
      <c r="M233" s="1">
        <v>415504.68841863284</v>
      </c>
      <c r="N233" s="1">
        <v>415504.68841863284</v>
      </c>
      <c r="O233" s="1">
        <v>346253.90701552737</v>
      </c>
      <c r="P233" s="1">
        <v>346253.90701552737</v>
      </c>
      <c r="Q233" s="1">
        <v>484755.46982173825</v>
      </c>
      <c r="R233" s="1">
        <v>484755.46982173825</v>
      </c>
      <c r="S233" s="1">
        <v>484755.46982173825</v>
      </c>
      <c r="T233" s="1">
        <v>484755.46982173825</v>
      </c>
      <c r="U233" s="1">
        <v>484755.46982173825</v>
      </c>
      <c r="V233" s="1">
        <v>484755.46982173825</v>
      </c>
      <c r="W233" s="4">
        <f t="shared" si="10"/>
        <v>4808278.135630548</v>
      </c>
      <c r="X233" s="4">
        <f t="shared" si="11"/>
        <v>4808278.135630548</v>
      </c>
      <c r="Y233" s="5">
        <f t="shared" si="12"/>
        <v>0.58150000000000013</v>
      </c>
    </row>
    <row r="234" spans="1:25" x14ac:dyDescent="0.25">
      <c r="A234" s="1" t="s">
        <v>81</v>
      </c>
      <c r="B234" s="1" t="s">
        <v>71</v>
      </c>
      <c r="C234" s="1" t="s">
        <v>29</v>
      </c>
      <c r="D234" s="1">
        <v>7094565.5711538428</v>
      </c>
      <c r="E234" s="1">
        <v>468241.32769615366</v>
      </c>
      <c r="F234" s="1">
        <v>468241.32769615366</v>
      </c>
      <c r="G234" s="1">
        <v>585301.65962019202</v>
      </c>
      <c r="H234" s="1">
        <v>585301.65962019202</v>
      </c>
      <c r="I234" s="1">
        <v>585301.65962019202</v>
      </c>
      <c r="J234" s="1">
        <v>585301.65962019202</v>
      </c>
      <c r="K234" s="1">
        <v>585301.65962019202</v>
      </c>
      <c r="L234" s="1">
        <v>585301.65962019202</v>
      </c>
      <c r="M234" s="1">
        <v>356501.91995048057</v>
      </c>
      <c r="N234" s="1">
        <v>356501.91995048057</v>
      </c>
      <c r="O234" s="1">
        <v>297084.93329206714</v>
      </c>
      <c r="P234" s="1">
        <v>297084.93329206714</v>
      </c>
      <c r="Q234" s="1">
        <v>415918.906608894</v>
      </c>
      <c r="R234" s="1">
        <v>415918.906608894</v>
      </c>
      <c r="S234" s="1">
        <v>415918.906608894</v>
      </c>
      <c r="T234" s="1">
        <v>415918.906608894</v>
      </c>
      <c r="U234" s="1">
        <v>415918.906608894</v>
      </c>
      <c r="V234" s="1">
        <v>415918.906608894</v>
      </c>
      <c r="W234" s="4">
        <f t="shared" si="10"/>
        <v>4125489.8796259593</v>
      </c>
      <c r="X234" s="4">
        <f t="shared" si="11"/>
        <v>4125489.8796259593</v>
      </c>
      <c r="Y234" s="5">
        <f t="shared" si="12"/>
        <v>0.58149999999999991</v>
      </c>
    </row>
    <row r="235" spans="1:25" x14ac:dyDescent="0.25">
      <c r="A235" s="1" t="s">
        <v>81</v>
      </c>
      <c r="B235" s="1" t="s">
        <v>72</v>
      </c>
      <c r="C235" s="1" t="s">
        <v>73</v>
      </c>
      <c r="D235" s="1">
        <v>9201439.4880805071</v>
      </c>
      <c r="E235" s="1">
        <v>607295.00621331355</v>
      </c>
      <c r="F235" s="1">
        <v>607295.00621331355</v>
      </c>
      <c r="G235" s="1">
        <v>759118.75776664191</v>
      </c>
      <c r="H235" s="1">
        <v>759118.75776664191</v>
      </c>
      <c r="I235" s="1">
        <v>759118.75776664191</v>
      </c>
      <c r="J235" s="1">
        <v>759118.75776664191</v>
      </c>
      <c r="K235" s="1">
        <v>759118.75776664191</v>
      </c>
      <c r="L235" s="1">
        <v>759118.75776664191</v>
      </c>
      <c r="M235" s="1">
        <v>462372.33427604544</v>
      </c>
      <c r="N235" s="1">
        <v>462372.33427604544</v>
      </c>
      <c r="O235" s="1">
        <v>385310.27856337122</v>
      </c>
      <c r="P235" s="1">
        <v>385310.27856337122</v>
      </c>
      <c r="Q235" s="1">
        <v>539434.38998871972</v>
      </c>
      <c r="R235" s="1">
        <v>539434.38998871972</v>
      </c>
      <c r="S235" s="1">
        <v>539434.38998871972</v>
      </c>
      <c r="T235" s="1">
        <v>539434.38998871972</v>
      </c>
      <c r="U235" s="1">
        <v>539434.38998871972</v>
      </c>
      <c r="V235" s="1">
        <v>539434.38998871972</v>
      </c>
      <c r="W235" s="4">
        <f t="shared" si="10"/>
        <v>5350637.0623188149</v>
      </c>
      <c r="X235" s="4">
        <f t="shared" si="11"/>
        <v>5350637.0623188149</v>
      </c>
      <c r="Y235" s="5">
        <f t="shared" si="12"/>
        <v>0.58150000000000002</v>
      </c>
    </row>
    <row r="236" spans="1:25" x14ac:dyDescent="0.25">
      <c r="A236" s="1" t="s">
        <v>81</v>
      </c>
      <c r="B236" s="1" t="s">
        <v>48</v>
      </c>
      <c r="C236" s="1" t="s">
        <v>49</v>
      </c>
      <c r="D236" s="1">
        <v>5917601.3300194787</v>
      </c>
      <c r="E236" s="1">
        <v>390561.68778128567</v>
      </c>
      <c r="F236" s="1">
        <v>390561.68778128567</v>
      </c>
      <c r="G236" s="1">
        <v>488202.10972660704</v>
      </c>
      <c r="H236" s="1">
        <v>488202.10972660704</v>
      </c>
      <c r="I236" s="1">
        <v>488202.10972660704</v>
      </c>
      <c r="J236" s="1">
        <v>488202.10972660704</v>
      </c>
      <c r="K236" s="1">
        <v>488202.10972660704</v>
      </c>
      <c r="L236" s="1">
        <v>488202.10972660704</v>
      </c>
      <c r="M236" s="1">
        <v>297359.46683347883</v>
      </c>
      <c r="N236" s="1">
        <v>297359.46683347883</v>
      </c>
      <c r="O236" s="1">
        <v>247799.5556945657</v>
      </c>
      <c r="P236" s="1">
        <v>247799.5556945657</v>
      </c>
      <c r="Q236" s="1">
        <v>346919.37797239196</v>
      </c>
      <c r="R236" s="1">
        <v>346919.37797239196</v>
      </c>
      <c r="S236" s="1">
        <v>346919.37797239196</v>
      </c>
      <c r="T236" s="1">
        <v>346919.37797239196</v>
      </c>
      <c r="U236" s="1">
        <v>346919.37797239196</v>
      </c>
      <c r="V236" s="1">
        <v>346919.37797239196</v>
      </c>
      <c r="W236" s="4">
        <f t="shared" si="10"/>
        <v>3441085.1734063267</v>
      </c>
      <c r="X236" s="4">
        <f t="shared" si="11"/>
        <v>3441085.1734063267</v>
      </c>
      <c r="Y236" s="5">
        <f t="shared" si="12"/>
        <v>0.58150000000000002</v>
      </c>
    </row>
    <row r="237" spans="1:25" x14ac:dyDescent="0.25">
      <c r="A237" s="1" t="s">
        <v>81</v>
      </c>
      <c r="B237" s="1" t="s">
        <v>53</v>
      </c>
      <c r="C237" s="1" t="s">
        <v>30</v>
      </c>
      <c r="D237" s="1">
        <v>3286014.9262045384</v>
      </c>
      <c r="E237" s="1">
        <v>216876.98512949955</v>
      </c>
      <c r="F237" s="1">
        <v>216876.98512949955</v>
      </c>
      <c r="G237" s="1">
        <v>271096.23141187441</v>
      </c>
      <c r="H237" s="1">
        <v>271096.23141187441</v>
      </c>
      <c r="I237" s="1">
        <v>271096.23141187441</v>
      </c>
      <c r="J237" s="1">
        <v>271096.23141187441</v>
      </c>
      <c r="K237" s="1">
        <v>271096.23141187441</v>
      </c>
      <c r="L237" s="1">
        <v>271096.23141187441</v>
      </c>
      <c r="M237" s="1">
        <v>165122.25004177805</v>
      </c>
      <c r="N237" s="1">
        <v>165122.25004177805</v>
      </c>
      <c r="O237" s="1">
        <v>137601.87503481505</v>
      </c>
      <c r="P237" s="1">
        <v>137601.87503481505</v>
      </c>
      <c r="Q237" s="1">
        <v>192642.62504874106</v>
      </c>
      <c r="R237" s="1">
        <v>192642.62504874106</v>
      </c>
      <c r="S237" s="1">
        <v>192642.62504874106</v>
      </c>
      <c r="T237" s="1">
        <v>192642.62504874106</v>
      </c>
      <c r="U237" s="1">
        <v>192642.62504874106</v>
      </c>
      <c r="V237" s="1">
        <v>192642.62504874106</v>
      </c>
      <c r="W237" s="4">
        <f t="shared" si="10"/>
        <v>1910817.6795879391</v>
      </c>
      <c r="X237" s="4">
        <f t="shared" si="11"/>
        <v>1910817.6795879391</v>
      </c>
      <c r="Y237" s="5">
        <f t="shared" si="12"/>
        <v>0.58150000000000002</v>
      </c>
    </row>
    <row r="238" spans="1:25" x14ac:dyDescent="0.25">
      <c r="A238" s="1" t="s">
        <v>81</v>
      </c>
      <c r="B238" s="1" t="s">
        <v>74</v>
      </c>
      <c r="C238" s="1" t="s">
        <v>75</v>
      </c>
      <c r="D238" s="1">
        <v>4455225.798066834</v>
      </c>
      <c r="E238" s="1">
        <v>294044.90267241106</v>
      </c>
      <c r="F238" s="1">
        <v>294044.90267241106</v>
      </c>
      <c r="G238" s="1">
        <v>367556.12834051379</v>
      </c>
      <c r="H238" s="1">
        <v>367556.12834051379</v>
      </c>
      <c r="I238" s="1">
        <v>367556.12834051379</v>
      </c>
      <c r="J238" s="1">
        <v>367556.12834051379</v>
      </c>
      <c r="K238" s="1">
        <v>367556.12834051379</v>
      </c>
      <c r="L238" s="1">
        <v>367556.12834051379</v>
      </c>
      <c r="M238" s="1">
        <v>223875.09635285841</v>
      </c>
      <c r="N238" s="1">
        <v>223875.09635285841</v>
      </c>
      <c r="O238" s="1">
        <v>186562.58029404868</v>
      </c>
      <c r="P238" s="1">
        <v>186562.58029404868</v>
      </c>
      <c r="Q238" s="1">
        <v>261187.61241166812</v>
      </c>
      <c r="R238" s="1">
        <v>261187.61241166812</v>
      </c>
      <c r="S238" s="1">
        <v>261187.61241166812</v>
      </c>
      <c r="T238" s="1">
        <v>261187.61241166812</v>
      </c>
      <c r="U238" s="1">
        <v>261187.61241166812</v>
      </c>
      <c r="V238" s="1">
        <v>261187.61241166812</v>
      </c>
      <c r="W238" s="4">
        <f t="shared" si="10"/>
        <v>2590713.8015758642</v>
      </c>
      <c r="X238" s="4">
        <f t="shared" si="11"/>
        <v>2590713.8015758642</v>
      </c>
      <c r="Y238" s="5">
        <f t="shared" si="12"/>
        <v>0.58150000000000002</v>
      </c>
    </row>
    <row r="239" spans="1:25" x14ac:dyDescent="0.25">
      <c r="A239" s="1" t="s">
        <v>81</v>
      </c>
      <c r="B239" s="1" t="s">
        <v>50</v>
      </c>
      <c r="C239" s="1" t="s">
        <v>25</v>
      </c>
      <c r="D239" s="1">
        <v>6213481.3965204507</v>
      </c>
      <c r="E239" s="1">
        <v>410089.77217034978</v>
      </c>
      <c r="F239" s="1">
        <v>410089.77217034978</v>
      </c>
      <c r="G239" s="1">
        <v>512612.21521293721</v>
      </c>
      <c r="H239" s="1">
        <v>512612.21521293721</v>
      </c>
      <c r="I239" s="1">
        <v>512612.21521293721</v>
      </c>
      <c r="J239" s="1">
        <v>512612.21521293721</v>
      </c>
      <c r="K239" s="1">
        <v>512612.21521293721</v>
      </c>
      <c r="L239" s="1">
        <v>512612.21521293721</v>
      </c>
      <c r="M239" s="1">
        <v>312227.44017515262</v>
      </c>
      <c r="N239" s="1">
        <v>312227.44017515262</v>
      </c>
      <c r="O239" s="1">
        <v>260189.53347929387</v>
      </c>
      <c r="P239" s="1">
        <v>260189.53347929387</v>
      </c>
      <c r="Q239" s="1">
        <v>364265.34687101137</v>
      </c>
      <c r="R239" s="1">
        <v>364265.34687101137</v>
      </c>
      <c r="S239" s="1">
        <v>364265.34687101137</v>
      </c>
      <c r="T239" s="1">
        <v>364265.34687101137</v>
      </c>
      <c r="U239" s="1">
        <v>364265.34687101137</v>
      </c>
      <c r="V239" s="1">
        <v>364265.34687101137</v>
      </c>
      <c r="W239" s="4">
        <f t="shared" si="10"/>
        <v>3613139.4320766423</v>
      </c>
      <c r="X239" s="4">
        <f t="shared" si="11"/>
        <v>3613139.4320766423</v>
      </c>
      <c r="Y239" s="5">
        <f t="shared" si="12"/>
        <v>0.58150000000000002</v>
      </c>
    </row>
    <row r="240" spans="1:25" x14ac:dyDescent="0.25">
      <c r="A240" s="1" t="s">
        <v>82</v>
      </c>
      <c r="B240" s="1" t="s">
        <v>59</v>
      </c>
      <c r="C240" s="1" t="s">
        <v>26</v>
      </c>
      <c r="D240" s="1">
        <v>41167334</v>
      </c>
      <c r="E240" s="1">
        <v>3650695.5538384984</v>
      </c>
      <c r="F240" s="1">
        <v>3650695.5538384984</v>
      </c>
      <c r="G240" s="1">
        <v>4563369.4422981227</v>
      </c>
      <c r="H240" s="1">
        <v>4563369.4422981227</v>
      </c>
      <c r="I240" s="1">
        <v>4563369.4422981227</v>
      </c>
      <c r="J240" s="1">
        <v>4563369.4422981227</v>
      </c>
      <c r="K240" s="1">
        <v>4563369.4422981227</v>
      </c>
      <c r="L240" s="1">
        <v>4563369.4422981227</v>
      </c>
      <c r="M240" s="1">
        <v>2864232.0288509391</v>
      </c>
      <c r="N240" s="1">
        <v>2864232.0288509391</v>
      </c>
      <c r="O240" s="1">
        <v>2864232.0288509391</v>
      </c>
      <c r="P240" s="1">
        <v>2864232.0288509391</v>
      </c>
      <c r="Q240" s="1">
        <v>2864232.0288509391</v>
      </c>
      <c r="R240" s="1">
        <v>2864232.0288509391</v>
      </c>
      <c r="S240" s="1">
        <v>2864232.0288509391</v>
      </c>
      <c r="T240" s="1">
        <v>2864232.0288509391</v>
      </c>
      <c r="U240" s="1">
        <v>2864232.0288509391</v>
      </c>
      <c r="V240" s="1">
        <v>2864232.0288509391</v>
      </c>
      <c r="W240" s="4">
        <f t="shared" si="10"/>
        <v>31661964.02498756</v>
      </c>
      <c r="X240" s="4">
        <f t="shared" si="11"/>
        <v>31661964.02498756</v>
      </c>
      <c r="Y240" s="5">
        <f t="shared" si="12"/>
        <v>0.76910406743821591</v>
      </c>
    </row>
    <row r="241" spans="1:25" x14ac:dyDescent="0.25">
      <c r="A241" s="1" t="s">
        <v>82</v>
      </c>
      <c r="B241" s="1" t="s">
        <v>60</v>
      </c>
      <c r="C241" s="1" t="s">
        <v>26</v>
      </c>
      <c r="D241" s="1">
        <v>14146235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7073117.5</v>
      </c>
      <c r="N241" s="1">
        <v>7073117.5</v>
      </c>
      <c r="O241" s="1">
        <v>7073117.5</v>
      </c>
      <c r="P241" s="1">
        <v>7073117.5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4">
        <f t="shared" si="10"/>
        <v>14146235</v>
      </c>
      <c r="X241" s="4">
        <f t="shared" si="11"/>
        <v>14146235</v>
      </c>
      <c r="Y241" s="5">
        <f t="shared" si="12"/>
        <v>1</v>
      </c>
    </row>
    <row r="242" spans="1:25" x14ac:dyDescent="0.25">
      <c r="A242" s="1" t="s">
        <v>82</v>
      </c>
      <c r="B242" s="1" t="s">
        <v>33</v>
      </c>
      <c r="C242" s="1" t="s">
        <v>34</v>
      </c>
      <c r="D242" s="1">
        <v>60000000</v>
      </c>
      <c r="E242" s="1">
        <v>0</v>
      </c>
      <c r="F242" s="1">
        <v>0</v>
      </c>
      <c r="G242" s="1">
        <v>12000000</v>
      </c>
      <c r="H242" s="1">
        <v>12000000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18000000</v>
      </c>
      <c r="P242" s="1">
        <v>18000000</v>
      </c>
      <c r="Q242" s="1">
        <v>0</v>
      </c>
      <c r="R242" s="1">
        <v>0</v>
      </c>
      <c r="S242" s="1">
        <v>18000000</v>
      </c>
      <c r="T242" s="1">
        <v>18000000</v>
      </c>
      <c r="U242" s="1">
        <v>12000000</v>
      </c>
      <c r="V242" s="1">
        <v>12000000</v>
      </c>
      <c r="W242" s="4">
        <f t="shared" si="10"/>
        <v>60000000</v>
      </c>
      <c r="X242" s="4">
        <f t="shared" si="11"/>
        <v>60000000</v>
      </c>
      <c r="Y242" s="5">
        <f t="shared" si="12"/>
        <v>1</v>
      </c>
    </row>
    <row r="243" spans="1:25" x14ac:dyDescent="0.25">
      <c r="A243" s="1" t="s">
        <v>82</v>
      </c>
      <c r="B243" s="1" t="s">
        <v>35</v>
      </c>
      <c r="C243" s="1" t="s">
        <v>34</v>
      </c>
      <c r="D243" s="1">
        <v>150000000</v>
      </c>
      <c r="E243" s="1">
        <v>0</v>
      </c>
      <c r="F243" s="1">
        <v>0</v>
      </c>
      <c r="G243" s="1">
        <v>41250000</v>
      </c>
      <c r="H243" s="1">
        <v>41250000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36250000</v>
      </c>
      <c r="P243" s="1">
        <v>36250000</v>
      </c>
      <c r="Q243" s="1">
        <v>0</v>
      </c>
      <c r="R243" s="1">
        <v>0</v>
      </c>
      <c r="S243" s="1">
        <v>36250000</v>
      </c>
      <c r="T243" s="1">
        <v>36250000</v>
      </c>
      <c r="U243" s="1">
        <v>36250000</v>
      </c>
      <c r="V243" s="1">
        <v>36250000</v>
      </c>
      <c r="W243" s="4">
        <f t="shared" si="10"/>
        <v>150000000</v>
      </c>
      <c r="X243" s="4">
        <f t="shared" si="11"/>
        <v>150000000</v>
      </c>
      <c r="Y243" s="5">
        <f t="shared" si="12"/>
        <v>1</v>
      </c>
    </row>
    <row r="244" spans="1:25" x14ac:dyDescent="0.25">
      <c r="A244" s="1" t="s">
        <v>82</v>
      </c>
      <c r="B244" s="1" t="s">
        <v>38</v>
      </c>
      <c r="C244" s="1" t="s">
        <v>39</v>
      </c>
      <c r="D244" s="1">
        <v>6650151.224864806</v>
      </c>
      <c r="E244" s="1">
        <v>438909.98084107722</v>
      </c>
      <c r="F244" s="1">
        <v>438909.98084107722</v>
      </c>
      <c r="G244" s="1">
        <v>548637.47605134652</v>
      </c>
      <c r="H244" s="1">
        <v>548637.47605134652</v>
      </c>
      <c r="I244" s="1">
        <v>548637.47605134652</v>
      </c>
      <c r="J244" s="1">
        <v>548637.47605134652</v>
      </c>
      <c r="K244" s="1">
        <v>548637.47605134652</v>
      </c>
      <c r="L244" s="1">
        <v>548637.47605134652</v>
      </c>
      <c r="M244" s="1">
        <v>334170.09904945653</v>
      </c>
      <c r="N244" s="1">
        <v>334170.09904945653</v>
      </c>
      <c r="O244" s="1">
        <v>278475.08254121378</v>
      </c>
      <c r="P244" s="1">
        <v>278475.08254121378</v>
      </c>
      <c r="Q244" s="1">
        <v>389865.11555769929</v>
      </c>
      <c r="R244" s="1">
        <v>389865.11555769929</v>
      </c>
      <c r="S244" s="1">
        <v>389865.11555769929</v>
      </c>
      <c r="T244" s="1">
        <v>389865.11555769929</v>
      </c>
      <c r="U244" s="1">
        <v>389865.11555769929</v>
      </c>
      <c r="V244" s="1">
        <v>389865.11555769929</v>
      </c>
      <c r="W244" s="4">
        <f t="shared" si="10"/>
        <v>3867062.9372588848</v>
      </c>
      <c r="X244" s="4">
        <f t="shared" si="11"/>
        <v>3867062.9372588848</v>
      </c>
      <c r="Y244" s="5">
        <f t="shared" si="12"/>
        <v>0.58150000000000002</v>
      </c>
    </row>
    <row r="245" spans="1:25" x14ac:dyDescent="0.25">
      <c r="A245" s="1" t="s">
        <v>82</v>
      </c>
      <c r="B245" s="1" t="s">
        <v>61</v>
      </c>
      <c r="C245" s="1" t="s">
        <v>34</v>
      </c>
      <c r="D245" s="1">
        <v>91481905</v>
      </c>
      <c r="E245" s="1">
        <v>0</v>
      </c>
      <c r="F245" s="1">
        <v>0</v>
      </c>
      <c r="G245" s="1">
        <v>7318552.3991664015</v>
      </c>
      <c r="H245" s="1">
        <v>7318552.3991664015</v>
      </c>
      <c r="I245" s="1">
        <v>0</v>
      </c>
      <c r="J245" s="1">
        <v>0</v>
      </c>
      <c r="K245" s="1">
        <v>0</v>
      </c>
      <c r="L245" s="1">
        <v>0</v>
      </c>
      <c r="M245" s="1">
        <v>21040838.150208399</v>
      </c>
      <c r="N245" s="1">
        <v>21040838.150208399</v>
      </c>
      <c r="O245" s="1">
        <v>0</v>
      </c>
      <c r="P245" s="1">
        <v>0</v>
      </c>
      <c r="Q245" s="1">
        <v>0</v>
      </c>
      <c r="R245" s="1">
        <v>0</v>
      </c>
      <c r="S245" s="1">
        <v>31561257.225312598</v>
      </c>
      <c r="T245" s="1">
        <v>31561257.225312598</v>
      </c>
      <c r="U245" s="1">
        <v>0</v>
      </c>
      <c r="V245" s="1">
        <v>0</v>
      </c>
      <c r="W245" s="4">
        <f t="shared" si="10"/>
        <v>59920647.774687394</v>
      </c>
      <c r="X245" s="4">
        <f t="shared" si="11"/>
        <v>59920647.774687394</v>
      </c>
      <c r="Y245" s="5">
        <f t="shared" si="12"/>
        <v>0.65499999999658287</v>
      </c>
    </row>
    <row r="246" spans="1:25" x14ac:dyDescent="0.25">
      <c r="A246" s="1" t="s">
        <v>82</v>
      </c>
      <c r="B246" s="1" t="s">
        <v>62</v>
      </c>
      <c r="C246" s="1" t="s">
        <v>63</v>
      </c>
      <c r="D246" s="1">
        <v>50642857</v>
      </c>
      <c r="E246" s="1">
        <v>14079999.999120001</v>
      </c>
      <c r="F246" s="1">
        <v>14079999.999120001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2478214.2857967857</v>
      </c>
      <c r="N246" s="1">
        <v>2478214.2857967857</v>
      </c>
      <c r="O246" s="1">
        <v>2065178.5714973214</v>
      </c>
      <c r="P246" s="1">
        <v>2065178.5714973214</v>
      </c>
      <c r="Q246" s="1">
        <v>2891250.0000962499</v>
      </c>
      <c r="R246" s="1">
        <v>2891250.0000962499</v>
      </c>
      <c r="S246" s="1">
        <v>2891250.0000962499</v>
      </c>
      <c r="T246" s="1">
        <v>2891250.0000962499</v>
      </c>
      <c r="U246" s="1">
        <v>2891250.0000962499</v>
      </c>
      <c r="V246" s="1">
        <v>2891250.0000962499</v>
      </c>
      <c r="W246" s="4">
        <f t="shared" si="10"/>
        <v>27297142.856702857</v>
      </c>
      <c r="X246" s="4">
        <f t="shared" si="11"/>
        <v>27297142.856702857</v>
      </c>
      <c r="Y246" s="5">
        <f t="shared" si="12"/>
        <v>0.53901269544691877</v>
      </c>
    </row>
    <row r="247" spans="1:25" x14ac:dyDescent="0.25">
      <c r="A247" s="1" t="s">
        <v>82</v>
      </c>
      <c r="B247" s="1" t="s">
        <v>40</v>
      </c>
      <c r="C247" s="1" t="s">
        <v>27</v>
      </c>
      <c r="D247" s="1">
        <v>77055615.000000015</v>
      </c>
      <c r="E247" s="1">
        <v>6118067.9166666996</v>
      </c>
      <c r="F247" s="1">
        <v>6118067.9166666996</v>
      </c>
      <c r="G247" s="1">
        <v>6912664.4350689445</v>
      </c>
      <c r="H247" s="1">
        <v>6912664.4350689445</v>
      </c>
      <c r="I247" s="1">
        <v>5703102.0833333302</v>
      </c>
      <c r="J247" s="1">
        <v>5703102.0833333302</v>
      </c>
      <c r="K247" s="1">
        <v>5862202.75</v>
      </c>
      <c r="L247" s="1">
        <v>5862202.75</v>
      </c>
      <c r="M247" s="1">
        <v>9399825.7361982688</v>
      </c>
      <c r="N247" s="1">
        <v>9399825.7361982688</v>
      </c>
      <c r="O247" s="1">
        <v>19158830.578732759</v>
      </c>
      <c r="P247" s="1">
        <v>19158830.578732759</v>
      </c>
      <c r="Q247" s="1">
        <v>9140462.416666666</v>
      </c>
      <c r="R247" s="1">
        <v>9140462.416666666</v>
      </c>
      <c r="S247" s="1">
        <v>5748849.916666667</v>
      </c>
      <c r="T247" s="1">
        <v>5748849.916666667</v>
      </c>
      <c r="U247" s="1">
        <v>1494753.9166666665</v>
      </c>
      <c r="V247" s="1">
        <v>1494753.9166666665</v>
      </c>
      <c r="W247" s="4">
        <f t="shared" si="10"/>
        <v>69538759.75</v>
      </c>
      <c r="X247" s="4">
        <f t="shared" si="11"/>
        <v>69538759.75</v>
      </c>
      <c r="Y247" s="5">
        <f t="shared" si="12"/>
        <v>0.90244896170123345</v>
      </c>
    </row>
    <row r="248" spans="1:25" x14ac:dyDescent="0.25">
      <c r="A248" s="1" t="s">
        <v>82</v>
      </c>
      <c r="B248" s="1" t="s">
        <v>41</v>
      </c>
      <c r="C248" s="1" t="s">
        <v>27</v>
      </c>
      <c r="D248" s="1">
        <v>30242862</v>
      </c>
      <c r="E248" s="1">
        <v>10121431</v>
      </c>
      <c r="F248" s="1">
        <v>10121431</v>
      </c>
      <c r="G248" s="1">
        <v>10121431</v>
      </c>
      <c r="H248" s="1">
        <v>10121431</v>
      </c>
      <c r="I248" s="1">
        <v>0</v>
      </c>
      <c r="J248" s="1">
        <v>0</v>
      </c>
      <c r="K248" s="1">
        <v>0</v>
      </c>
      <c r="L248" s="1">
        <v>0</v>
      </c>
      <c r="M248" s="1">
        <v>3750000</v>
      </c>
      <c r="N248" s="1">
        <v>3750000</v>
      </c>
      <c r="O248" s="1">
        <v>2500000</v>
      </c>
      <c r="P248" s="1">
        <v>2500000</v>
      </c>
      <c r="Q248" s="1">
        <v>3750000</v>
      </c>
      <c r="R248" s="1">
        <v>3750000</v>
      </c>
      <c r="S248" s="1">
        <v>0</v>
      </c>
      <c r="T248" s="1">
        <v>0</v>
      </c>
      <c r="U248" s="1">
        <v>0</v>
      </c>
      <c r="V248" s="1">
        <v>0</v>
      </c>
      <c r="W248" s="4">
        <f t="shared" si="10"/>
        <v>30242862</v>
      </c>
      <c r="X248" s="4">
        <f t="shared" si="11"/>
        <v>30242862</v>
      </c>
      <c r="Y248" s="5">
        <f t="shared" si="12"/>
        <v>1</v>
      </c>
    </row>
    <row r="249" spans="1:25" x14ac:dyDescent="0.25">
      <c r="A249" s="1" t="s">
        <v>82</v>
      </c>
      <c r="B249" s="1" t="s">
        <v>42</v>
      </c>
      <c r="C249" s="1" t="s">
        <v>27</v>
      </c>
      <c r="D249" s="1">
        <v>166188730</v>
      </c>
      <c r="E249" s="1">
        <v>0</v>
      </c>
      <c r="F249" s="1">
        <v>0</v>
      </c>
      <c r="G249" s="1">
        <v>19075523</v>
      </c>
      <c r="H249" s="1">
        <v>19075523</v>
      </c>
      <c r="I249" s="1">
        <v>26336356</v>
      </c>
      <c r="J249" s="1">
        <v>26336356</v>
      </c>
      <c r="K249" s="1">
        <v>0</v>
      </c>
      <c r="L249" s="1">
        <v>0</v>
      </c>
      <c r="M249" s="1">
        <v>35415185.625</v>
      </c>
      <c r="N249" s="1">
        <v>35415185.625</v>
      </c>
      <c r="O249" s="1">
        <v>49946479.75</v>
      </c>
      <c r="P249" s="1">
        <v>49946479.75</v>
      </c>
      <c r="Q249" s="1">
        <v>35415185.625</v>
      </c>
      <c r="R249" s="1">
        <v>35415185.625</v>
      </c>
      <c r="S249" s="1">
        <v>0</v>
      </c>
      <c r="T249" s="1">
        <v>0</v>
      </c>
      <c r="U249" s="1">
        <v>0</v>
      </c>
      <c r="V249" s="1">
        <v>0</v>
      </c>
      <c r="W249" s="4">
        <f t="shared" si="10"/>
        <v>166188730</v>
      </c>
      <c r="X249" s="4">
        <f t="shared" si="11"/>
        <v>166188730</v>
      </c>
      <c r="Y249" s="5">
        <f t="shared" si="12"/>
        <v>1</v>
      </c>
    </row>
    <row r="250" spans="1:25" x14ac:dyDescent="0.25">
      <c r="A250" s="1" t="s">
        <v>82</v>
      </c>
      <c r="B250" s="1" t="s">
        <v>43</v>
      </c>
      <c r="C250" s="1" t="s">
        <v>31</v>
      </c>
      <c r="D250" s="1">
        <v>6690520</v>
      </c>
      <c r="E250" s="1">
        <v>388641.6299916667</v>
      </c>
      <c r="F250" s="1">
        <v>388641.6299916667</v>
      </c>
      <c r="G250" s="1">
        <v>485802.03748958337</v>
      </c>
      <c r="H250" s="1">
        <v>485802.03748958337</v>
      </c>
      <c r="I250" s="1">
        <v>485802.03748958337</v>
      </c>
      <c r="J250" s="1">
        <v>485802.03748958337</v>
      </c>
      <c r="K250" s="1">
        <v>485802.03748958337</v>
      </c>
      <c r="L250" s="1">
        <v>485802.03748958337</v>
      </c>
      <c r="M250" s="1">
        <v>361230.04314510629</v>
      </c>
      <c r="N250" s="1">
        <v>361230.04314510629</v>
      </c>
      <c r="O250" s="1">
        <v>301025.03595425526</v>
      </c>
      <c r="P250" s="1">
        <v>301025.03595425526</v>
      </c>
      <c r="Q250" s="1">
        <v>373072.94267746399</v>
      </c>
      <c r="R250" s="1">
        <v>373072.94267746399</v>
      </c>
      <c r="S250" s="1">
        <v>421435.05033595732</v>
      </c>
      <c r="T250" s="1">
        <v>421435.05033595732</v>
      </c>
      <c r="U250" s="1">
        <v>421435.05033595732</v>
      </c>
      <c r="V250" s="1">
        <v>421435.05033595732</v>
      </c>
      <c r="W250" s="4">
        <f t="shared" si="10"/>
        <v>3724245.8649091567</v>
      </c>
      <c r="X250" s="4">
        <f t="shared" si="11"/>
        <v>3724245.8649091567</v>
      </c>
      <c r="Y250" s="5">
        <f t="shared" si="12"/>
        <v>0.55664520319932631</v>
      </c>
    </row>
    <row r="251" spans="1:25" x14ac:dyDescent="0.25">
      <c r="A251" s="1" t="s">
        <v>82</v>
      </c>
      <c r="B251" s="1" t="s">
        <v>64</v>
      </c>
      <c r="C251" s="1" t="s">
        <v>23</v>
      </c>
      <c r="D251" s="1">
        <v>10211019.44190781</v>
      </c>
      <c r="E251" s="1">
        <v>673927.28316591552</v>
      </c>
      <c r="F251" s="1">
        <v>673927.28316591552</v>
      </c>
      <c r="G251" s="1">
        <v>842409.10395739437</v>
      </c>
      <c r="H251" s="1">
        <v>842409.10395739437</v>
      </c>
      <c r="I251" s="1">
        <v>842409.10395739437</v>
      </c>
      <c r="J251" s="1">
        <v>842409.10395739437</v>
      </c>
      <c r="K251" s="1">
        <v>842409.10395739437</v>
      </c>
      <c r="L251" s="1">
        <v>842409.10395739437</v>
      </c>
      <c r="M251" s="1">
        <v>513103.72695586743</v>
      </c>
      <c r="N251" s="1">
        <v>513103.72695586743</v>
      </c>
      <c r="O251" s="1">
        <v>427586.43912988954</v>
      </c>
      <c r="P251" s="1">
        <v>427586.43912988954</v>
      </c>
      <c r="Q251" s="1">
        <v>598621.01478184527</v>
      </c>
      <c r="R251" s="1">
        <v>598621.01478184527</v>
      </c>
      <c r="S251" s="1">
        <v>598621.01478184527</v>
      </c>
      <c r="T251" s="1">
        <v>598621.01478184527</v>
      </c>
      <c r="U251" s="1">
        <v>598621.01478184527</v>
      </c>
      <c r="V251" s="1">
        <v>598621.01478184527</v>
      </c>
      <c r="W251" s="4">
        <f t="shared" si="10"/>
        <v>5937707.8054693909</v>
      </c>
      <c r="X251" s="4">
        <f t="shared" si="11"/>
        <v>5937707.8054693909</v>
      </c>
      <c r="Y251" s="5">
        <f t="shared" si="12"/>
        <v>0.58149999999999991</v>
      </c>
    </row>
    <row r="252" spans="1:25" x14ac:dyDescent="0.25">
      <c r="A252" s="1" t="s">
        <v>82</v>
      </c>
      <c r="B252" s="1" t="s">
        <v>65</v>
      </c>
      <c r="C252" s="1" t="s">
        <v>31</v>
      </c>
      <c r="D252" s="1">
        <v>6647534.394945533</v>
      </c>
      <c r="E252" s="1">
        <v>438737.27006640518</v>
      </c>
      <c r="F252" s="1">
        <v>438737.27006640518</v>
      </c>
      <c r="G252" s="1">
        <v>548421.58758300648</v>
      </c>
      <c r="H252" s="1">
        <v>548421.58758300648</v>
      </c>
      <c r="I252" s="1">
        <v>548421.58758300648</v>
      </c>
      <c r="J252" s="1">
        <v>548421.58758300648</v>
      </c>
      <c r="K252" s="1">
        <v>548421.58758300648</v>
      </c>
      <c r="L252" s="1">
        <v>548421.58758300648</v>
      </c>
      <c r="M252" s="1">
        <v>334038.603346013</v>
      </c>
      <c r="N252" s="1">
        <v>334038.603346013</v>
      </c>
      <c r="O252" s="1">
        <v>278365.50278834417</v>
      </c>
      <c r="P252" s="1">
        <v>278365.50278834417</v>
      </c>
      <c r="Q252" s="1">
        <v>389711.70390368183</v>
      </c>
      <c r="R252" s="1">
        <v>389711.70390368183</v>
      </c>
      <c r="S252" s="1">
        <v>389711.70390368183</v>
      </c>
      <c r="T252" s="1">
        <v>389711.70390368183</v>
      </c>
      <c r="U252" s="1">
        <v>389711.70390368183</v>
      </c>
      <c r="V252" s="1">
        <v>389711.70390368183</v>
      </c>
      <c r="W252" s="4">
        <f t="shared" si="10"/>
        <v>3865541.2506608269</v>
      </c>
      <c r="X252" s="4">
        <f t="shared" si="11"/>
        <v>3865541.2506608269</v>
      </c>
      <c r="Y252" s="5">
        <f t="shared" si="12"/>
        <v>0.58149999999999991</v>
      </c>
    </row>
    <row r="253" spans="1:25" x14ac:dyDescent="0.25">
      <c r="A253" s="1" t="s">
        <v>82</v>
      </c>
      <c r="B253" s="1" t="s">
        <v>44</v>
      </c>
      <c r="C253" s="1" t="s">
        <v>45</v>
      </c>
      <c r="D253" s="1">
        <v>6650151.224864806</v>
      </c>
      <c r="E253" s="1">
        <v>438909.98084107722</v>
      </c>
      <c r="F253" s="1">
        <v>438909.98084107722</v>
      </c>
      <c r="G253" s="1">
        <v>548637.47605134652</v>
      </c>
      <c r="H253" s="1">
        <v>548637.47605134652</v>
      </c>
      <c r="I253" s="1">
        <v>548637.47605134652</v>
      </c>
      <c r="J253" s="1">
        <v>548637.47605134652</v>
      </c>
      <c r="K253" s="1">
        <v>548637.47605134652</v>
      </c>
      <c r="L253" s="1">
        <v>548637.47605134652</v>
      </c>
      <c r="M253" s="1">
        <v>334170.09904945653</v>
      </c>
      <c r="N253" s="1">
        <v>334170.09904945653</v>
      </c>
      <c r="O253" s="1">
        <v>278475.08254121378</v>
      </c>
      <c r="P253" s="1">
        <v>278475.08254121378</v>
      </c>
      <c r="Q253" s="1">
        <v>389865.11555769929</v>
      </c>
      <c r="R253" s="1">
        <v>389865.11555769929</v>
      </c>
      <c r="S253" s="1">
        <v>389865.11555769929</v>
      </c>
      <c r="T253" s="1">
        <v>389865.11555769929</v>
      </c>
      <c r="U253" s="1">
        <v>389865.11555769929</v>
      </c>
      <c r="V253" s="1">
        <v>389865.11555769929</v>
      </c>
      <c r="W253" s="4">
        <f t="shared" si="10"/>
        <v>3867062.9372588848</v>
      </c>
      <c r="X253" s="4">
        <f t="shared" si="11"/>
        <v>3867062.9372588848</v>
      </c>
      <c r="Y253" s="5">
        <f t="shared" si="12"/>
        <v>0.58150000000000002</v>
      </c>
    </row>
    <row r="254" spans="1:25" x14ac:dyDescent="0.25">
      <c r="A254" s="1" t="s">
        <v>82</v>
      </c>
      <c r="B254" s="1" t="s">
        <v>46</v>
      </c>
      <c r="C254" s="1" t="s">
        <v>22</v>
      </c>
      <c r="D254" s="1">
        <v>67851364.098084599</v>
      </c>
      <c r="E254" s="1">
        <v>4482384.8737110784</v>
      </c>
      <c r="F254" s="1">
        <v>4482384.8737110784</v>
      </c>
      <c r="G254" s="1">
        <v>5602981.0921388473</v>
      </c>
      <c r="H254" s="1">
        <v>5602981.0921388473</v>
      </c>
      <c r="I254" s="1">
        <v>5602981.0921388473</v>
      </c>
      <c r="J254" s="1">
        <v>5602981.0921388473</v>
      </c>
      <c r="K254" s="1">
        <v>5602981.0921388473</v>
      </c>
      <c r="L254" s="1">
        <v>5602981.0921388473</v>
      </c>
      <c r="M254" s="1">
        <v>3515686.4179731994</v>
      </c>
      <c r="N254" s="1">
        <v>3515686.4179731994</v>
      </c>
      <c r="O254" s="1">
        <v>2858919.2619596231</v>
      </c>
      <c r="P254" s="1">
        <v>2858919.2619596231</v>
      </c>
      <c r="Q254" s="1">
        <v>3957996.2424581675</v>
      </c>
      <c r="R254" s="1">
        <v>3957996.2424581675</v>
      </c>
      <c r="S254" s="1">
        <v>3957996.2424581675</v>
      </c>
      <c r="T254" s="1">
        <v>3957996.2424581675</v>
      </c>
      <c r="U254" s="1">
        <v>3957996.2424581675</v>
      </c>
      <c r="V254" s="1">
        <v>3957996.2424581675</v>
      </c>
      <c r="W254" s="4">
        <f t="shared" si="10"/>
        <v>39539922.557434946</v>
      </c>
      <c r="X254" s="4">
        <f t="shared" si="11"/>
        <v>39539922.557434946</v>
      </c>
      <c r="Y254" s="5">
        <f t="shared" si="12"/>
        <v>0.58274322238056719</v>
      </c>
    </row>
    <row r="255" spans="1:25" x14ac:dyDescent="0.25">
      <c r="A255" s="1" t="s">
        <v>82</v>
      </c>
      <c r="B255" s="1" t="s">
        <v>66</v>
      </c>
      <c r="C255" s="1" t="s">
        <v>24</v>
      </c>
      <c r="D255" s="1">
        <v>199372191.62053916</v>
      </c>
      <c r="E255" s="1">
        <v>16448205.808694482</v>
      </c>
      <c r="F255" s="1">
        <v>16448205.808694482</v>
      </c>
      <c r="G255" s="1">
        <v>16448205.808694482</v>
      </c>
      <c r="H255" s="1">
        <v>16448205.808694482</v>
      </c>
      <c r="I255" s="1">
        <v>16448205.808694482</v>
      </c>
      <c r="J255" s="1">
        <v>16448205.808694482</v>
      </c>
      <c r="K255" s="1">
        <v>16448205.808694482</v>
      </c>
      <c r="L255" s="1">
        <v>16448205.808694482</v>
      </c>
      <c r="M255" s="1">
        <v>20346067.615222082</v>
      </c>
      <c r="N255" s="1">
        <v>20346067.615222082</v>
      </c>
      <c r="O255" s="1">
        <v>16564757.17</v>
      </c>
      <c r="P255" s="1">
        <v>16564757.17</v>
      </c>
      <c r="Q255" s="1">
        <v>16009757.17</v>
      </c>
      <c r="R255" s="1">
        <v>16009757.17</v>
      </c>
      <c r="S255" s="1">
        <v>16914757.170000002</v>
      </c>
      <c r="T255" s="1">
        <v>16914757.170000002</v>
      </c>
      <c r="U255" s="1">
        <v>15854757.17</v>
      </c>
      <c r="V255" s="1">
        <v>15854757.17</v>
      </c>
      <c r="W255" s="4">
        <f t="shared" si="10"/>
        <v>151482919.53000003</v>
      </c>
      <c r="X255" s="4">
        <f t="shared" si="11"/>
        <v>151482919.53000003</v>
      </c>
      <c r="Y255" s="5">
        <f t="shared" si="12"/>
        <v>0.75979964055525984</v>
      </c>
    </row>
    <row r="256" spans="1:25" x14ac:dyDescent="0.25">
      <c r="A256" s="1" t="s">
        <v>82</v>
      </c>
      <c r="B256" s="1" t="s">
        <v>67</v>
      </c>
      <c r="C256" s="1" t="s">
        <v>68</v>
      </c>
      <c r="D256" s="1">
        <v>5916750.6585043678</v>
      </c>
      <c r="E256" s="1">
        <v>390505.54346128833</v>
      </c>
      <c r="F256" s="1">
        <v>390505.54346128833</v>
      </c>
      <c r="G256" s="1">
        <v>488131.92932661035</v>
      </c>
      <c r="H256" s="1">
        <v>488131.92932661035</v>
      </c>
      <c r="I256" s="1">
        <v>488131.92932661035</v>
      </c>
      <c r="J256" s="1">
        <v>488131.92932661035</v>
      </c>
      <c r="K256" s="1">
        <v>488131.92932661035</v>
      </c>
      <c r="L256" s="1">
        <v>488131.92932661035</v>
      </c>
      <c r="M256" s="1">
        <v>307671.03424222715</v>
      </c>
      <c r="N256" s="1">
        <v>307671.03424222715</v>
      </c>
      <c r="O256" s="1">
        <v>246531.277437682</v>
      </c>
      <c r="P256" s="1">
        <v>246531.277437682</v>
      </c>
      <c r="Q256" s="1">
        <v>345143.78841275477</v>
      </c>
      <c r="R256" s="1">
        <v>345143.78841275477</v>
      </c>
      <c r="S256" s="1">
        <v>345143.78841275477</v>
      </c>
      <c r="T256" s="1">
        <v>345143.78841275477</v>
      </c>
      <c r="U256" s="1">
        <v>345143.78841275477</v>
      </c>
      <c r="V256" s="1">
        <v>345143.78841275477</v>
      </c>
      <c r="W256" s="4">
        <f t="shared" si="10"/>
        <v>3444535.0083592925</v>
      </c>
      <c r="X256" s="4">
        <f t="shared" si="11"/>
        <v>3444535.0083592925</v>
      </c>
      <c r="Y256" s="5">
        <f t="shared" si="12"/>
        <v>0.58216666666666661</v>
      </c>
    </row>
    <row r="257" spans="1:25" x14ac:dyDescent="0.25">
      <c r="A257" s="1" t="s">
        <v>82</v>
      </c>
      <c r="B257" s="1" t="s">
        <v>47</v>
      </c>
      <c r="C257" s="1" t="s">
        <v>34</v>
      </c>
      <c r="D257" s="1">
        <v>11415625.887323946</v>
      </c>
      <c r="E257" s="1">
        <v>0</v>
      </c>
      <c r="F257" s="1">
        <v>0</v>
      </c>
      <c r="G257" s="1">
        <v>751704.92883579014</v>
      </c>
      <c r="H257" s="1">
        <v>751704.92883579014</v>
      </c>
      <c r="I257" s="1">
        <v>0</v>
      </c>
      <c r="J257" s="1">
        <v>0</v>
      </c>
      <c r="K257" s="1">
        <v>0</v>
      </c>
      <c r="L257" s="1">
        <v>0</v>
      </c>
      <c r="M257" s="1">
        <v>5331960.4792440776</v>
      </c>
      <c r="N257" s="1">
        <v>5331960.4792440776</v>
      </c>
      <c r="O257" s="1">
        <v>0</v>
      </c>
      <c r="P257" s="1">
        <v>0</v>
      </c>
      <c r="Q257" s="1">
        <v>0</v>
      </c>
      <c r="R257" s="1">
        <v>0</v>
      </c>
      <c r="S257" s="1">
        <v>5331960.4792440776</v>
      </c>
      <c r="T257" s="1">
        <v>5331960.4792440776</v>
      </c>
      <c r="U257" s="1">
        <v>0</v>
      </c>
      <c r="V257" s="1">
        <v>0</v>
      </c>
      <c r="W257" s="4">
        <f t="shared" si="10"/>
        <v>11415625.887323946</v>
      </c>
      <c r="X257" s="4">
        <f t="shared" si="11"/>
        <v>11415625.887323946</v>
      </c>
      <c r="Y257" s="5">
        <f t="shared" si="12"/>
        <v>1</v>
      </c>
    </row>
    <row r="258" spans="1:25" x14ac:dyDescent="0.25">
      <c r="A258" s="1" t="s">
        <v>82</v>
      </c>
      <c r="B258" s="1" t="s">
        <v>69</v>
      </c>
      <c r="C258" s="1" t="s">
        <v>28</v>
      </c>
      <c r="D258" s="1">
        <v>6860672.531266991</v>
      </c>
      <c r="E258" s="1">
        <v>452804.38706362149</v>
      </c>
      <c r="F258" s="1">
        <v>452804.38706362149</v>
      </c>
      <c r="G258" s="1">
        <v>566005.48382952681</v>
      </c>
      <c r="H258" s="1">
        <v>566005.48382952681</v>
      </c>
      <c r="I258" s="1">
        <v>566005.48382952681</v>
      </c>
      <c r="J258" s="1">
        <v>566005.48382952681</v>
      </c>
      <c r="K258" s="1">
        <v>566005.48382952681</v>
      </c>
      <c r="L258" s="1">
        <v>566005.48382952681</v>
      </c>
      <c r="M258" s="1">
        <v>344748.7946961663</v>
      </c>
      <c r="N258" s="1">
        <v>344748.7946961663</v>
      </c>
      <c r="O258" s="1">
        <v>287290.66224680527</v>
      </c>
      <c r="P258" s="1">
        <v>287290.66224680527</v>
      </c>
      <c r="Q258" s="1">
        <v>402206.92714552733</v>
      </c>
      <c r="R258" s="1">
        <v>402206.92714552733</v>
      </c>
      <c r="S258" s="1">
        <v>402206.92714552733</v>
      </c>
      <c r="T258" s="1">
        <v>402206.92714552733</v>
      </c>
      <c r="U258" s="1">
        <v>402206.92714552733</v>
      </c>
      <c r="V258" s="1">
        <v>402206.92714552733</v>
      </c>
      <c r="W258" s="4">
        <f t="shared" si="10"/>
        <v>3989481.0769317551</v>
      </c>
      <c r="X258" s="4">
        <f t="shared" si="11"/>
        <v>3989481.0769317551</v>
      </c>
      <c r="Y258" s="5">
        <f t="shared" si="12"/>
        <v>0.58150000000000002</v>
      </c>
    </row>
    <row r="259" spans="1:25" x14ac:dyDescent="0.25">
      <c r="A259" s="1" t="s">
        <v>82</v>
      </c>
      <c r="B259" s="1" t="s">
        <v>70</v>
      </c>
      <c r="C259" s="1" t="s">
        <v>23</v>
      </c>
      <c r="D259" s="1">
        <v>8268750.0182812503</v>
      </c>
      <c r="E259" s="1">
        <v>545737.50120656262</v>
      </c>
      <c r="F259" s="1">
        <v>545737.50120656262</v>
      </c>
      <c r="G259" s="1">
        <v>682171.87650820322</v>
      </c>
      <c r="H259" s="1">
        <v>682171.87650820322</v>
      </c>
      <c r="I259" s="1">
        <v>682171.87650820322</v>
      </c>
      <c r="J259" s="1">
        <v>682171.87650820322</v>
      </c>
      <c r="K259" s="1">
        <v>682171.87650820322</v>
      </c>
      <c r="L259" s="1">
        <v>682171.87650820322</v>
      </c>
      <c r="M259" s="1">
        <v>415504.68841863284</v>
      </c>
      <c r="N259" s="1">
        <v>415504.68841863284</v>
      </c>
      <c r="O259" s="1">
        <v>346253.90701552737</v>
      </c>
      <c r="P259" s="1">
        <v>346253.90701552737</v>
      </c>
      <c r="Q259" s="1">
        <v>484755.46982173825</v>
      </c>
      <c r="R259" s="1">
        <v>484755.46982173825</v>
      </c>
      <c r="S259" s="1">
        <v>484755.46982173825</v>
      </c>
      <c r="T259" s="1">
        <v>484755.46982173825</v>
      </c>
      <c r="U259" s="1">
        <v>484755.46982173825</v>
      </c>
      <c r="V259" s="1">
        <v>484755.46982173825</v>
      </c>
      <c r="W259" s="4">
        <f t="shared" ref="W259:W322" si="13">U259+S259+Q259+O259+M259+K259+I259+G259+E259</f>
        <v>4808278.135630548</v>
      </c>
      <c r="X259" s="4">
        <f t="shared" ref="X259:X322" si="14">V259+T259+R259+P259+N259+L259+J259+H259+F259</f>
        <v>4808278.135630548</v>
      </c>
      <c r="Y259" s="5">
        <f t="shared" ref="Y259:Y322" si="15">X259/D259</f>
        <v>0.58150000000000013</v>
      </c>
    </row>
    <row r="260" spans="1:25" x14ac:dyDescent="0.25">
      <c r="A260" s="1" t="s">
        <v>82</v>
      </c>
      <c r="B260" s="1" t="s">
        <v>71</v>
      </c>
      <c r="C260" s="1" t="s">
        <v>29</v>
      </c>
      <c r="D260" s="1">
        <v>7979681.9711538432</v>
      </c>
      <c r="E260" s="1">
        <v>526659.01009615371</v>
      </c>
      <c r="F260" s="1">
        <v>526659.01009615371</v>
      </c>
      <c r="G260" s="1">
        <v>658323.76262019214</v>
      </c>
      <c r="H260" s="1">
        <v>658323.76262019214</v>
      </c>
      <c r="I260" s="1">
        <v>658323.76262019214</v>
      </c>
      <c r="J260" s="1">
        <v>658323.76262019214</v>
      </c>
      <c r="K260" s="1">
        <v>658323.76262019214</v>
      </c>
      <c r="L260" s="1">
        <v>658323.76262019214</v>
      </c>
      <c r="M260" s="1">
        <v>400979.01905048057</v>
      </c>
      <c r="N260" s="1">
        <v>400979.01905048057</v>
      </c>
      <c r="O260" s="1">
        <v>334149.18254206714</v>
      </c>
      <c r="P260" s="1">
        <v>334149.18254206714</v>
      </c>
      <c r="Q260" s="1">
        <v>467808.85555889393</v>
      </c>
      <c r="R260" s="1">
        <v>467808.85555889393</v>
      </c>
      <c r="S260" s="1">
        <v>467808.85555889393</v>
      </c>
      <c r="T260" s="1">
        <v>467808.85555889393</v>
      </c>
      <c r="U260" s="1">
        <v>467808.85555889393</v>
      </c>
      <c r="V260" s="1">
        <v>467808.85555889393</v>
      </c>
      <c r="W260" s="4">
        <f t="shared" si="13"/>
        <v>4640185.066225959</v>
      </c>
      <c r="X260" s="4">
        <f t="shared" si="14"/>
        <v>4640185.066225959</v>
      </c>
      <c r="Y260" s="5">
        <f t="shared" si="15"/>
        <v>0.58149999999999991</v>
      </c>
    </row>
    <row r="261" spans="1:25" x14ac:dyDescent="0.25">
      <c r="A261" s="1" t="s">
        <v>82</v>
      </c>
      <c r="B261" s="1" t="s">
        <v>72</v>
      </c>
      <c r="C261" s="1" t="s">
        <v>73</v>
      </c>
      <c r="D261" s="1">
        <v>5647093.6859779982</v>
      </c>
      <c r="E261" s="1">
        <v>372708.18327454792</v>
      </c>
      <c r="F261" s="1">
        <v>372708.18327454792</v>
      </c>
      <c r="G261" s="1">
        <v>465885.22909318487</v>
      </c>
      <c r="H261" s="1">
        <v>465885.22909318487</v>
      </c>
      <c r="I261" s="1">
        <v>465885.22909318487</v>
      </c>
      <c r="J261" s="1">
        <v>465885.22909318487</v>
      </c>
      <c r="K261" s="1">
        <v>465885.22909318487</v>
      </c>
      <c r="L261" s="1">
        <v>465885.22909318487</v>
      </c>
      <c r="M261" s="1">
        <v>283766.45772039436</v>
      </c>
      <c r="N261" s="1">
        <v>283766.45772039436</v>
      </c>
      <c r="O261" s="1">
        <v>236472.04810032865</v>
      </c>
      <c r="P261" s="1">
        <v>236472.04810032865</v>
      </c>
      <c r="Q261" s="1">
        <v>331060.86734046007</v>
      </c>
      <c r="R261" s="1">
        <v>331060.86734046007</v>
      </c>
      <c r="S261" s="1">
        <v>331060.86734046007</v>
      </c>
      <c r="T261" s="1">
        <v>331060.86734046007</v>
      </c>
      <c r="U261" s="1">
        <v>331060.86734046007</v>
      </c>
      <c r="V261" s="1">
        <v>331060.86734046007</v>
      </c>
      <c r="W261" s="4">
        <f t="shared" si="13"/>
        <v>3283784.9783962057</v>
      </c>
      <c r="X261" s="4">
        <f t="shared" si="14"/>
        <v>3283784.9783962057</v>
      </c>
      <c r="Y261" s="5">
        <f t="shared" si="15"/>
        <v>0.58149999999999991</v>
      </c>
    </row>
    <row r="262" spans="1:25" x14ac:dyDescent="0.25">
      <c r="A262" s="1" t="s">
        <v>82</v>
      </c>
      <c r="B262" s="1" t="s">
        <v>48</v>
      </c>
      <c r="C262" s="1" t="s">
        <v>49</v>
      </c>
      <c r="D262" s="1">
        <v>4524966.6985654952</v>
      </c>
      <c r="E262" s="1">
        <v>298647.80210532271</v>
      </c>
      <c r="F262" s="1">
        <v>298647.80210532271</v>
      </c>
      <c r="G262" s="1">
        <v>373309.75263165339</v>
      </c>
      <c r="H262" s="1">
        <v>373309.75263165339</v>
      </c>
      <c r="I262" s="1">
        <v>373309.75263165339</v>
      </c>
      <c r="J262" s="1">
        <v>373309.75263165339</v>
      </c>
      <c r="K262" s="1">
        <v>373309.75263165339</v>
      </c>
      <c r="L262" s="1">
        <v>373309.75263165339</v>
      </c>
      <c r="M262" s="1">
        <v>227379.57660291606</v>
      </c>
      <c r="N262" s="1">
        <v>227379.57660291606</v>
      </c>
      <c r="O262" s="1">
        <v>189482.98050243006</v>
      </c>
      <c r="P262" s="1">
        <v>189482.98050243006</v>
      </c>
      <c r="Q262" s="1">
        <v>265276.17270340206</v>
      </c>
      <c r="R262" s="1">
        <v>265276.17270340206</v>
      </c>
      <c r="S262" s="1">
        <v>265276.17270340206</v>
      </c>
      <c r="T262" s="1">
        <v>265276.17270340206</v>
      </c>
      <c r="U262" s="1">
        <v>265276.17270340206</v>
      </c>
      <c r="V262" s="1">
        <v>265276.17270340206</v>
      </c>
      <c r="W262" s="4">
        <f t="shared" si="13"/>
        <v>2631268.1352158347</v>
      </c>
      <c r="X262" s="4">
        <f t="shared" si="14"/>
        <v>2631268.1352158347</v>
      </c>
      <c r="Y262" s="5">
        <f t="shared" si="15"/>
        <v>0.58149999999999979</v>
      </c>
    </row>
    <row r="263" spans="1:25" x14ac:dyDescent="0.25">
      <c r="A263" s="1" t="s">
        <v>82</v>
      </c>
      <c r="B263" s="1" t="s">
        <v>53</v>
      </c>
      <c r="C263" s="1" t="s">
        <v>30</v>
      </c>
      <c r="D263" s="1">
        <v>3286014.9262045384</v>
      </c>
      <c r="E263" s="1">
        <v>216876.98512949955</v>
      </c>
      <c r="F263" s="1">
        <v>216876.98512949955</v>
      </c>
      <c r="G263" s="1">
        <v>271096.23141187441</v>
      </c>
      <c r="H263" s="1">
        <v>271096.23141187441</v>
      </c>
      <c r="I263" s="1">
        <v>271096.23141187441</v>
      </c>
      <c r="J263" s="1">
        <v>271096.23141187441</v>
      </c>
      <c r="K263" s="1">
        <v>271096.23141187441</v>
      </c>
      <c r="L263" s="1">
        <v>271096.23141187441</v>
      </c>
      <c r="M263" s="1">
        <v>165122.25004177805</v>
      </c>
      <c r="N263" s="1">
        <v>165122.25004177805</v>
      </c>
      <c r="O263" s="1">
        <v>137601.87503481505</v>
      </c>
      <c r="P263" s="1">
        <v>137601.87503481505</v>
      </c>
      <c r="Q263" s="1">
        <v>192642.62504874106</v>
      </c>
      <c r="R263" s="1">
        <v>192642.62504874106</v>
      </c>
      <c r="S263" s="1">
        <v>192642.62504874106</v>
      </c>
      <c r="T263" s="1">
        <v>192642.62504874106</v>
      </c>
      <c r="U263" s="1">
        <v>192642.62504874106</v>
      </c>
      <c r="V263" s="1">
        <v>192642.62504874106</v>
      </c>
      <c r="W263" s="4">
        <f t="shared" si="13"/>
        <v>1910817.6795879391</v>
      </c>
      <c r="X263" s="4">
        <f t="shared" si="14"/>
        <v>1910817.6795879391</v>
      </c>
      <c r="Y263" s="5">
        <f t="shared" si="15"/>
        <v>0.58150000000000002</v>
      </c>
    </row>
    <row r="264" spans="1:25" x14ac:dyDescent="0.25">
      <c r="A264" s="1" t="s">
        <v>82</v>
      </c>
      <c r="B264" s="1" t="s">
        <v>74</v>
      </c>
      <c r="C264" s="1" t="s">
        <v>75</v>
      </c>
      <c r="D264" s="1">
        <v>9633295.262211876</v>
      </c>
      <c r="E264" s="1">
        <v>635797.4873059839</v>
      </c>
      <c r="F264" s="1">
        <v>635797.4873059839</v>
      </c>
      <c r="G264" s="1">
        <v>794746.85913247976</v>
      </c>
      <c r="H264" s="1">
        <v>794746.85913247976</v>
      </c>
      <c r="I264" s="1">
        <v>794746.85913247976</v>
      </c>
      <c r="J264" s="1">
        <v>794746.85913247976</v>
      </c>
      <c r="K264" s="1">
        <v>794746.85913247976</v>
      </c>
      <c r="L264" s="1">
        <v>794746.85913247976</v>
      </c>
      <c r="M264" s="1">
        <v>484073.0869261467</v>
      </c>
      <c r="N264" s="1">
        <v>484073.0869261467</v>
      </c>
      <c r="O264" s="1">
        <v>403394.23910512228</v>
      </c>
      <c r="P264" s="1">
        <v>403394.23910512228</v>
      </c>
      <c r="Q264" s="1">
        <v>564751.93474717112</v>
      </c>
      <c r="R264" s="1">
        <v>564751.93474717112</v>
      </c>
      <c r="S264" s="1">
        <v>564751.93474717112</v>
      </c>
      <c r="T264" s="1">
        <v>564751.93474717112</v>
      </c>
      <c r="U264" s="1">
        <v>564751.93474717112</v>
      </c>
      <c r="V264" s="1">
        <v>564751.93474717112</v>
      </c>
      <c r="W264" s="4">
        <f t="shared" si="13"/>
        <v>5601761.1949762059</v>
      </c>
      <c r="X264" s="4">
        <f t="shared" si="14"/>
        <v>5601761.1949762059</v>
      </c>
      <c r="Y264" s="5">
        <f t="shared" si="15"/>
        <v>0.58150000000000002</v>
      </c>
    </row>
    <row r="265" spans="1:25" x14ac:dyDescent="0.25">
      <c r="A265" s="1" t="s">
        <v>82</v>
      </c>
      <c r="B265" s="1" t="s">
        <v>50</v>
      </c>
      <c r="C265" s="1" t="s">
        <v>25</v>
      </c>
      <c r="D265" s="1">
        <v>4751215.0334937703</v>
      </c>
      <c r="E265" s="1">
        <v>313580.19221058884</v>
      </c>
      <c r="F265" s="1">
        <v>313580.19221058884</v>
      </c>
      <c r="G265" s="1">
        <v>391975.24026323605</v>
      </c>
      <c r="H265" s="1">
        <v>391975.24026323605</v>
      </c>
      <c r="I265" s="1">
        <v>391975.24026323605</v>
      </c>
      <c r="J265" s="1">
        <v>391975.24026323605</v>
      </c>
      <c r="K265" s="1">
        <v>391975.24026323605</v>
      </c>
      <c r="L265" s="1">
        <v>391975.24026323605</v>
      </c>
      <c r="M265" s="1">
        <v>238748.55543306196</v>
      </c>
      <c r="N265" s="1">
        <v>238748.55543306196</v>
      </c>
      <c r="O265" s="1">
        <v>198957.12952755165</v>
      </c>
      <c r="P265" s="1">
        <v>198957.12952755165</v>
      </c>
      <c r="Q265" s="1">
        <v>278539.98133857228</v>
      </c>
      <c r="R265" s="1">
        <v>278539.98133857228</v>
      </c>
      <c r="S265" s="1">
        <v>278539.98133857228</v>
      </c>
      <c r="T265" s="1">
        <v>278539.98133857228</v>
      </c>
      <c r="U265" s="1">
        <v>278539.98133857228</v>
      </c>
      <c r="V265" s="1">
        <v>278539.98133857228</v>
      </c>
      <c r="W265" s="4">
        <f t="shared" si="13"/>
        <v>2762831.541976627</v>
      </c>
      <c r="X265" s="4">
        <f t="shared" si="14"/>
        <v>2762831.541976627</v>
      </c>
      <c r="Y265" s="5">
        <f t="shared" si="15"/>
        <v>0.58149999999999991</v>
      </c>
    </row>
    <row r="266" spans="1:25" x14ac:dyDescent="0.25">
      <c r="A266" s="1" t="s">
        <v>83</v>
      </c>
      <c r="B266" s="1" t="s">
        <v>59</v>
      </c>
      <c r="C266" s="1" t="s">
        <v>26</v>
      </c>
      <c r="D266" s="1">
        <v>48554208</v>
      </c>
      <c r="E266" s="1">
        <v>4227577.7120255642</v>
      </c>
      <c r="F266" s="1">
        <v>4227577.7120255642</v>
      </c>
      <c r="G266" s="1">
        <v>5284472.1400319552</v>
      </c>
      <c r="H266" s="1">
        <v>5284472.1400319552</v>
      </c>
      <c r="I266" s="1">
        <v>5284472.1400319552</v>
      </c>
      <c r="J266" s="1">
        <v>5284472.1400319552</v>
      </c>
      <c r="K266" s="1">
        <v>5284472.1400319552</v>
      </c>
      <c r="L266" s="1">
        <v>5284472.1400319552</v>
      </c>
      <c r="M266" s="1">
        <v>3427039.9299840219</v>
      </c>
      <c r="N266" s="1">
        <v>3427039.9299840219</v>
      </c>
      <c r="O266" s="1">
        <v>3427039.9299840219</v>
      </c>
      <c r="P266" s="1">
        <v>3427039.9299840219</v>
      </c>
      <c r="Q266" s="1">
        <v>3427039.9299840219</v>
      </c>
      <c r="R266" s="1">
        <v>3427039.9299840219</v>
      </c>
      <c r="S266" s="1">
        <v>3427039.9299840219</v>
      </c>
      <c r="T266" s="1">
        <v>3427039.9299840219</v>
      </c>
      <c r="U266" s="1">
        <v>3427039.9299840219</v>
      </c>
      <c r="V266" s="1">
        <v>3427039.9299840219</v>
      </c>
      <c r="W266" s="4">
        <f t="shared" si="13"/>
        <v>37216193.782041542</v>
      </c>
      <c r="X266" s="4">
        <f t="shared" si="14"/>
        <v>37216193.782041542</v>
      </c>
      <c r="Y266" s="5">
        <f t="shared" si="15"/>
        <v>0.7664875057181767</v>
      </c>
    </row>
    <row r="267" spans="1:25" x14ac:dyDescent="0.25">
      <c r="A267" s="1" t="s">
        <v>83</v>
      </c>
      <c r="B267" s="1" t="s">
        <v>60</v>
      </c>
      <c r="C267" s="1" t="s">
        <v>26</v>
      </c>
      <c r="D267" s="1">
        <v>15500000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7750000</v>
      </c>
      <c r="N267" s="1">
        <v>7750000</v>
      </c>
      <c r="O267" s="1">
        <v>7750000</v>
      </c>
      <c r="P267" s="1">
        <v>7750000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4">
        <f t="shared" si="13"/>
        <v>15500000</v>
      </c>
      <c r="X267" s="4">
        <f t="shared" si="14"/>
        <v>15500000</v>
      </c>
      <c r="Y267" s="5">
        <f t="shared" si="15"/>
        <v>1</v>
      </c>
    </row>
    <row r="268" spans="1:25" x14ac:dyDescent="0.25">
      <c r="A268" s="1" t="s">
        <v>83</v>
      </c>
      <c r="B268" s="1" t="s">
        <v>33</v>
      </c>
      <c r="C268" s="1" t="s">
        <v>34</v>
      </c>
      <c r="D268" s="1">
        <v>108000000</v>
      </c>
      <c r="E268" s="1">
        <v>0</v>
      </c>
      <c r="F268" s="1">
        <v>0</v>
      </c>
      <c r="G268" s="1">
        <v>21600000</v>
      </c>
      <c r="H268" s="1">
        <v>21600000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32400000</v>
      </c>
      <c r="P268" s="1">
        <v>32400000</v>
      </c>
      <c r="Q268" s="1">
        <v>0</v>
      </c>
      <c r="R268" s="1">
        <v>0</v>
      </c>
      <c r="S268" s="1">
        <v>32400000</v>
      </c>
      <c r="T268" s="1">
        <v>32400000</v>
      </c>
      <c r="U268" s="1">
        <v>21600000</v>
      </c>
      <c r="V268" s="1">
        <v>21600000</v>
      </c>
      <c r="W268" s="4">
        <f t="shared" si="13"/>
        <v>108000000</v>
      </c>
      <c r="X268" s="4">
        <f t="shared" si="14"/>
        <v>108000000</v>
      </c>
      <c r="Y268" s="5">
        <f t="shared" si="15"/>
        <v>1</v>
      </c>
    </row>
    <row r="269" spans="1:25" x14ac:dyDescent="0.25">
      <c r="A269" s="1" t="s">
        <v>83</v>
      </c>
      <c r="B269" s="1" t="s">
        <v>35</v>
      </c>
      <c r="C269" s="1" t="s">
        <v>34</v>
      </c>
      <c r="D269" s="1">
        <v>270000000</v>
      </c>
      <c r="E269" s="1">
        <v>0</v>
      </c>
      <c r="F269" s="1">
        <v>0</v>
      </c>
      <c r="G269" s="1">
        <v>74250000</v>
      </c>
      <c r="H269" s="1">
        <v>74250000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65250000</v>
      </c>
      <c r="P269" s="1">
        <v>65250000</v>
      </c>
      <c r="Q269" s="1">
        <v>0</v>
      </c>
      <c r="R269" s="1">
        <v>0</v>
      </c>
      <c r="S269" s="1">
        <v>65250000</v>
      </c>
      <c r="T269" s="1">
        <v>65250000</v>
      </c>
      <c r="U269" s="1">
        <v>65250000</v>
      </c>
      <c r="V269" s="1">
        <v>65250000</v>
      </c>
      <c r="W269" s="4">
        <f t="shared" si="13"/>
        <v>270000000</v>
      </c>
      <c r="X269" s="4">
        <f t="shared" si="14"/>
        <v>270000000</v>
      </c>
      <c r="Y269" s="5">
        <f t="shared" si="15"/>
        <v>1</v>
      </c>
    </row>
    <row r="270" spans="1:25" x14ac:dyDescent="0.25">
      <c r="A270" s="1" t="s">
        <v>83</v>
      </c>
      <c r="B270" s="1" t="s">
        <v>38</v>
      </c>
      <c r="C270" s="1" t="s">
        <v>39</v>
      </c>
      <c r="D270" s="1">
        <v>8897291.83899194</v>
      </c>
      <c r="E270" s="1">
        <v>587221.26137346809</v>
      </c>
      <c r="F270" s="1">
        <v>587221.26137346809</v>
      </c>
      <c r="G270" s="1">
        <v>734026.57671683503</v>
      </c>
      <c r="H270" s="1">
        <v>734026.57671683503</v>
      </c>
      <c r="I270" s="1">
        <v>734026.57671683503</v>
      </c>
      <c r="J270" s="1">
        <v>734026.57671683503</v>
      </c>
      <c r="K270" s="1">
        <v>734026.57671683503</v>
      </c>
      <c r="L270" s="1">
        <v>734026.57671683503</v>
      </c>
      <c r="M270" s="1">
        <v>447088.9149093451</v>
      </c>
      <c r="N270" s="1">
        <v>447088.9149093451</v>
      </c>
      <c r="O270" s="1">
        <v>372574.09575778758</v>
      </c>
      <c r="P270" s="1">
        <v>372574.09575778758</v>
      </c>
      <c r="Q270" s="1">
        <v>521603.73406090256</v>
      </c>
      <c r="R270" s="1">
        <v>521603.73406090256</v>
      </c>
      <c r="S270" s="1">
        <v>521603.73406090256</v>
      </c>
      <c r="T270" s="1">
        <v>521603.73406090256</v>
      </c>
      <c r="U270" s="1">
        <v>521603.73406090256</v>
      </c>
      <c r="V270" s="1">
        <v>521603.73406090256</v>
      </c>
      <c r="W270" s="4">
        <f t="shared" si="13"/>
        <v>5173775.2043738132</v>
      </c>
      <c r="X270" s="4">
        <f t="shared" si="14"/>
        <v>5173775.2043738132</v>
      </c>
      <c r="Y270" s="5">
        <f t="shared" si="15"/>
        <v>0.58150000000000002</v>
      </c>
    </row>
    <row r="271" spans="1:25" x14ac:dyDescent="0.25">
      <c r="A271" s="1" t="s">
        <v>83</v>
      </c>
      <c r="B271" s="1" t="s">
        <v>61</v>
      </c>
      <c r="C271" s="1" t="s">
        <v>34</v>
      </c>
      <c r="D271" s="1">
        <v>131254040</v>
      </c>
      <c r="E271" s="1">
        <v>0</v>
      </c>
      <c r="F271" s="1">
        <v>0</v>
      </c>
      <c r="G271" s="1">
        <v>10500323.198803991</v>
      </c>
      <c r="H271" s="1">
        <v>10500323.198803991</v>
      </c>
      <c r="I271" s="1">
        <v>0</v>
      </c>
      <c r="J271" s="1">
        <v>0</v>
      </c>
      <c r="K271" s="1">
        <v>0</v>
      </c>
      <c r="L271" s="1">
        <v>0</v>
      </c>
      <c r="M271" s="1">
        <v>30188429.200299002</v>
      </c>
      <c r="N271" s="1">
        <v>30188429.200299002</v>
      </c>
      <c r="O271" s="1">
        <v>0</v>
      </c>
      <c r="P271" s="1">
        <v>0</v>
      </c>
      <c r="Q271" s="1">
        <v>0</v>
      </c>
      <c r="R271" s="1">
        <v>0</v>
      </c>
      <c r="S271" s="1">
        <v>45282643.800448507</v>
      </c>
      <c r="T271" s="1">
        <v>45282643.800448507</v>
      </c>
      <c r="U271" s="1">
        <v>0</v>
      </c>
      <c r="V271" s="1">
        <v>0</v>
      </c>
      <c r="W271" s="4">
        <f t="shared" si="13"/>
        <v>85971396.199551493</v>
      </c>
      <c r="X271" s="4">
        <f t="shared" si="14"/>
        <v>85971396.199551493</v>
      </c>
      <c r="Y271" s="5">
        <f t="shared" si="15"/>
        <v>0.65499999999658287</v>
      </c>
    </row>
    <row r="272" spans="1:25" x14ac:dyDescent="0.25">
      <c r="A272" s="1" t="s">
        <v>83</v>
      </c>
      <c r="B272" s="1" t="s">
        <v>62</v>
      </c>
      <c r="C272" s="1" t="s">
        <v>63</v>
      </c>
      <c r="D272" s="1">
        <v>35642857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2673214.2857142854</v>
      </c>
      <c r="N272" s="1">
        <v>2673214.2857142854</v>
      </c>
      <c r="O272" s="1">
        <v>2227678.5714285714</v>
      </c>
      <c r="P272" s="1">
        <v>2227678.5714285714</v>
      </c>
      <c r="Q272" s="1">
        <v>3118749.9999999995</v>
      </c>
      <c r="R272" s="1">
        <v>3118749.9999999995</v>
      </c>
      <c r="S272" s="1">
        <v>3118749.9999999995</v>
      </c>
      <c r="T272" s="1">
        <v>3118749.9999999995</v>
      </c>
      <c r="U272" s="1">
        <v>3118749.9999999995</v>
      </c>
      <c r="V272" s="1">
        <v>3118749.9999999995</v>
      </c>
      <c r="W272" s="4">
        <f t="shared" si="13"/>
        <v>14257142.857142854</v>
      </c>
      <c r="X272" s="4">
        <f t="shared" si="14"/>
        <v>14257142.857142854</v>
      </c>
      <c r="Y272" s="5">
        <f t="shared" si="15"/>
        <v>0.40000000160320637</v>
      </c>
    </row>
    <row r="273" spans="1:25" x14ac:dyDescent="0.25">
      <c r="A273" s="1" t="s">
        <v>83</v>
      </c>
      <c r="B273" s="1" t="s">
        <v>40</v>
      </c>
      <c r="C273" s="1" t="s">
        <v>27</v>
      </c>
      <c r="D273" s="1">
        <v>216074365</v>
      </c>
      <c r="E273" s="1">
        <v>14277276</v>
      </c>
      <c r="F273" s="1">
        <v>14277276</v>
      </c>
      <c r="G273" s="1">
        <v>18504921</v>
      </c>
      <c r="H273" s="1">
        <v>18504921</v>
      </c>
      <c r="I273" s="1">
        <v>20569932</v>
      </c>
      <c r="J273" s="1">
        <v>20569932</v>
      </c>
      <c r="K273" s="1">
        <v>12994219</v>
      </c>
      <c r="L273" s="1">
        <v>12994219</v>
      </c>
      <c r="M273" s="1">
        <v>18000000</v>
      </c>
      <c r="N273" s="1">
        <v>18000000</v>
      </c>
      <c r="O273" s="1">
        <v>47491168</v>
      </c>
      <c r="P273" s="1">
        <v>47491168</v>
      </c>
      <c r="Q273" s="1">
        <v>12994467</v>
      </c>
      <c r="R273" s="1">
        <v>12994467</v>
      </c>
      <c r="S273" s="1">
        <v>13812232</v>
      </c>
      <c r="T273" s="1">
        <v>13812232</v>
      </c>
      <c r="U273" s="1">
        <v>19054232</v>
      </c>
      <c r="V273" s="1">
        <v>19054232</v>
      </c>
      <c r="W273" s="4">
        <f t="shared" si="13"/>
        <v>177698447</v>
      </c>
      <c r="X273" s="4">
        <f t="shared" si="14"/>
        <v>177698447</v>
      </c>
      <c r="Y273" s="5">
        <f t="shared" si="15"/>
        <v>0.82239485928837508</v>
      </c>
    </row>
    <row r="274" spans="1:25" x14ac:dyDescent="0.25">
      <c r="A274" s="1" t="s">
        <v>83</v>
      </c>
      <c r="B274" s="1" t="s">
        <v>41</v>
      </c>
      <c r="C274" s="1" t="s">
        <v>27</v>
      </c>
      <c r="D274" s="1">
        <v>295628996</v>
      </c>
      <c r="E274" s="1">
        <v>0</v>
      </c>
      <c r="F274" s="1">
        <v>0</v>
      </c>
      <c r="G274" s="1">
        <v>8023333</v>
      </c>
      <c r="H274" s="1">
        <v>8023333</v>
      </c>
      <c r="I274" s="1">
        <v>33760282</v>
      </c>
      <c r="J274" s="1">
        <v>33760282</v>
      </c>
      <c r="K274" s="1">
        <v>43590682</v>
      </c>
      <c r="L274" s="1">
        <v>43590682</v>
      </c>
      <c r="M274" s="1">
        <v>33750000</v>
      </c>
      <c r="N274" s="1">
        <v>33750000</v>
      </c>
      <c r="O274" s="1">
        <v>142754699</v>
      </c>
      <c r="P274" s="1">
        <v>142754699</v>
      </c>
      <c r="Q274" s="1">
        <v>33750000</v>
      </c>
      <c r="R274" s="1">
        <v>33750000</v>
      </c>
      <c r="S274" s="1">
        <v>0</v>
      </c>
      <c r="T274" s="1">
        <v>0</v>
      </c>
      <c r="U274" s="1">
        <v>0</v>
      </c>
      <c r="V274" s="1">
        <v>0</v>
      </c>
      <c r="W274" s="4">
        <f t="shared" si="13"/>
        <v>295628996</v>
      </c>
      <c r="X274" s="4">
        <f t="shared" si="14"/>
        <v>295628996</v>
      </c>
      <c r="Y274" s="5">
        <f t="shared" si="15"/>
        <v>1</v>
      </c>
    </row>
    <row r="275" spans="1:25" x14ac:dyDescent="0.25">
      <c r="A275" s="1" t="s">
        <v>83</v>
      </c>
      <c r="B275" s="1" t="s">
        <v>42</v>
      </c>
      <c r="C275" s="1" t="s">
        <v>27</v>
      </c>
      <c r="D275" s="1">
        <v>58327300</v>
      </c>
      <c r="E275" s="1">
        <v>0</v>
      </c>
      <c r="F275" s="1">
        <v>0</v>
      </c>
      <c r="G275" s="1">
        <v>0</v>
      </c>
      <c r="H275" s="1">
        <v>0</v>
      </c>
      <c r="I275" s="1">
        <v>36389473.180725455</v>
      </c>
      <c r="J275" s="1">
        <v>36389473.180725455</v>
      </c>
      <c r="K275" s="1">
        <v>0</v>
      </c>
      <c r="L275" s="1">
        <v>0</v>
      </c>
      <c r="M275" s="1">
        <v>8226685.0572279543</v>
      </c>
      <c r="N275" s="1">
        <v>8226685.0572279543</v>
      </c>
      <c r="O275" s="1">
        <v>5484456.7048186362</v>
      </c>
      <c r="P275" s="1">
        <v>5484456.7048186362</v>
      </c>
      <c r="Q275" s="1">
        <v>8226685.0572279543</v>
      </c>
      <c r="R275" s="1">
        <v>8226685.0572279543</v>
      </c>
      <c r="S275" s="1">
        <v>0</v>
      </c>
      <c r="T275" s="1">
        <v>0</v>
      </c>
      <c r="U275" s="1">
        <v>0</v>
      </c>
      <c r="V275" s="1">
        <v>0</v>
      </c>
      <c r="W275" s="4">
        <f t="shared" si="13"/>
        <v>58327300</v>
      </c>
      <c r="X275" s="4">
        <f t="shared" si="14"/>
        <v>58327300</v>
      </c>
      <c r="Y275" s="5">
        <f t="shared" si="15"/>
        <v>1</v>
      </c>
    </row>
    <row r="276" spans="1:25" x14ac:dyDescent="0.25">
      <c r="A276" s="1" t="s">
        <v>83</v>
      </c>
      <c r="B276" s="1" t="s">
        <v>43</v>
      </c>
      <c r="C276" s="1" t="s">
        <v>31</v>
      </c>
      <c r="D276" s="1">
        <v>7238584</v>
      </c>
      <c r="E276" s="1">
        <v>420477.783146339</v>
      </c>
      <c r="F276" s="1">
        <v>420477.783146339</v>
      </c>
      <c r="G276" s="1">
        <v>525597.22893292375</v>
      </c>
      <c r="H276" s="1">
        <v>525597.22893292375</v>
      </c>
      <c r="I276" s="1">
        <v>525597.22893292375</v>
      </c>
      <c r="J276" s="1">
        <v>525597.22893292375</v>
      </c>
      <c r="K276" s="1">
        <v>525597.22893292375</v>
      </c>
      <c r="L276" s="1">
        <v>525597.22893292375</v>
      </c>
      <c r="M276" s="1">
        <v>390820.73567560845</v>
      </c>
      <c r="N276" s="1">
        <v>390820.73567560845</v>
      </c>
      <c r="O276" s="1">
        <v>325683.94639634038</v>
      </c>
      <c r="P276" s="1">
        <v>325683.94639634038</v>
      </c>
      <c r="Q276" s="1">
        <v>403633.88430367806</v>
      </c>
      <c r="R276" s="1">
        <v>403633.88430367806</v>
      </c>
      <c r="S276" s="1">
        <v>455957.52495487651</v>
      </c>
      <c r="T276" s="1">
        <v>455957.52495487651</v>
      </c>
      <c r="U276" s="1">
        <v>455957.52495487651</v>
      </c>
      <c r="V276" s="1">
        <v>455957.52495487651</v>
      </c>
      <c r="W276" s="4">
        <f t="shared" si="13"/>
        <v>4029323.0862304899</v>
      </c>
      <c r="X276" s="4">
        <f t="shared" si="14"/>
        <v>4029323.0862304899</v>
      </c>
      <c r="Y276" s="5">
        <f t="shared" si="15"/>
        <v>0.55664520660815564</v>
      </c>
    </row>
    <row r="277" spans="1:25" x14ac:dyDescent="0.25">
      <c r="A277" s="1" t="s">
        <v>83</v>
      </c>
      <c r="B277" s="1" t="s">
        <v>64</v>
      </c>
      <c r="C277" s="1" t="s">
        <v>23</v>
      </c>
      <c r="D277" s="1">
        <v>4962338.9068766609</v>
      </c>
      <c r="E277" s="1">
        <v>327514.36785385967</v>
      </c>
      <c r="F277" s="1">
        <v>327514.36785385967</v>
      </c>
      <c r="G277" s="1">
        <v>409392.95981732453</v>
      </c>
      <c r="H277" s="1">
        <v>409392.95981732453</v>
      </c>
      <c r="I277" s="1">
        <v>409392.95981732453</v>
      </c>
      <c r="J277" s="1">
        <v>409392.95981732453</v>
      </c>
      <c r="K277" s="1">
        <v>409392.95981732453</v>
      </c>
      <c r="L277" s="1">
        <v>409392.95981732453</v>
      </c>
      <c r="M277" s="1">
        <v>249357.53007055219</v>
      </c>
      <c r="N277" s="1">
        <v>249357.53007055219</v>
      </c>
      <c r="O277" s="1">
        <v>207797.94172546017</v>
      </c>
      <c r="P277" s="1">
        <v>207797.94172546017</v>
      </c>
      <c r="Q277" s="1">
        <v>290917.11841564422</v>
      </c>
      <c r="R277" s="1">
        <v>290917.11841564422</v>
      </c>
      <c r="S277" s="1">
        <v>290917.11841564422</v>
      </c>
      <c r="T277" s="1">
        <v>290917.11841564422</v>
      </c>
      <c r="U277" s="1">
        <v>290917.11841564422</v>
      </c>
      <c r="V277" s="1">
        <v>290917.11841564422</v>
      </c>
      <c r="W277" s="4">
        <f t="shared" si="13"/>
        <v>2885600.0743487785</v>
      </c>
      <c r="X277" s="4">
        <f t="shared" si="14"/>
        <v>2885600.0743487785</v>
      </c>
      <c r="Y277" s="5">
        <f t="shared" si="15"/>
        <v>0.58150000000000002</v>
      </c>
    </row>
    <row r="278" spans="1:25" x14ac:dyDescent="0.25">
      <c r="A278" s="1" t="s">
        <v>83</v>
      </c>
      <c r="B278" s="1" t="s">
        <v>65</v>
      </c>
      <c r="C278" s="1" t="s">
        <v>31</v>
      </c>
      <c r="D278" s="1">
        <v>6359225.4595848825</v>
      </c>
      <c r="E278" s="1">
        <v>419708.8803326023</v>
      </c>
      <c r="F278" s="1">
        <v>419708.8803326023</v>
      </c>
      <c r="G278" s="1">
        <v>524636.10041575285</v>
      </c>
      <c r="H278" s="1">
        <v>524636.10041575285</v>
      </c>
      <c r="I278" s="1">
        <v>524636.10041575285</v>
      </c>
      <c r="J278" s="1">
        <v>524636.10041575285</v>
      </c>
      <c r="K278" s="1">
        <v>524636.10041575285</v>
      </c>
      <c r="L278" s="1">
        <v>524636.10041575285</v>
      </c>
      <c r="M278" s="1">
        <v>319551.07934414037</v>
      </c>
      <c r="N278" s="1">
        <v>319551.07934414037</v>
      </c>
      <c r="O278" s="1">
        <v>266292.56612011697</v>
      </c>
      <c r="P278" s="1">
        <v>266292.56612011697</v>
      </c>
      <c r="Q278" s="1">
        <v>372809.59256816376</v>
      </c>
      <c r="R278" s="1">
        <v>372809.59256816376</v>
      </c>
      <c r="S278" s="1">
        <v>372809.59256816376</v>
      </c>
      <c r="T278" s="1">
        <v>372809.59256816376</v>
      </c>
      <c r="U278" s="1">
        <v>372809.59256816376</v>
      </c>
      <c r="V278" s="1">
        <v>372809.59256816376</v>
      </c>
      <c r="W278" s="4">
        <f t="shared" si="13"/>
        <v>3697889.604748609</v>
      </c>
      <c r="X278" s="4">
        <f t="shared" si="14"/>
        <v>3697889.604748609</v>
      </c>
      <c r="Y278" s="5">
        <f t="shared" si="15"/>
        <v>0.58150000000000002</v>
      </c>
    </row>
    <row r="279" spans="1:25" x14ac:dyDescent="0.25">
      <c r="A279" s="1" t="s">
        <v>83</v>
      </c>
      <c r="B279" s="1" t="s">
        <v>44</v>
      </c>
      <c r="C279" s="1" t="s">
        <v>45</v>
      </c>
      <c r="D279" s="1">
        <v>8897291.83899194</v>
      </c>
      <c r="E279" s="1">
        <v>587221.26137346809</v>
      </c>
      <c r="F279" s="1">
        <v>587221.26137346809</v>
      </c>
      <c r="G279" s="1">
        <v>734026.57671683503</v>
      </c>
      <c r="H279" s="1">
        <v>734026.57671683503</v>
      </c>
      <c r="I279" s="1">
        <v>734026.57671683503</v>
      </c>
      <c r="J279" s="1">
        <v>734026.57671683503</v>
      </c>
      <c r="K279" s="1">
        <v>734026.57671683503</v>
      </c>
      <c r="L279" s="1">
        <v>734026.57671683503</v>
      </c>
      <c r="M279" s="1">
        <v>447088.9149093451</v>
      </c>
      <c r="N279" s="1">
        <v>447088.9149093451</v>
      </c>
      <c r="O279" s="1">
        <v>372574.09575778758</v>
      </c>
      <c r="P279" s="1">
        <v>372574.09575778758</v>
      </c>
      <c r="Q279" s="1">
        <v>521603.73406090256</v>
      </c>
      <c r="R279" s="1">
        <v>521603.73406090256</v>
      </c>
      <c r="S279" s="1">
        <v>521603.73406090256</v>
      </c>
      <c r="T279" s="1">
        <v>521603.73406090256</v>
      </c>
      <c r="U279" s="1">
        <v>521603.73406090256</v>
      </c>
      <c r="V279" s="1">
        <v>521603.73406090256</v>
      </c>
      <c r="W279" s="4">
        <f t="shared" si="13"/>
        <v>5173775.2043738132</v>
      </c>
      <c r="X279" s="4">
        <f t="shared" si="14"/>
        <v>5173775.2043738132</v>
      </c>
      <c r="Y279" s="5">
        <f t="shared" si="15"/>
        <v>0.58150000000000002</v>
      </c>
    </row>
    <row r="280" spans="1:25" x14ac:dyDescent="0.25">
      <c r="A280" s="1" t="s">
        <v>83</v>
      </c>
      <c r="B280" s="1" t="s">
        <v>46</v>
      </c>
      <c r="C280" s="1" t="s">
        <v>22</v>
      </c>
      <c r="D280" s="1">
        <v>117423700.98308355</v>
      </c>
      <c r="E280" s="1">
        <v>7757223.8686444405</v>
      </c>
      <c r="F280" s="1">
        <v>7757223.8686444405</v>
      </c>
      <c r="G280" s="1">
        <v>9696529.8358055502</v>
      </c>
      <c r="H280" s="1">
        <v>9696529.8358055502</v>
      </c>
      <c r="I280" s="1">
        <v>9696529.8358055502</v>
      </c>
      <c r="J280" s="1">
        <v>9696529.8358055502</v>
      </c>
      <c r="K280" s="1">
        <v>9696529.8358055502</v>
      </c>
      <c r="L280" s="1">
        <v>9696529.8358055502</v>
      </c>
      <c r="M280" s="1">
        <v>6084253.6650788849</v>
      </c>
      <c r="N280" s="1">
        <v>6084253.6650788849</v>
      </c>
      <c r="O280" s="1">
        <v>4947651.1638857629</v>
      </c>
      <c r="P280" s="1">
        <v>4947651.1638857629</v>
      </c>
      <c r="Q280" s="1">
        <v>6849715.8965695146</v>
      </c>
      <c r="R280" s="1">
        <v>6849715.8965695146</v>
      </c>
      <c r="S280" s="1">
        <v>6849715.8965695146</v>
      </c>
      <c r="T280" s="1">
        <v>6849715.8965695146</v>
      </c>
      <c r="U280" s="1">
        <v>6772720.0930232676</v>
      </c>
      <c r="V280" s="1">
        <v>6772720.0930232676</v>
      </c>
      <c r="W280" s="4">
        <f t="shared" si="13"/>
        <v>68350870.091188043</v>
      </c>
      <c r="X280" s="4">
        <f t="shared" si="14"/>
        <v>68350870.091188043</v>
      </c>
      <c r="Y280" s="5">
        <f t="shared" si="15"/>
        <v>0.58208751315916107</v>
      </c>
    </row>
    <row r="281" spans="1:25" x14ac:dyDescent="0.25">
      <c r="A281" s="1" t="s">
        <v>83</v>
      </c>
      <c r="B281" s="1" t="s">
        <v>66</v>
      </c>
      <c r="C281" s="1" t="s">
        <v>24</v>
      </c>
      <c r="D281" s="1">
        <v>368538499.46810776</v>
      </c>
      <c r="E281" s="1">
        <v>30404426.206118893</v>
      </c>
      <c r="F281" s="1">
        <v>30404426.206118893</v>
      </c>
      <c r="G281" s="1">
        <v>30404426.206118893</v>
      </c>
      <c r="H281" s="1">
        <v>30404426.206118893</v>
      </c>
      <c r="I281" s="1">
        <v>30404426.206118893</v>
      </c>
      <c r="J281" s="1">
        <v>30404426.206118893</v>
      </c>
      <c r="K281" s="1">
        <v>30404426.206118893</v>
      </c>
      <c r="L281" s="1">
        <v>30404426.206118893</v>
      </c>
      <c r="M281" s="1">
        <v>30420794.175524428</v>
      </c>
      <c r="N281" s="1">
        <v>30420794.175524428</v>
      </c>
      <c r="O281" s="1">
        <v>30500000</v>
      </c>
      <c r="P281" s="1">
        <v>30500000</v>
      </c>
      <c r="Q281" s="1">
        <v>33000000</v>
      </c>
      <c r="R281" s="1">
        <v>33000000</v>
      </c>
      <c r="S281" s="1">
        <v>31300000</v>
      </c>
      <c r="T281" s="1">
        <v>31300000</v>
      </c>
      <c r="U281" s="1">
        <v>30100000</v>
      </c>
      <c r="V281" s="1">
        <v>30100000</v>
      </c>
      <c r="W281" s="4">
        <f t="shared" si="13"/>
        <v>276938498.99999994</v>
      </c>
      <c r="X281" s="4">
        <f t="shared" si="14"/>
        <v>276938498.99999994</v>
      </c>
      <c r="Y281" s="5">
        <f t="shared" si="15"/>
        <v>0.7514506609206113</v>
      </c>
    </row>
    <row r="282" spans="1:25" x14ac:dyDescent="0.25">
      <c r="A282" s="1" t="s">
        <v>83</v>
      </c>
      <c r="B282" s="1" t="s">
        <v>67</v>
      </c>
      <c r="C282" s="1" t="s">
        <v>68</v>
      </c>
      <c r="D282" s="1">
        <v>5916750.6585043678</v>
      </c>
      <c r="E282" s="1">
        <v>390505.54346128833</v>
      </c>
      <c r="F282" s="1">
        <v>390505.54346128833</v>
      </c>
      <c r="G282" s="1">
        <v>488131.92932661035</v>
      </c>
      <c r="H282" s="1">
        <v>488131.92932661035</v>
      </c>
      <c r="I282" s="1">
        <v>488131.92932661035</v>
      </c>
      <c r="J282" s="1">
        <v>488131.92932661035</v>
      </c>
      <c r="K282" s="1">
        <v>488131.92932661035</v>
      </c>
      <c r="L282" s="1">
        <v>488131.92932661035</v>
      </c>
      <c r="M282" s="1">
        <v>307671.03424222715</v>
      </c>
      <c r="N282" s="1">
        <v>307671.03424222715</v>
      </c>
      <c r="O282" s="1">
        <v>246531.277437682</v>
      </c>
      <c r="P282" s="1">
        <v>246531.277437682</v>
      </c>
      <c r="Q282" s="1">
        <v>345143.78841275477</v>
      </c>
      <c r="R282" s="1">
        <v>345143.78841275477</v>
      </c>
      <c r="S282" s="1">
        <v>345143.78841275477</v>
      </c>
      <c r="T282" s="1">
        <v>345143.78841275477</v>
      </c>
      <c r="U282" s="1">
        <v>345143.78841275477</v>
      </c>
      <c r="V282" s="1">
        <v>345143.78841275477</v>
      </c>
      <c r="W282" s="4">
        <f t="shared" si="13"/>
        <v>3444535.0083592925</v>
      </c>
      <c r="X282" s="4">
        <f t="shared" si="14"/>
        <v>3444535.0083592925</v>
      </c>
      <c r="Y282" s="5">
        <f t="shared" si="15"/>
        <v>0.58216666666666661</v>
      </c>
    </row>
    <row r="283" spans="1:25" x14ac:dyDescent="0.25">
      <c r="A283" s="1" t="s">
        <v>83</v>
      </c>
      <c r="B283" s="1" t="s">
        <v>69</v>
      </c>
      <c r="C283" s="1" t="s">
        <v>28</v>
      </c>
      <c r="D283" s="1">
        <v>13810256.81519242</v>
      </c>
      <c r="E283" s="1">
        <v>911476.94980269973</v>
      </c>
      <c r="F283" s="1">
        <v>911476.94980269973</v>
      </c>
      <c r="G283" s="1">
        <v>1139346.1872533746</v>
      </c>
      <c r="H283" s="1">
        <v>1139346.1872533746</v>
      </c>
      <c r="I283" s="1">
        <v>1139346.1872533746</v>
      </c>
      <c r="J283" s="1">
        <v>1139346.1872533746</v>
      </c>
      <c r="K283" s="1">
        <v>1139346.1872533746</v>
      </c>
      <c r="L283" s="1">
        <v>1139346.1872533746</v>
      </c>
      <c r="M283" s="1">
        <v>693965.40496341907</v>
      </c>
      <c r="N283" s="1">
        <v>693965.40496341907</v>
      </c>
      <c r="O283" s="1">
        <v>578304.5041361826</v>
      </c>
      <c r="P283" s="1">
        <v>578304.5041361826</v>
      </c>
      <c r="Q283" s="1">
        <v>809626.30579065555</v>
      </c>
      <c r="R283" s="1">
        <v>809626.30579065555</v>
      </c>
      <c r="S283" s="1">
        <v>809626.30579065555</v>
      </c>
      <c r="T283" s="1">
        <v>809626.30579065555</v>
      </c>
      <c r="U283" s="1">
        <v>809626.30579065555</v>
      </c>
      <c r="V283" s="1">
        <v>809626.30579065555</v>
      </c>
      <c r="W283" s="4">
        <f t="shared" si="13"/>
        <v>8030664.3380343914</v>
      </c>
      <c r="X283" s="4">
        <f t="shared" si="14"/>
        <v>8030664.3380343914</v>
      </c>
      <c r="Y283" s="5">
        <f t="shared" si="15"/>
        <v>0.58149999999999991</v>
      </c>
    </row>
    <row r="284" spans="1:25" x14ac:dyDescent="0.25">
      <c r="A284" s="1" t="s">
        <v>83</v>
      </c>
      <c r="B284" s="1" t="s">
        <v>70</v>
      </c>
      <c r="C284" s="1" t="s">
        <v>23</v>
      </c>
      <c r="D284" s="1">
        <v>8268750.0182812503</v>
      </c>
      <c r="E284" s="1">
        <v>545737.50120656262</v>
      </c>
      <c r="F284" s="1">
        <v>545737.50120656262</v>
      </c>
      <c r="G284" s="1">
        <v>682171.87650820322</v>
      </c>
      <c r="H284" s="1">
        <v>682171.87650820322</v>
      </c>
      <c r="I284" s="1">
        <v>682171.87650820322</v>
      </c>
      <c r="J284" s="1">
        <v>682171.87650820322</v>
      </c>
      <c r="K284" s="1">
        <v>682171.87650820322</v>
      </c>
      <c r="L284" s="1">
        <v>682171.87650820322</v>
      </c>
      <c r="M284" s="1">
        <v>415504.68841863284</v>
      </c>
      <c r="N284" s="1">
        <v>415504.68841863284</v>
      </c>
      <c r="O284" s="1">
        <v>346253.90701552737</v>
      </c>
      <c r="P284" s="1">
        <v>346253.90701552737</v>
      </c>
      <c r="Q284" s="1">
        <v>484755.46982173825</v>
      </c>
      <c r="R284" s="1">
        <v>484755.46982173825</v>
      </c>
      <c r="S284" s="1">
        <v>484755.46982173825</v>
      </c>
      <c r="T284" s="1">
        <v>484755.46982173825</v>
      </c>
      <c r="U284" s="1">
        <v>484755.46982173825</v>
      </c>
      <c r="V284" s="1">
        <v>484755.46982173825</v>
      </c>
      <c r="W284" s="4">
        <f t="shared" si="13"/>
        <v>4808278.135630548</v>
      </c>
      <c r="X284" s="4">
        <f t="shared" si="14"/>
        <v>4808278.135630548</v>
      </c>
      <c r="Y284" s="5">
        <f t="shared" si="15"/>
        <v>0.58150000000000013</v>
      </c>
    </row>
    <row r="285" spans="1:25" x14ac:dyDescent="0.25">
      <c r="A285" s="1" t="s">
        <v>83</v>
      </c>
      <c r="B285" s="1" t="s">
        <v>71</v>
      </c>
      <c r="C285" s="1" t="s">
        <v>29</v>
      </c>
      <c r="D285" s="1">
        <v>9528677.6711538434</v>
      </c>
      <c r="E285" s="1">
        <v>628892.72629615373</v>
      </c>
      <c r="F285" s="1">
        <v>628892.72629615373</v>
      </c>
      <c r="G285" s="1">
        <v>786115.90787019208</v>
      </c>
      <c r="H285" s="1">
        <v>786115.90787019208</v>
      </c>
      <c r="I285" s="1">
        <v>786115.90787019208</v>
      </c>
      <c r="J285" s="1">
        <v>786115.90787019208</v>
      </c>
      <c r="K285" s="1">
        <v>786115.90787019208</v>
      </c>
      <c r="L285" s="1">
        <v>786115.90787019208</v>
      </c>
      <c r="M285" s="1">
        <v>478816.05297548062</v>
      </c>
      <c r="N285" s="1">
        <v>478816.05297548062</v>
      </c>
      <c r="O285" s="1">
        <v>399013.37747956719</v>
      </c>
      <c r="P285" s="1">
        <v>399013.37747956719</v>
      </c>
      <c r="Q285" s="1">
        <v>558618.72847139405</v>
      </c>
      <c r="R285" s="1">
        <v>558618.72847139405</v>
      </c>
      <c r="S285" s="1">
        <v>558618.72847139405</v>
      </c>
      <c r="T285" s="1">
        <v>558618.72847139405</v>
      </c>
      <c r="U285" s="1">
        <v>558618.72847139405</v>
      </c>
      <c r="V285" s="1">
        <v>558618.72847139405</v>
      </c>
      <c r="W285" s="4">
        <f t="shared" si="13"/>
        <v>5540926.0657759598</v>
      </c>
      <c r="X285" s="4">
        <f t="shared" si="14"/>
        <v>5540926.0657759598</v>
      </c>
      <c r="Y285" s="5">
        <f t="shared" si="15"/>
        <v>0.58150000000000002</v>
      </c>
    </row>
    <row r="286" spans="1:25" x14ac:dyDescent="0.25">
      <c r="A286" s="1" t="s">
        <v>83</v>
      </c>
      <c r="B286" s="1" t="s">
        <v>72</v>
      </c>
      <c r="C286" s="1" t="s">
        <v>73</v>
      </c>
      <c r="D286" s="1">
        <v>10707870.041863145</v>
      </c>
      <c r="E286" s="1">
        <v>706719.42276296765</v>
      </c>
      <c r="F286" s="1">
        <v>706719.42276296765</v>
      </c>
      <c r="G286" s="1">
        <v>883399.27845370956</v>
      </c>
      <c r="H286" s="1">
        <v>883399.27845370956</v>
      </c>
      <c r="I286" s="1">
        <v>883399.27845370956</v>
      </c>
      <c r="J286" s="1">
        <v>883399.27845370956</v>
      </c>
      <c r="K286" s="1">
        <v>883399.27845370956</v>
      </c>
      <c r="L286" s="1">
        <v>883399.27845370956</v>
      </c>
      <c r="M286" s="1">
        <v>538070.46960362303</v>
      </c>
      <c r="N286" s="1">
        <v>538070.46960362303</v>
      </c>
      <c r="O286" s="1">
        <v>448392.05800301919</v>
      </c>
      <c r="P286" s="1">
        <v>448392.05800301919</v>
      </c>
      <c r="Q286" s="1">
        <v>627748.88120422687</v>
      </c>
      <c r="R286" s="1">
        <v>627748.88120422687</v>
      </c>
      <c r="S286" s="1">
        <v>627748.88120422687</v>
      </c>
      <c r="T286" s="1">
        <v>627748.88120422687</v>
      </c>
      <c r="U286" s="1">
        <v>627748.88120422687</v>
      </c>
      <c r="V286" s="1">
        <v>627748.88120422687</v>
      </c>
      <c r="W286" s="4">
        <f t="shared" si="13"/>
        <v>6226626.4293434191</v>
      </c>
      <c r="X286" s="4">
        <f t="shared" si="14"/>
        <v>6226626.4293434191</v>
      </c>
      <c r="Y286" s="5">
        <f t="shared" si="15"/>
        <v>0.58150000000000002</v>
      </c>
    </row>
    <row r="287" spans="1:25" x14ac:dyDescent="0.25">
      <c r="A287" s="1" t="s">
        <v>83</v>
      </c>
      <c r="B287" s="1" t="s">
        <v>48</v>
      </c>
      <c r="C287" s="1" t="s">
        <v>49</v>
      </c>
      <c r="D287" s="1">
        <v>6670399.4196915133</v>
      </c>
      <c r="E287" s="1">
        <v>440246.36169963994</v>
      </c>
      <c r="F287" s="1">
        <v>440246.36169963994</v>
      </c>
      <c r="G287" s="1">
        <v>550307.95212454989</v>
      </c>
      <c r="H287" s="1">
        <v>550307.95212454989</v>
      </c>
      <c r="I287" s="1">
        <v>550307.95212454989</v>
      </c>
      <c r="J287" s="1">
        <v>550307.95212454989</v>
      </c>
      <c r="K287" s="1">
        <v>550307.95212454989</v>
      </c>
      <c r="L287" s="1">
        <v>550307.95212454989</v>
      </c>
      <c r="M287" s="1">
        <v>335187.57083949848</v>
      </c>
      <c r="N287" s="1">
        <v>335187.57083949848</v>
      </c>
      <c r="O287" s="1">
        <v>279322.97569958208</v>
      </c>
      <c r="P287" s="1">
        <v>279322.97569958208</v>
      </c>
      <c r="Q287" s="1">
        <v>391052.16597941489</v>
      </c>
      <c r="R287" s="1">
        <v>391052.16597941489</v>
      </c>
      <c r="S287" s="1">
        <v>391052.16597941489</v>
      </c>
      <c r="T287" s="1">
        <v>391052.16597941489</v>
      </c>
      <c r="U287" s="1">
        <v>391052.16597941489</v>
      </c>
      <c r="V287" s="1">
        <v>391052.16597941489</v>
      </c>
      <c r="W287" s="4">
        <f t="shared" si="13"/>
        <v>3878837.2625506148</v>
      </c>
      <c r="X287" s="4">
        <f t="shared" si="14"/>
        <v>3878837.2625506148</v>
      </c>
      <c r="Y287" s="5">
        <f t="shared" si="15"/>
        <v>0.58150000000000002</v>
      </c>
    </row>
    <row r="288" spans="1:25" x14ac:dyDescent="0.25">
      <c r="A288" s="1" t="s">
        <v>83</v>
      </c>
      <c r="B288" s="1" t="s">
        <v>53</v>
      </c>
      <c r="C288" s="1" t="s">
        <v>30</v>
      </c>
      <c r="D288" s="1">
        <v>9688786.1158917695</v>
      </c>
      <c r="E288" s="1">
        <v>639459.88364885689</v>
      </c>
      <c r="F288" s="1">
        <v>639459.88364885689</v>
      </c>
      <c r="G288" s="1">
        <v>799324.85456107103</v>
      </c>
      <c r="H288" s="1">
        <v>799324.85456107103</v>
      </c>
      <c r="I288" s="1">
        <v>799324.85456107103</v>
      </c>
      <c r="J288" s="1">
        <v>799324.85456107103</v>
      </c>
      <c r="K288" s="1">
        <v>799324.85456107103</v>
      </c>
      <c r="L288" s="1">
        <v>799324.85456107103</v>
      </c>
      <c r="M288" s="1">
        <v>486861.50232356141</v>
      </c>
      <c r="N288" s="1">
        <v>486861.50232356141</v>
      </c>
      <c r="O288" s="1">
        <v>405717.91860296787</v>
      </c>
      <c r="P288" s="1">
        <v>405717.91860296787</v>
      </c>
      <c r="Q288" s="1">
        <v>568005.08604415494</v>
      </c>
      <c r="R288" s="1">
        <v>568005.08604415494</v>
      </c>
      <c r="S288" s="1">
        <v>568005.08604415494</v>
      </c>
      <c r="T288" s="1">
        <v>568005.08604415494</v>
      </c>
      <c r="U288" s="1">
        <v>568005.08604415494</v>
      </c>
      <c r="V288" s="1">
        <v>568005.08604415494</v>
      </c>
      <c r="W288" s="4">
        <f t="shared" si="13"/>
        <v>5634029.1263910634</v>
      </c>
      <c r="X288" s="4">
        <f t="shared" si="14"/>
        <v>5634029.1263910634</v>
      </c>
      <c r="Y288" s="5">
        <f t="shared" si="15"/>
        <v>0.58149999999999991</v>
      </c>
    </row>
    <row r="289" spans="1:25" x14ac:dyDescent="0.25">
      <c r="A289" s="1" t="s">
        <v>83</v>
      </c>
      <c r="B289" s="1" t="s">
        <v>74</v>
      </c>
      <c r="C289" s="1" t="s">
        <v>75</v>
      </c>
      <c r="D289" s="1">
        <v>4455225.798066834</v>
      </c>
      <c r="E289" s="1">
        <v>294044.90267241106</v>
      </c>
      <c r="F289" s="1">
        <v>294044.90267241106</v>
      </c>
      <c r="G289" s="1">
        <v>367556.12834051379</v>
      </c>
      <c r="H289" s="1">
        <v>367556.12834051379</v>
      </c>
      <c r="I289" s="1">
        <v>367556.12834051379</v>
      </c>
      <c r="J289" s="1">
        <v>367556.12834051379</v>
      </c>
      <c r="K289" s="1">
        <v>367556.12834051379</v>
      </c>
      <c r="L289" s="1">
        <v>367556.12834051379</v>
      </c>
      <c r="M289" s="1">
        <v>223875.09635285841</v>
      </c>
      <c r="N289" s="1">
        <v>223875.09635285841</v>
      </c>
      <c r="O289" s="1">
        <v>186562.58029404868</v>
      </c>
      <c r="P289" s="1">
        <v>186562.58029404868</v>
      </c>
      <c r="Q289" s="1">
        <v>261187.61241166812</v>
      </c>
      <c r="R289" s="1">
        <v>261187.61241166812</v>
      </c>
      <c r="S289" s="1">
        <v>261187.61241166812</v>
      </c>
      <c r="T289" s="1">
        <v>261187.61241166812</v>
      </c>
      <c r="U289" s="1">
        <v>261187.61241166812</v>
      </c>
      <c r="V289" s="1">
        <v>261187.61241166812</v>
      </c>
      <c r="W289" s="4">
        <f t="shared" si="13"/>
        <v>2590713.8015758642</v>
      </c>
      <c r="X289" s="4">
        <f t="shared" si="14"/>
        <v>2590713.8015758642</v>
      </c>
      <c r="Y289" s="5">
        <f t="shared" si="15"/>
        <v>0.58150000000000002</v>
      </c>
    </row>
    <row r="290" spans="1:25" x14ac:dyDescent="0.25">
      <c r="A290" s="1" t="s">
        <v>83</v>
      </c>
      <c r="B290" s="1" t="s">
        <v>50</v>
      </c>
      <c r="C290" s="1" t="s">
        <v>25</v>
      </c>
      <c r="D290" s="1">
        <v>7003919.3906760886</v>
      </c>
      <c r="E290" s="1">
        <v>462258.67978462187</v>
      </c>
      <c r="F290" s="1">
        <v>462258.67978462187</v>
      </c>
      <c r="G290" s="1">
        <v>577823.34973077732</v>
      </c>
      <c r="H290" s="1">
        <v>577823.34973077732</v>
      </c>
      <c r="I290" s="1">
        <v>577823.34973077732</v>
      </c>
      <c r="J290" s="1">
        <v>577823.34973077732</v>
      </c>
      <c r="K290" s="1">
        <v>577823.34973077732</v>
      </c>
      <c r="L290" s="1">
        <v>577823.34973077732</v>
      </c>
      <c r="M290" s="1">
        <v>351946.94938147342</v>
      </c>
      <c r="N290" s="1">
        <v>351946.94938147342</v>
      </c>
      <c r="O290" s="1">
        <v>293289.12448456121</v>
      </c>
      <c r="P290" s="1">
        <v>293289.12448456121</v>
      </c>
      <c r="Q290" s="1">
        <v>410604.77427838568</v>
      </c>
      <c r="R290" s="1">
        <v>410604.77427838568</v>
      </c>
      <c r="S290" s="1">
        <v>410604.77427838568</v>
      </c>
      <c r="T290" s="1">
        <v>410604.77427838568</v>
      </c>
      <c r="U290" s="1">
        <v>410604.77427838568</v>
      </c>
      <c r="V290" s="1">
        <v>410604.77427838568</v>
      </c>
      <c r="W290" s="4">
        <f t="shared" si="13"/>
        <v>4072779.1256781463</v>
      </c>
      <c r="X290" s="4">
        <f t="shared" si="14"/>
        <v>4072779.1256781463</v>
      </c>
      <c r="Y290" s="5">
        <f t="shared" si="15"/>
        <v>0.58150000000000013</v>
      </c>
    </row>
    <row r="291" spans="1:25" x14ac:dyDescent="0.25">
      <c r="A291" s="1" t="s">
        <v>84</v>
      </c>
      <c r="B291" s="1" t="s">
        <v>59</v>
      </c>
      <c r="C291" s="1" t="s">
        <v>26</v>
      </c>
      <c r="D291" s="1">
        <v>17931058</v>
      </c>
      <c r="E291" s="1">
        <v>1579449.8571184753</v>
      </c>
      <c r="F291" s="1">
        <v>1579449.8571184753</v>
      </c>
      <c r="G291" s="1">
        <v>1974312.3213980941</v>
      </c>
      <c r="H291" s="1">
        <v>1974312.3213980941</v>
      </c>
      <c r="I291" s="1">
        <v>1974312.3213980941</v>
      </c>
      <c r="J291" s="1">
        <v>1974312.3213980941</v>
      </c>
      <c r="K291" s="1">
        <v>1974312.3213980941</v>
      </c>
      <c r="L291" s="1">
        <v>1974312.3213980941</v>
      </c>
      <c r="M291" s="1">
        <v>1254226.0893009529</v>
      </c>
      <c r="N291" s="1">
        <v>1254226.0893009529</v>
      </c>
      <c r="O291" s="1">
        <v>1254226.0893009529</v>
      </c>
      <c r="P291" s="1">
        <v>1254226.0893009529</v>
      </c>
      <c r="Q291" s="1">
        <v>1254226.0893009529</v>
      </c>
      <c r="R291" s="1">
        <v>1254226.0893009529</v>
      </c>
      <c r="S291" s="1">
        <v>1254226.0893009529</v>
      </c>
      <c r="T291" s="1">
        <v>1254226.0893009529</v>
      </c>
      <c r="U291" s="1">
        <v>1254226.0893009529</v>
      </c>
      <c r="V291" s="1">
        <v>1254226.0893009529</v>
      </c>
      <c r="W291" s="4">
        <f t="shared" si="13"/>
        <v>13773517.267817523</v>
      </c>
      <c r="X291" s="4">
        <f t="shared" si="14"/>
        <v>13773517.267817523</v>
      </c>
      <c r="Y291" s="5">
        <f t="shared" si="15"/>
        <v>0.76813745557108359</v>
      </c>
    </row>
    <row r="292" spans="1:25" x14ac:dyDescent="0.25">
      <c r="A292" s="1" t="s">
        <v>84</v>
      </c>
      <c r="B292" s="1" t="s">
        <v>60</v>
      </c>
      <c r="C292" s="1" t="s">
        <v>26</v>
      </c>
      <c r="D292" s="1">
        <v>6000000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3000000</v>
      </c>
      <c r="N292" s="1">
        <v>3000000</v>
      </c>
      <c r="O292" s="1">
        <v>3000000</v>
      </c>
      <c r="P292" s="1">
        <v>3000000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4">
        <f t="shared" si="13"/>
        <v>6000000</v>
      </c>
      <c r="X292" s="4">
        <f t="shared" si="14"/>
        <v>6000000</v>
      </c>
      <c r="Y292" s="5">
        <f t="shared" si="15"/>
        <v>1</v>
      </c>
    </row>
    <row r="293" spans="1:25" x14ac:dyDescent="0.25">
      <c r="A293" s="1" t="s">
        <v>84</v>
      </c>
      <c r="B293" s="1" t="s">
        <v>33</v>
      </c>
      <c r="C293" s="1" t="s">
        <v>34</v>
      </c>
      <c r="D293" s="1">
        <v>12000000</v>
      </c>
      <c r="E293" s="1">
        <v>0</v>
      </c>
      <c r="F293" s="1">
        <v>0</v>
      </c>
      <c r="G293" s="1">
        <v>2400000</v>
      </c>
      <c r="H293" s="1">
        <v>2400000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3600000</v>
      </c>
      <c r="P293" s="1">
        <v>3600000</v>
      </c>
      <c r="Q293" s="1">
        <v>0</v>
      </c>
      <c r="R293" s="1">
        <v>0</v>
      </c>
      <c r="S293" s="1">
        <v>3600000</v>
      </c>
      <c r="T293" s="1">
        <v>3600000</v>
      </c>
      <c r="U293" s="1">
        <v>2400000</v>
      </c>
      <c r="V293" s="1">
        <v>2400000</v>
      </c>
      <c r="W293" s="4">
        <f t="shared" si="13"/>
        <v>12000000</v>
      </c>
      <c r="X293" s="4">
        <f t="shared" si="14"/>
        <v>12000000</v>
      </c>
      <c r="Y293" s="5">
        <f t="shared" si="15"/>
        <v>1</v>
      </c>
    </row>
    <row r="294" spans="1:25" x14ac:dyDescent="0.25">
      <c r="A294" s="1" t="s">
        <v>84</v>
      </c>
      <c r="B294" s="1" t="s">
        <v>35</v>
      </c>
      <c r="C294" s="1" t="s">
        <v>34</v>
      </c>
      <c r="D294" s="1">
        <v>30000000</v>
      </c>
      <c r="E294" s="1">
        <v>0</v>
      </c>
      <c r="F294" s="1">
        <v>0</v>
      </c>
      <c r="G294" s="1">
        <v>8250000</v>
      </c>
      <c r="H294" s="1">
        <v>8250000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7250000</v>
      </c>
      <c r="P294" s="1">
        <v>7250000</v>
      </c>
      <c r="Q294" s="1">
        <v>0</v>
      </c>
      <c r="R294" s="1">
        <v>0</v>
      </c>
      <c r="S294" s="1">
        <v>7250000</v>
      </c>
      <c r="T294" s="1">
        <v>7250000</v>
      </c>
      <c r="U294" s="1">
        <v>7250000</v>
      </c>
      <c r="V294" s="1">
        <v>7250000</v>
      </c>
      <c r="W294" s="4">
        <f t="shared" si="13"/>
        <v>30000000</v>
      </c>
      <c r="X294" s="4">
        <f t="shared" si="14"/>
        <v>30000000</v>
      </c>
      <c r="Y294" s="5">
        <f t="shared" si="15"/>
        <v>1</v>
      </c>
    </row>
    <row r="295" spans="1:25" x14ac:dyDescent="0.25">
      <c r="A295" s="1" t="s">
        <v>84</v>
      </c>
      <c r="B295" s="1" t="s">
        <v>38</v>
      </c>
      <c r="C295" s="1" t="s">
        <v>39</v>
      </c>
      <c r="D295" s="1">
        <v>3880477.8495881674</v>
      </c>
      <c r="E295" s="1">
        <v>256111.53807281909</v>
      </c>
      <c r="F295" s="1">
        <v>256111.53807281909</v>
      </c>
      <c r="G295" s="1">
        <v>320139.42259102385</v>
      </c>
      <c r="H295" s="1">
        <v>320139.42259102385</v>
      </c>
      <c r="I295" s="1">
        <v>320139.42259102385</v>
      </c>
      <c r="J295" s="1">
        <v>320139.42259102385</v>
      </c>
      <c r="K295" s="1">
        <v>320139.42259102385</v>
      </c>
      <c r="L295" s="1">
        <v>320139.42259102385</v>
      </c>
      <c r="M295" s="1">
        <v>194994.01194180537</v>
      </c>
      <c r="N295" s="1">
        <v>194994.01194180537</v>
      </c>
      <c r="O295" s="1">
        <v>162495.00995150447</v>
      </c>
      <c r="P295" s="1">
        <v>162495.00995150447</v>
      </c>
      <c r="Q295" s="1">
        <v>227493.01393210626</v>
      </c>
      <c r="R295" s="1">
        <v>227493.01393210626</v>
      </c>
      <c r="S295" s="1">
        <v>227493.01393210626</v>
      </c>
      <c r="T295" s="1">
        <v>227493.01393210626</v>
      </c>
      <c r="U295" s="1">
        <v>227493.01393210626</v>
      </c>
      <c r="V295" s="1">
        <v>227493.01393210626</v>
      </c>
      <c r="W295" s="4">
        <f t="shared" si="13"/>
        <v>2256497.8695355188</v>
      </c>
      <c r="X295" s="4">
        <f t="shared" si="14"/>
        <v>2256497.8695355188</v>
      </c>
      <c r="Y295" s="5">
        <f t="shared" si="15"/>
        <v>0.58149999999999991</v>
      </c>
    </row>
    <row r="296" spans="1:25" x14ac:dyDescent="0.25">
      <c r="A296" s="1" t="s">
        <v>84</v>
      </c>
      <c r="B296" s="1" t="s">
        <v>61</v>
      </c>
      <c r="C296" s="1" t="s">
        <v>34</v>
      </c>
      <c r="D296" s="1">
        <v>42566725</v>
      </c>
      <c r="E296" s="1">
        <v>0</v>
      </c>
      <c r="F296" s="1">
        <v>0</v>
      </c>
      <c r="G296" s="1">
        <v>3405337.9996121251</v>
      </c>
      <c r="H296" s="1">
        <v>3405337.9996121251</v>
      </c>
      <c r="I296" s="1">
        <v>0</v>
      </c>
      <c r="J296" s="1">
        <v>0</v>
      </c>
      <c r="K296" s="1">
        <v>0</v>
      </c>
      <c r="L296" s="1">
        <v>0</v>
      </c>
      <c r="M296" s="1">
        <v>9790346.7500969693</v>
      </c>
      <c r="N296" s="1">
        <v>9790346.7500969693</v>
      </c>
      <c r="O296" s="1">
        <v>0</v>
      </c>
      <c r="P296" s="1">
        <v>0</v>
      </c>
      <c r="Q296" s="1">
        <v>0</v>
      </c>
      <c r="R296" s="1">
        <v>0</v>
      </c>
      <c r="S296" s="1">
        <v>14685520.125145454</v>
      </c>
      <c r="T296" s="1">
        <v>14685520.125145454</v>
      </c>
      <c r="U296" s="1">
        <v>0</v>
      </c>
      <c r="V296" s="1">
        <v>0</v>
      </c>
      <c r="W296" s="4">
        <f t="shared" si="13"/>
        <v>27881204.87485455</v>
      </c>
      <c r="X296" s="4">
        <f t="shared" si="14"/>
        <v>27881204.87485455</v>
      </c>
      <c r="Y296" s="5">
        <f t="shared" si="15"/>
        <v>0.65499999999658298</v>
      </c>
    </row>
    <row r="297" spans="1:25" x14ac:dyDescent="0.25">
      <c r="A297" s="1" t="s">
        <v>84</v>
      </c>
      <c r="B297" s="1" t="s">
        <v>62</v>
      </c>
      <c r="C297" s="1" t="s">
        <v>63</v>
      </c>
      <c r="D297" s="1">
        <v>16642857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1248214.2857142857</v>
      </c>
      <c r="N297" s="1">
        <v>1248214.2857142857</v>
      </c>
      <c r="O297" s="1">
        <v>1040178.5714285714</v>
      </c>
      <c r="P297" s="1">
        <v>1040178.5714285714</v>
      </c>
      <c r="Q297" s="1">
        <v>1456249.9999999998</v>
      </c>
      <c r="R297" s="1">
        <v>1456249.9999999998</v>
      </c>
      <c r="S297" s="1">
        <v>1456249.9999999998</v>
      </c>
      <c r="T297" s="1">
        <v>1456249.9999999998</v>
      </c>
      <c r="U297" s="1">
        <v>1456249.9999999998</v>
      </c>
      <c r="V297" s="1">
        <v>1456249.9999999998</v>
      </c>
      <c r="W297" s="4">
        <f t="shared" si="13"/>
        <v>6657142.8571428563</v>
      </c>
      <c r="X297" s="4">
        <f t="shared" si="14"/>
        <v>6657142.8571428563</v>
      </c>
      <c r="Y297" s="5">
        <f t="shared" si="15"/>
        <v>0.40000000343347636</v>
      </c>
    </row>
    <row r="298" spans="1:25" x14ac:dyDescent="0.25">
      <c r="A298" s="1" t="s">
        <v>84</v>
      </c>
      <c r="B298" s="1" t="s">
        <v>40</v>
      </c>
      <c r="C298" s="1" t="s">
        <v>27</v>
      </c>
      <c r="D298" s="1">
        <v>16513150</v>
      </c>
      <c r="E298" s="1">
        <v>677173</v>
      </c>
      <c r="F298" s="1">
        <v>677173</v>
      </c>
      <c r="G298" s="1">
        <v>973241.4</v>
      </c>
      <c r="H298" s="1">
        <v>973241.4</v>
      </c>
      <c r="I298" s="1">
        <v>1488452.9</v>
      </c>
      <c r="J298" s="1">
        <v>1488452.9</v>
      </c>
      <c r="K298" s="1">
        <v>643518</v>
      </c>
      <c r="L298" s="1">
        <v>643518</v>
      </c>
      <c r="M298" s="1">
        <v>0</v>
      </c>
      <c r="N298" s="1">
        <v>0</v>
      </c>
      <c r="O298" s="1">
        <v>3533801.9</v>
      </c>
      <c r="P298" s="1">
        <v>3533801.9</v>
      </c>
      <c r="Q298" s="1">
        <v>2944310</v>
      </c>
      <c r="R298" s="1">
        <v>2944310</v>
      </c>
      <c r="S298" s="1">
        <v>1517320</v>
      </c>
      <c r="T298" s="1">
        <v>1517320</v>
      </c>
      <c r="U298" s="1">
        <v>1402618</v>
      </c>
      <c r="V298" s="1">
        <v>1402618</v>
      </c>
      <c r="W298" s="4">
        <f t="shared" si="13"/>
        <v>13180435.200000001</v>
      </c>
      <c r="X298" s="4">
        <f t="shared" si="14"/>
        <v>13180435.200000001</v>
      </c>
      <c r="Y298" s="5">
        <f t="shared" si="15"/>
        <v>0.79817813076245303</v>
      </c>
    </row>
    <row r="299" spans="1:25" x14ac:dyDescent="0.25">
      <c r="A299" s="1" t="s">
        <v>84</v>
      </c>
      <c r="B299" s="1" t="s">
        <v>41</v>
      </c>
      <c r="C299" s="1" t="s">
        <v>27</v>
      </c>
      <c r="D299" s="1">
        <v>9998608</v>
      </c>
      <c r="E299" s="1">
        <v>1183712.9222734105</v>
      </c>
      <c r="F299" s="1">
        <v>1183712.9222734105</v>
      </c>
      <c r="G299" s="1">
        <v>1159804</v>
      </c>
      <c r="H299" s="1">
        <v>1159804</v>
      </c>
      <c r="I299" s="1">
        <v>530000</v>
      </c>
      <c r="J299" s="1">
        <v>530000</v>
      </c>
      <c r="K299" s="1">
        <v>1309500</v>
      </c>
      <c r="L299" s="1">
        <v>1309500</v>
      </c>
      <c r="M299" s="1">
        <v>1491034.1541474711</v>
      </c>
      <c r="N299" s="1">
        <v>1491034.1541474711</v>
      </c>
      <c r="O299" s="1">
        <v>2303522.7694316474</v>
      </c>
      <c r="P299" s="1">
        <v>2303522.7694316474</v>
      </c>
      <c r="Q299" s="1">
        <v>1491034.1541474711</v>
      </c>
      <c r="R299" s="1">
        <v>1491034.1541474711</v>
      </c>
      <c r="S299" s="1">
        <v>0</v>
      </c>
      <c r="T299" s="1">
        <v>0</v>
      </c>
      <c r="U299" s="1">
        <v>0</v>
      </c>
      <c r="V299" s="1">
        <v>0</v>
      </c>
      <c r="W299" s="4">
        <f t="shared" si="13"/>
        <v>9468608</v>
      </c>
      <c r="X299" s="4">
        <f t="shared" si="14"/>
        <v>9468608</v>
      </c>
      <c r="Y299" s="5">
        <f t="shared" si="15"/>
        <v>0.94699262137289508</v>
      </c>
    </row>
    <row r="300" spans="1:25" x14ac:dyDescent="0.25">
      <c r="A300" s="1" t="s">
        <v>84</v>
      </c>
      <c r="B300" s="1" t="s">
        <v>42</v>
      </c>
      <c r="C300" s="1" t="s">
        <v>27</v>
      </c>
      <c r="D300" s="1">
        <v>1169370</v>
      </c>
      <c r="E300" s="1">
        <v>584685</v>
      </c>
      <c r="F300" s="1">
        <v>584685</v>
      </c>
      <c r="G300" s="1">
        <v>584685</v>
      </c>
      <c r="H300" s="1">
        <v>584685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4">
        <f t="shared" si="13"/>
        <v>1169370</v>
      </c>
      <c r="X300" s="4">
        <f t="shared" si="14"/>
        <v>1169370</v>
      </c>
      <c r="Y300" s="5">
        <f t="shared" si="15"/>
        <v>1</v>
      </c>
    </row>
    <row r="301" spans="1:25" x14ac:dyDescent="0.25">
      <c r="A301" s="1" t="s">
        <v>84</v>
      </c>
      <c r="B301" s="1" t="s">
        <v>43</v>
      </c>
      <c r="C301" s="1" t="s">
        <v>31</v>
      </c>
      <c r="D301" s="1">
        <v>1883966</v>
      </c>
      <c r="E301" s="1">
        <v>109436.55489692146</v>
      </c>
      <c r="F301" s="1">
        <v>109436.55489692146</v>
      </c>
      <c r="G301" s="1">
        <v>136795.69362115182</v>
      </c>
      <c r="H301" s="1">
        <v>136795.69362115182</v>
      </c>
      <c r="I301" s="1">
        <v>136795.69362115182</v>
      </c>
      <c r="J301" s="1">
        <v>136795.69362115182</v>
      </c>
      <c r="K301" s="1">
        <v>136795.69362115182</v>
      </c>
      <c r="L301" s="1">
        <v>136795.69362115182</v>
      </c>
      <c r="M301" s="1">
        <v>101717.7996292224</v>
      </c>
      <c r="N301" s="1">
        <v>101717.7996292224</v>
      </c>
      <c r="O301" s="1">
        <v>84764.833024352003</v>
      </c>
      <c r="P301" s="1">
        <v>84764.833024352003</v>
      </c>
      <c r="Q301" s="1">
        <v>105052.89422212519</v>
      </c>
      <c r="R301" s="1">
        <v>105052.89422212519</v>
      </c>
      <c r="S301" s="1">
        <v>118670.76623409279</v>
      </c>
      <c r="T301" s="1">
        <v>118670.76623409279</v>
      </c>
      <c r="U301" s="1">
        <v>118670.76623409279</v>
      </c>
      <c r="V301" s="1">
        <v>118670.76623409279</v>
      </c>
      <c r="W301" s="4">
        <f t="shared" si="13"/>
        <v>1048700.6951042621</v>
      </c>
      <c r="X301" s="4">
        <f t="shared" si="14"/>
        <v>1048700.6951042621</v>
      </c>
      <c r="Y301" s="5">
        <f t="shared" si="15"/>
        <v>0.5566452340988437</v>
      </c>
    </row>
    <row r="302" spans="1:25" x14ac:dyDescent="0.25">
      <c r="A302" s="1" t="s">
        <v>84</v>
      </c>
      <c r="B302" s="1" t="s">
        <v>64</v>
      </c>
      <c r="C302" s="1" t="s">
        <v>23</v>
      </c>
      <c r="D302" s="1">
        <v>3597243.0868885512</v>
      </c>
      <c r="E302" s="1">
        <v>237418.04373464442</v>
      </c>
      <c r="F302" s="1">
        <v>237418.04373464442</v>
      </c>
      <c r="G302" s="1">
        <v>296772.5546683055</v>
      </c>
      <c r="H302" s="1">
        <v>296772.5546683055</v>
      </c>
      <c r="I302" s="1">
        <v>296772.5546683055</v>
      </c>
      <c r="J302" s="1">
        <v>296772.5546683055</v>
      </c>
      <c r="K302" s="1">
        <v>296772.5546683055</v>
      </c>
      <c r="L302" s="1">
        <v>296772.5546683055</v>
      </c>
      <c r="M302" s="1">
        <v>180761.46511614966</v>
      </c>
      <c r="N302" s="1">
        <v>180761.46511614966</v>
      </c>
      <c r="O302" s="1">
        <v>150634.55426345806</v>
      </c>
      <c r="P302" s="1">
        <v>150634.55426345806</v>
      </c>
      <c r="Q302" s="1">
        <v>210888.37596884128</v>
      </c>
      <c r="R302" s="1">
        <v>210888.37596884128</v>
      </c>
      <c r="S302" s="1">
        <v>210888.37596884128</v>
      </c>
      <c r="T302" s="1">
        <v>210888.37596884128</v>
      </c>
      <c r="U302" s="1">
        <v>210888.37596884128</v>
      </c>
      <c r="V302" s="1">
        <v>210888.37596884128</v>
      </c>
      <c r="W302" s="4">
        <f t="shared" si="13"/>
        <v>2091796.8550256924</v>
      </c>
      <c r="X302" s="4">
        <f t="shared" si="14"/>
        <v>2091796.8550256924</v>
      </c>
      <c r="Y302" s="5">
        <f t="shared" si="15"/>
        <v>0.58149999999999991</v>
      </c>
    </row>
    <row r="303" spans="1:25" x14ac:dyDescent="0.25">
      <c r="A303" s="1" t="s">
        <v>84</v>
      </c>
      <c r="B303" s="1" t="s">
        <v>65</v>
      </c>
      <c r="C303" s="1" t="s">
        <v>31</v>
      </c>
      <c r="D303" s="1">
        <v>1657999.9841015225</v>
      </c>
      <c r="E303" s="1">
        <v>109427.99895070049</v>
      </c>
      <c r="F303" s="1">
        <v>109427.99895070049</v>
      </c>
      <c r="G303" s="1">
        <v>136784.99868837561</v>
      </c>
      <c r="H303" s="1">
        <v>136784.99868837561</v>
      </c>
      <c r="I303" s="1">
        <v>136784.99868837561</v>
      </c>
      <c r="J303" s="1">
        <v>136784.99868837561</v>
      </c>
      <c r="K303" s="1">
        <v>136784.99868837561</v>
      </c>
      <c r="L303" s="1">
        <v>136784.99868837561</v>
      </c>
      <c r="M303" s="1">
        <v>83314.499201101498</v>
      </c>
      <c r="N303" s="1">
        <v>83314.499201101498</v>
      </c>
      <c r="O303" s="1">
        <v>69428.749334251246</v>
      </c>
      <c r="P303" s="1">
        <v>69428.749334251246</v>
      </c>
      <c r="Q303" s="1">
        <v>97200.249067951736</v>
      </c>
      <c r="R303" s="1">
        <v>97200.249067951736</v>
      </c>
      <c r="S303" s="1">
        <v>97200.249067951736</v>
      </c>
      <c r="T303" s="1">
        <v>97200.249067951736</v>
      </c>
      <c r="U303" s="1">
        <v>97200.249067951736</v>
      </c>
      <c r="V303" s="1">
        <v>97200.249067951736</v>
      </c>
      <c r="W303" s="4">
        <f t="shared" si="13"/>
        <v>964126.99075503519</v>
      </c>
      <c r="X303" s="4">
        <f t="shared" si="14"/>
        <v>964126.99075503519</v>
      </c>
      <c r="Y303" s="5">
        <f t="shared" si="15"/>
        <v>0.58149999999999991</v>
      </c>
    </row>
    <row r="304" spans="1:25" x14ac:dyDescent="0.25">
      <c r="A304" s="1" t="s">
        <v>84</v>
      </c>
      <c r="B304" s="1" t="s">
        <v>44</v>
      </c>
      <c r="C304" s="1" t="s">
        <v>45</v>
      </c>
      <c r="D304" s="1">
        <v>3880477.8495881674</v>
      </c>
      <c r="E304" s="1">
        <v>256111.53807281909</v>
      </c>
      <c r="F304" s="1">
        <v>256111.53807281909</v>
      </c>
      <c r="G304" s="1">
        <v>320139.42259102385</v>
      </c>
      <c r="H304" s="1">
        <v>320139.42259102385</v>
      </c>
      <c r="I304" s="1">
        <v>320139.42259102385</v>
      </c>
      <c r="J304" s="1">
        <v>320139.42259102385</v>
      </c>
      <c r="K304" s="1">
        <v>320139.42259102385</v>
      </c>
      <c r="L304" s="1">
        <v>320139.42259102385</v>
      </c>
      <c r="M304" s="1">
        <v>194994.01194180537</v>
      </c>
      <c r="N304" s="1">
        <v>194994.01194180537</v>
      </c>
      <c r="O304" s="1">
        <v>162495.00995150447</v>
      </c>
      <c r="P304" s="1">
        <v>162495.00995150447</v>
      </c>
      <c r="Q304" s="1">
        <v>227493.01393210626</v>
      </c>
      <c r="R304" s="1">
        <v>227493.01393210626</v>
      </c>
      <c r="S304" s="1">
        <v>227493.01393210626</v>
      </c>
      <c r="T304" s="1">
        <v>227493.01393210626</v>
      </c>
      <c r="U304" s="1">
        <v>227493.01393210626</v>
      </c>
      <c r="V304" s="1">
        <v>227493.01393210626</v>
      </c>
      <c r="W304" s="4">
        <f t="shared" si="13"/>
        <v>2256497.8695355188</v>
      </c>
      <c r="X304" s="4">
        <f t="shared" si="14"/>
        <v>2256497.8695355188</v>
      </c>
      <c r="Y304" s="5">
        <f t="shared" si="15"/>
        <v>0.58149999999999991</v>
      </c>
    </row>
    <row r="305" spans="1:25" x14ac:dyDescent="0.25">
      <c r="A305" s="1" t="s">
        <v>84</v>
      </c>
      <c r="B305" s="1" t="s">
        <v>46</v>
      </c>
      <c r="C305" s="1" t="s">
        <v>22</v>
      </c>
      <c r="D305" s="1">
        <v>20166079.030108806</v>
      </c>
      <c r="E305" s="1">
        <v>1332207.9638067822</v>
      </c>
      <c r="F305" s="1">
        <v>1332207.9638067822</v>
      </c>
      <c r="G305" s="1">
        <v>1665259.9547584776</v>
      </c>
      <c r="H305" s="1">
        <v>1665259.9547584776</v>
      </c>
      <c r="I305" s="1">
        <v>1665259.9547584776</v>
      </c>
      <c r="J305" s="1">
        <v>1665259.9547584776</v>
      </c>
      <c r="K305" s="1">
        <v>1665259.9547584776</v>
      </c>
      <c r="L305" s="1">
        <v>1665259.9547584776</v>
      </c>
      <c r="M305" s="1">
        <v>1044895.8704417417</v>
      </c>
      <c r="N305" s="1">
        <v>1044895.8704417417</v>
      </c>
      <c r="O305" s="1">
        <v>849698.34495937079</v>
      </c>
      <c r="P305" s="1">
        <v>849698.34495937079</v>
      </c>
      <c r="Q305" s="1">
        <v>1176354.6111011538</v>
      </c>
      <c r="R305" s="1">
        <v>1176354.6111011538</v>
      </c>
      <c r="S305" s="1">
        <v>1176354.6111011538</v>
      </c>
      <c r="T305" s="1">
        <v>1176354.6111011538</v>
      </c>
      <c r="U305" s="1">
        <v>1176354.6111011538</v>
      </c>
      <c r="V305" s="1">
        <v>1176354.6111011538</v>
      </c>
      <c r="W305" s="4">
        <f t="shared" si="13"/>
        <v>11751645.876786789</v>
      </c>
      <c r="X305" s="4">
        <f t="shared" si="14"/>
        <v>11751645.876786789</v>
      </c>
      <c r="Y305" s="5">
        <f t="shared" si="15"/>
        <v>0.58274322238056719</v>
      </c>
    </row>
    <row r="306" spans="1:25" x14ac:dyDescent="0.25">
      <c r="A306" s="1" t="s">
        <v>84</v>
      </c>
      <c r="B306" s="1" t="s">
        <v>66</v>
      </c>
      <c r="C306" s="1" t="s">
        <v>24</v>
      </c>
      <c r="D306" s="1">
        <v>53122684.290466115</v>
      </c>
      <c r="E306" s="1">
        <v>4382621.4539634548</v>
      </c>
      <c r="F306" s="1">
        <v>4382621.4539634548</v>
      </c>
      <c r="G306" s="1">
        <v>4382621.4539634548</v>
      </c>
      <c r="H306" s="1">
        <v>4382621.4539634548</v>
      </c>
      <c r="I306" s="1">
        <v>4382621.4539634548</v>
      </c>
      <c r="J306" s="1">
        <v>4382621.4539634548</v>
      </c>
      <c r="K306" s="1">
        <v>4382621.4539634548</v>
      </c>
      <c r="L306" s="1">
        <v>4382621.4539634548</v>
      </c>
      <c r="M306" s="1">
        <v>4603965.8508128459</v>
      </c>
      <c r="N306" s="1">
        <v>4603965.8508128459</v>
      </c>
      <c r="O306" s="1">
        <v>4426890.333333333</v>
      </c>
      <c r="P306" s="1">
        <v>4426890.333333333</v>
      </c>
      <c r="Q306" s="1">
        <v>4426890.333333333</v>
      </c>
      <c r="R306" s="1">
        <v>4426890.333333333</v>
      </c>
      <c r="S306" s="1">
        <v>4426890.333333333</v>
      </c>
      <c r="T306" s="1">
        <v>4426890.333333333</v>
      </c>
      <c r="U306" s="1">
        <v>4426890.333333333</v>
      </c>
      <c r="V306" s="1">
        <v>4426890.333333333</v>
      </c>
      <c r="W306" s="4">
        <f t="shared" si="13"/>
        <v>39842013</v>
      </c>
      <c r="X306" s="4">
        <f t="shared" si="14"/>
        <v>39842013</v>
      </c>
      <c r="Y306" s="5">
        <f t="shared" si="15"/>
        <v>0.74999999589912314</v>
      </c>
    </row>
    <row r="307" spans="1:25" x14ac:dyDescent="0.25">
      <c r="A307" s="1" t="s">
        <v>84</v>
      </c>
      <c r="B307" s="1" t="s">
        <v>67</v>
      </c>
      <c r="C307" s="1" t="s">
        <v>68</v>
      </c>
      <c r="D307" s="1">
        <v>5916750.6585043678</v>
      </c>
      <c r="E307" s="1">
        <v>390505.54346128833</v>
      </c>
      <c r="F307" s="1">
        <v>390505.54346128833</v>
      </c>
      <c r="G307" s="1">
        <v>488131.92932661035</v>
      </c>
      <c r="H307" s="1">
        <v>488131.92932661035</v>
      </c>
      <c r="I307" s="1">
        <v>488131.92932661035</v>
      </c>
      <c r="J307" s="1">
        <v>488131.92932661035</v>
      </c>
      <c r="K307" s="1">
        <v>488131.92932661035</v>
      </c>
      <c r="L307" s="1">
        <v>488131.92932661035</v>
      </c>
      <c r="M307" s="1">
        <v>307671.03424222715</v>
      </c>
      <c r="N307" s="1">
        <v>307671.03424222715</v>
      </c>
      <c r="O307" s="1">
        <v>246531.277437682</v>
      </c>
      <c r="P307" s="1">
        <v>246531.277437682</v>
      </c>
      <c r="Q307" s="1">
        <v>345143.78841275477</v>
      </c>
      <c r="R307" s="1">
        <v>345143.78841275477</v>
      </c>
      <c r="S307" s="1">
        <v>345143.78841275477</v>
      </c>
      <c r="T307" s="1">
        <v>345143.78841275477</v>
      </c>
      <c r="U307" s="1">
        <v>345143.78841275477</v>
      </c>
      <c r="V307" s="1">
        <v>345143.78841275477</v>
      </c>
      <c r="W307" s="4">
        <f t="shared" si="13"/>
        <v>3444535.0083592925</v>
      </c>
      <c r="X307" s="4">
        <f t="shared" si="14"/>
        <v>3444535.0083592925</v>
      </c>
      <c r="Y307" s="5">
        <f t="shared" si="15"/>
        <v>0.58216666666666661</v>
      </c>
    </row>
    <row r="308" spans="1:25" x14ac:dyDescent="0.25">
      <c r="A308" s="1" t="s">
        <v>84</v>
      </c>
      <c r="B308" s="1" t="s">
        <v>69</v>
      </c>
      <c r="C308" s="1" t="s">
        <v>28</v>
      </c>
      <c r="D308" s="1">
        <v>1745636.2426669535</v>
      </c>
      <c r="E308" s="1">
        <v>115211.99201601894</v>
      </c>
      <c r="F308" s="1">
        <v>115211.99201601894</v>
      </c>
      <c r="G308" s="1">
        <v>144014.99002002366</v>
      </c>
      <c r="H308" s="1">
        <v>144014.99002002366</v>
      </c>
      <c r="I308" s="1">
        <v>144014.99002002366</v>
      </c>
      <c r="J308" s="1">
        <v>144014.99002002366</v>
      </c>
      <c r="K308" s="1">
        <v>144014.99002002366</v>
      </c>
      <c r="L308" s="1">
        <v>144014.99002002366</v>
      </c>
      <c r="M308" s="1">
        <v>87718.221194014404</v>
      </c>
      <c r="N308" s="1">
        <v>87718.221194014404</v>
      </c>
      <c r="O308" s="1">
        <v>73098.517661678678</v>
      </c>
      <c r="P308" s="1">
        <v>73098.517661678678</v>
      </c>
      <c r="Q308" s="1">
        <v>102337.92472635015</v>
      </c>
      <c r="R308" s="1">
        <v>102337.92472635015</v>
      </c>
      <c r="S308" s="1">
        <v>102337.92472635015</v>
      </c>
      <c r="T308" s="1">
        <v>102337.92472635015</v>
      </c>
      <c r="U308" s="1">
        <v>102337.92472635015</v>
      </c>
      <c r="V308" s="1">
        <v>102337.92472635015</v>
      </c>
      <c r="W308" s="4">
        <f t="shared" si="13"/>
        <v>1015087.4751108334</v>
      </c>
      <c r="X308" s="4">
        <f t="shared" si="14"/>
        <v>1015087.4751108334</v>
      </c>
      <c r="Y308" s="5">
        <f t="shared" si="15"/>
        <v>0.58150000000000002</v>
      </c>
    </row>
    <row r="309" spans="1:25" x14ac:dyDescent="0.25">
      <c r="A309" s="1" t="s">
        <v>84</v>
      </c>
      <c r="B309" s="1" t="s">
        <v>70</v>
      </c>
      <c r="C309" s="1" t="s">
        <v>23</v>
      </c>
      <c r="D309" s="1">
        <v>5512499.9465624997</v>
      </c>
      <c r="E309" s="1">
        <v>363824.99647312501</v>
      </c>
      <c r="F309" s="1">
        <v>363824.99647312501</v>
      </c>
      <c r="G309" s="1">
        <v>454781.24559140624</v>
      </c>
      <c r="H309" s="1">
        <v>454781.24559140624</v>
      </c>
      <c r="I309" s="1">
        <v>454781.24559140624</v>
      </c>
      <c r="J309" s="1">
        <v>454781.24559140624</v>
      </c>
      <c r="K309" s="1">
        <v>454781.24559140624</v>
      </c>
      <c r="L309" s="1">
        <v>454781.24559140624</v>
      </c>
      <c r="M309" s="1">
        <v>277003.12231476558</v>
      </c>
      <c r="N309" s="1">
        <v>277003.12231476558</v>
      </c>
      <c r="O309" s="1">
        <v>230835.93526230467</v>
      </c>
      <c r="P309" s="1">
        <v>230835.93526230467</v>
      </c>
      <c r="Q309" s="1">
        <v>323170.30936722649</v>
      </c>
      <c r="R309" s="1">
        <v>323170.30936722649</v>
      </c>
      <c r="S309" s="1">
        <v>323170.30936722649</v>
      </c>
      <c r="T309" s="1">
        <v>323170.30936722649</v>
      </c>
      <c r="U309" s="1">
        <v>323170.30936722649</v>
      </c>
      <c r="V309" s="1">
        <v>323170.30936722649</v>
      </c>
      <c r="W309" s="4">
        <f t="shared" si="13"/>
        <v>3205518.718926094</v>
      </c>
      <c r="X309" s="4">
        <f t="shared" si="14"/>
        <v>3205518.718926094</v>
      </c>
      <c r="Y309" s="5">
        <f t="shared" si="15"/>
        <v>0.58150000000000013</v>
      </c>
    </row>
    <row r="310" spans="1:25" x14ac:dyDescent="0.25">
      <c r="A310" s="1" t="s">
        <v>84</v>
      </c>
      <c r="B310" s="1" t="s">
        <v>71</v>
      </c>
      <c r="C310" s="1" t="s">
        <v>29</v>
      </c>
      <c r="D310" s="1">
        <v>3594573.271153844</v>
      </c>
      <c r="E310" s="1">
        <v>237241.8358961537</v>
      </c>
      <c r="F310" s="1">
        <v>237241.8358961537</v>
      </c>
      <c r="G310" s="1">
        <v>296552.29487019213</v>
      </c>
      <c r="H310" s="1">
        <v>296552.29487019213</v>
      </c>
      <c r="I310" s="1">
        <v>296552.29487019213</v>
      </c>
      <c r="J310" s="1">
        <v>296552.29487019213</v>
      </c>
      <c r="K310" s="1">
        <v>296552.29487019213</v>
      </c>
      <c r="L310" s="1">
        <v>296552.29487019213</v>
      </c>
      <c r="M310" s="1">
        <v>180627.30687548063</v>
      </c>
      <c r="N310" s="1">
        <v>180627.30687548063</v>
      </c>
      <c r="O310" s="1">
        <v>150522.7557295672</v>
      </c>
      <c r="P310" s="1">
        <v>150522.7557295672</v>
      </c>
      <c r="Q310" s="1">
        <v>210731.85802139406</v>
      </c>
      <c r="R310" s="1">
        <v>210731.85802139406</v>
      </c>
      <c r="S310" s="1">
        <v>210731.85802139406</v>
      </c>
      <c r="T310" s="1">
        <v>210731.85802139406</v>
      </c>
      <c r="U310" s="1">
        <v>210731.85802139406</v>
      </c>
      <c r="V310" s="1">
        <v>210731.85802139406</v>
      </c>
      <c r="W310" s="4">
        <f t="shared" si="13"/>
        <v>2090244.3571759602</v>
      </c>
      <c r="X310" s="4">
        <f t="shared" si="14"/>
        <v>2090244.3571759602</v>
      </c>
      <c r="Y310" s="5">
        <f t="shared" si="15"/>
        <v>0.58150000000000002</v>
      </c>
    </row>
    <row r="311" spans="1:25" x14ac:dyDescent="0.25">
      <c r="A311" s="1" t="s">
        <v>84</v>
      </c>
      <c r="B311" s="1" t="s">
        <v>72</v>
      </c>
      <c r="C311" s="1" t="s">
        <v>73</v>
      </c>
      <c r="D311" s="1">
        <v>2799513.4713753439</v>
      </c>
      <c r="E311" s="1">
        <v>184767.88911077272</v>
      </c>
      <c r="F311" s="1">
        <v>184767.88911077272</v>
      </c>
      <c r="G311" s="1">
        <v>230959.86138846588</v>
      </c>
      <c r="H311" s="1">
        <v>230959.86138846588</v>
      </c>
      <c r="I311" s="1">
        <v>230959.86138846588</v>
      </c>
      <c r="J311" s="1">
        <v>230959.86138846588</v>
      </c>
      <c r="K311" s="1">
        <v>230959.86138846588</v>
      </c>
      <c r="L311" s="1">
        <v>230959.86138846588</v>
      </c>
      <c r="M311" s="1">
        <v>140675.55193661104</v>
      </c>
      <c r="N311" s="1">
        <v>140675.55193661104</v>
      </c>
      <c r="O311" s="1">
        <v>117229.62661384253</v>
      </c>
      <c r="P311" s="1">
        <v>117229.62661384253</v>
      </c>
      <c r="Q311" s="1">
        <v>164121.47725937952</v>
      </c>
      <c r="R311" s="1">
        <v>164121.47725937952</v>
      </c>
      <c r="S311" s="1">
        <v>164121.47725937952</v>
      </c>
      <c r="T311" s="1">
        <v>164121.47725937952</v>
      </c>
      <c r="U311" s="1">
        <v>164121.47725937952</v>
      </c>
      <c r="V311" s="1">
        <v>164121.47725937952</v>
      </c>
      <c r="W311" s="4">
        <f t="shared" si="13"/>
        <v>1627917.0836047623</v>
      </c>
      <c r="X311" s="4">
        <f t="shared" si="14"/>
        <v>1627917.0836047623</v>
      </c>
      <c r="Y311" s="5">
        <f t="shared" si="15"/>
        <v>0.58149999999999991</v>
      </c>
    </row>
    <row r="312" spans="1:25" x14ac:dyDescent="0.25">
      <c r="A312" s="1" t="s">
        <v>84</v>
      </c>
      <c r="B312" s="1" t="s">
        <v>48</v>
      </c>
      <c r="C312" s="1" t="s">
        <v>49</v>
      </c>
      <c r="D312" s="1">
        <v>2639373.6392840343</v>
      </c>
      <c r="E312" s="1">
        <v>174198.66019274629</v>
      </c>
      <c r="F312" s="1">
        <v>174198.66019274629</v>
      </c>
      <c r="G312" s="1">
        <v>217748.32524093284</v>
      </c>
      <c r="H312" s="1">
        <v>217748.32524093284</v>
      </c>
      <c r="I312" s="1">
        <v>217748.32524093284</v>
      </c>
      <c r="J312" s="1">
        <v>217748.32524093284</v>
      </c>
      <c r="K312" s="1">
        <v>217748.32524093284</v>
      </c>
      <c r="L312" s="1">
        <v>217748.32524093284</v>
      </c>
      <c r="M312" s="1">
        <v>132628.52537402269</v>
      </c>
      <c r="N312" s="1">
        <v>132628.52537402269</v>
      </c>
      <c r="O312" s="1">
        <v>110523.77114501892</v>
      </c>
      <c r="P312" s="1">
        <v>110523.77114501892</v>
      </c>
      <c r="Q312" s="1">
        <v>154733.27960302649</v>
      </c>
      <c r="R312" s="1">
        <v>154733.27960302649</v>
      </c>
      <c r="S312" s="1">
        <v>154733.27960302649</v>
      </c>
      <c r="T312" s="1">
        <v>154733.27960302649</v>
      </c>
      <c r="U312" s="1">
        <v>154733.27960302649</v>
      </c>
      <c r="V312" s="1">
        <v>154733.27960302649</v>
      </c>
      <c r="W312" s="4">
        <f t="shared" si="13"/>
        <v>1534795.7712436658</v>
      </c>
      <c r="X312" s="4">
        <f t="shared" si="14"/>
        <v>1534795.7712436658</v>
      </c>
      <c r="Y312" s="5">
        <f t="shared" si="15"/>
        <v>0.58150000000000002</v>
      </c>
    </row>
    <row r="313" spans="1:25" x14ac:dyDescent="0.25">
      <c r="A313" s="1" t="s">
        <v>84</v>
      </c>
      <c r="B313" s="1" t="s">
        <v>53</v>
      </c>
      <c r="C313" s="1" t="s">
        <v>30</v>
      </c>
      <c r="D313" s="1">
        <v>3286014.9262045384</v>
      </c>
      <c r="E313" s="1">
        <v>216876.98512949955</v>
      </c>
      <c r="F313" s="1">
        <v>216876.98512949955</v>
      </c>
      <c r="G313" s="1">
        <v>271096.23141187441</v>
      </c>
      <c r="H313" s="1">
        <v>271096.23141187441</v>
      </c>
      <c r="I313" s="1">
        <v>271096.23141187441</v>
      </c>
      <c r="J313" s="1">
        <v>271096.23141187441</v>
      </c>
      <c r="K313" s="1">
        <v>271096.23141187441</v>
      </c>
      <c r="L313" s="1">
        <v>271096.23141187441</v>
      </c>
      <c r="M313" s="1">
        <v>165122.25004177805</v>
      </c>
      <c r="N313" s="1">
        <v>165122.25004177805</v>
      </c>
      <c r="O313" s="1">
        <v>137601.87503481505</v>
      </c>
      <c r="P313" s="1">
        <v>137601.87503481505</v>
      </c>
      <c r="Q313" s="1">
        <v>192642.62504874106</v>
      </c>
      <c r="R313" s="1">
        <v>192642.62504874106</v>
      </c>
      <c r="S313" s="1">
        <v>192642.62504874106</v>
      </c>
      <c r="T313" s="1">
        <v>192642.62504874106</v>
      </c>
      <c r="U313" s="1">
        <v>192642.62504874106</v>
      </c>
      <c r="V313" s="1">
        <v>192642.62504874106</v>
      </c>
      <c r="W313" s="4">
        <f t="shared" si="13"/>
        <v>1910817.6795879391</v>
      </c>
      <c r="X313" s="4">
        <f t="shared" si="14"/>
        <v>1910817.6795879391</v>
      </c>
      <c r="Y313" s="5">
        <f t="shared" si="15"/>
        <v>0.58150000000000002</v>
      </c>
    </row>
    <row r="314" spans="1:25" x14ac:dyDescent="0.25">
      <c r="A314" s="1" t="s">
        <v>84</v>
      </c>
      <c r="B314" s="1" t="s">
        <v>74</v>
      </c>
      <c r="C314" s="1" t="s">
        <v>75</v>
      </c>
      <c r="D314" s="1">
        <v>4158256.9477173518</v>
      </c>
      <c r="E314" s="1">
        <v>274444.95854934526</v>
      </c>
      <c r="F314" s="1">
        <v>274444.95854934526</v>
      </c>
      <c r="G314" s="1">
        <v>343056.19818668155</v>
      </c>
      <c r="H314" s="1">
        <v>343056.19818668155</v>
      </c>
      <c r="I314" s="1">
        <v>343056.19818668155</v>
      </c>
      <c r="J314" s="1">
        <v>343056.19818668155</v>
      </c>
      <c r="K314" s="1">
        <v>343056.19818668155</v>
      </c>
      <c r="L314" s="1">
        <v>343056.19818668155</v>
      </c>
      <c r="M314" s="1">
        <v>208952.41162279691</v>
      </c>
      <c r="N314" s="1">
        <v>208952.41162279691</v>
      </c>
      <c r="O314" s="1">
        <v>174127.00968566409</v>
      </c>
      <c r="P314" s="1">
        <v>174127.00968566409</v>
      </c>
      <c r="Q314" s="1">
        <v>243777.81355992969</v>
      </c>
      <c r="R314" s="1">
        <v>243777.81355992969</v>
      </c>
      <c r="S314" s="1">
        <v>243777.81355992969</v>
      </c>
      <c r="T314" s="1">
        <v>243777.81355992969</v>
      </c>
      <c r="U314" s="1">
        <v>243777.81355992969</v>
      </c>
      <c r="V314" s="1">
        <v>243777.81355992969</v>
      </c>
      <c r="W314" s="4">
        <f t="shared" si="13"/>
        <v>2418026.4150976404</v>
      </c>
      <c r="X314" s="4">
        <f t="shared" si="14"/>
        <v>2418026.4150976404</v>
      </c>
      <c r="Y314" s="5">
        <f t="shared" si="15"/>
        <v>0.58150000000000002</v>
      </c>
    </row>
    <row r="315" spans="1:25" x14ac:dyDescent="0.25">
      <c r="A315" s="1" t="s">
        <v>84</v>
      </c>
      <c r="B315" s="1" t="s">
        <v>50</v>
      </c>
      <c r="C315" s="1" t="s">
        <v>25</v>
      </c>
      <c r="D315" s="1">
        <v>2771342.3212482356</v>
      </c>
      <c r="E315" s="1">
        <v>182908.59320238358</v>
      </c>
      <c r="F315" s="1">
        <v>182908.59320238358</v>
      </c>
      <c r="G315" s="1">
        <v>228635.74150297945</v>
      </c>
      <c r="H315" s="1">
        <v>228635.74150297945</v>
      </c>
      <c r="I315" s="1">
        <v>228635.74150297945</v>
      </c>
      <c r="J315" s="1">
        <v>228635.74150297945</v>
      </c>
      <c r="K315" s="1">
        <v>228635.74150297945</v>
      </c>
      <c r="L315" s="1">
        <v>228635.74150297945</v>
      </c>
      <c r="M315" s="1">
        <v>139259.95164272384</v>
      </c>
      <c r="N315" s="1">
        <v>139259.95164272384</v>
      </c>
      <c r="O315" s="1">
        <v>116049.95970226987</v>
      </c>
      <c r="P315" s="1">
        <v>116049.95970226987</v>
      </c>
      <c r="Q315" s="1">
        <v>162469.94358317781</v>
      </c>
      <c r="R315" s="1">
        <v>162469.94358317781</v>
      </c>
      <c r="S315" s="1">
        <v>162469.94358317781</v>
      </c>
      <c r="T315" s="1">
        <v>162469.94358317781</v>
      </c>
      <c r="U315" s="1">
        <v>162469.94358317781</v>
      </c>
      <c r="V315" s="1">
        <v>162469.94358317781</v>
      </c>
      <c r="W315" s="4">
        <f t="shared" si="13"/>
        <v>1611535.5598058491</v>
      </c>
      <c r="X315" s="4">
        <f t="shared" si="14"/>
        <v>1611535.5598058491</v>
      </c>
      <c r="Y315" s="5">
        <f t="shared" si="15"/>
        <v>0.58150000000000002</v>
      </c>
    </row>
    <row r="316" spans="1:25" x14ac:dyDescent="0.25">
      <c r="A316" s="1" t="s">
        <v>85</v>
      </c>
      <c r="B316" s="1" t="s">
        <v>59</v>
      </c>
      <c r="C316" s="1" t="s">
        <v>26</v>
      </c>
      <c r="D316" s="1">
        <v>61296716</v>
      </c>
      <c r="E316" s="1">
        <v>5629583.246046517</v>
      </c>
      <c r="F316" s="1">
        <v>5629583.246046517</v>
      </c>
      <c r="G316" s="1">
        <v>7036979.0575581454</v>
      </c>
      <c r="H316" s="1">
        <v>7036979.0575581454</v>
      </c>
      <c r="I316" s="1">
        <v>7036979.0575581454</v>
      </c>
      <c r="J316" s="1">
        <v>7036979.0575581454</v>
      </c>
      <c r="K316" s="1">
        <v>7036979.0575581454</v>
      </c>
      <c r="L316" s="1">
        <v>7036979.0575581454</v>
      </c>
      <c r="M316" s="1">
        <v>4143599.9712209259</v>
      </c>
      <c r="N316" s="1">
        <v>4143599.9712209259</v>
      </c>
      <c r="O316" s="1">
        <v>4143599.9712209259</v>
      </c>
      <c r="P316" s="1">
        <v>4143599.9712209259</v>
      </c>
      <c r="Q316" s="1">
        <v>4143599.9712209259</v>
      </c>
      <c r="R316" s="1">
        <v>4143599.9712209259</v>
      </c>
      <c r="S316" s="1">
        <v>4143599.9712209259</v>
      </c>
      <c r="T316" s="1">
        <v>4143599.9712209259</v>
      </c>
      <c r="U316" s="1">
        <v>4143599.9712209259</v>
      </c>
      <c r="V316" s="1">
        <v>4143599.9712209259</v>
      </c>
      <c r="W316" s="4">
        <f t="shared" si="13"/>
        <v>47458520.274825588</v>
      </c>
      <c r="X316" s="4">
        <f t="shared" si="14"/>
        <v>47458520.274825588</v>
      </c>
      <c r="Y316" s="5">
        <f t="shared" si="15"/>
        <v>0.77424246145300157</v>
      </c>
    </row>
    <row r="317" spans="1:25" x14ac:dyDescent="0.25">
      <c r="A317" s="1" t="s">
        <v>85</v>
      </c>
      <c r="B317" s="1" t="s">
        <v>60</v>
      </c>
      <c r="C317" s="1" t="s">
        <v>26</v>
      </c>
      <c r="D317" s="1">
        <v>24000000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12000000</v>
      </c>
      <c r="N317" s="1">
        <v>12000000</v>
      </c>
      <c r="O317" s="1">
        <v>12000000</v>
      </c>
      <c r="P317" s="1">
        <v>12000000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4">
        <f t="shared" si="13"/>
        <v>24000000</v>
      </c>
      <c r="X317" s="4">
        <f t="shared" si="14"/>
        <v>24000000</v>
      </c>
      <c r="Y317" s="5">
        <f t="shared" si="15"/>
        <v>1</v>
      </c>
    </row>
    <row r="318" spans="1:25" x14ac:dyDescent="0.25">
      <c r="A318" s="1" t="s">
        <v>85</v>
      </c>
      <c r="B318" s="1" t="s">
        <v>33</v>
      </c>
      <c r="C318" s="1" t="s">
        <v>34</v>
      </c>
      <c r="D318" s="1">
        <v>216000000</v>
      </c>
      <c r="E318" s="1">
        <v>0</v>
      </c>
      <c r="F318" s="1">
        <v>0</v>
      </c>
      <c r="G318" s="1">
        <v>43200000</v>
      </c>
      <c r="H318" s="1">
        <v>43200000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64800000</v>
      </c>
      <c r="P318" s="1">
        <v>64800000</v>
      </c>
      <c r="Q318" s="1">
        <v>0</v>
      </c>
      <c r="R318" s="1">
        <v>0</v>
      </c>
      <c r="S318" s="1">
        <v>64800000</v>
      </c>
      <c r="T318" s="1">
        <v>64800000</v>
      </c>
      <c r="U318" s="1">
        <v>43200000</v>
      </c>
      <c r="V318" s="1">
        <v>43200000</v>
      </c>
      <c r="W318" s="4">
        <f t="shared" si="13"/>
        <v>216000000</v>
      </c>
      <c r="X318" s="4">
        <f t="shared" si="14"/>
        <v>216000000</v>
      </c>
      <c r="Y318" s="5">
        <f t="shared" si="15"/>
        <v>1</v>
      </c>
    </row>
    <row r="319" spans="1:25" x14ac:dyDescent="0.25">
      <c r="A319" s="1" t="s">
        <v>85</v>
      </c>
      <c r="B319" s="1" t="s">
        <v>35</v>
      </c>
      <c r="C319" s="1" t="s">
        <v>34</v>
      </c>
      <c r="D319" s="1">
        <v>540000000</v>
      </c>
      <c r="E319" s="1">
        <v>0</v>
      </c>
      <c r="F319" s="1">
        <v>0</v>
      </c>
      <c r="G319" s="1">
        <v>148500000</v>
      </c>
      <c r="H319" s="1">
        <v>148500000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130500000</v>
      </c>
      <c r="P319" s="1">
        <v>130500000</v>
      </c>
      <c r="Q319" s="1">
        <v>0</v>
      </c>
      <c r="R319" s="1">
        <v>0</v>
      </c>
      <c r="S319" s="1">
        <v>130500000</v>
      </c>
      <c r="T319" s="1">
        <v>130500000</v>
      </c>
      <c r="U319" s="1">
        <v>130500000</v>
      </c>
      <c r="V319" s="1">
        <v>130500000</v>
      </c>
      <c r="W319" s="4">
        <f t="shared" si="13"/>
        <v>540000000</v>
      </c>
      <c r="X319" s="4">
        <f t="shared" si="14"/>
        <v>540000000</v>
      </c>
      <c r="Y319" s="5">
        <f t="shared" si="15"/>
        <v>1</v>
      </c>
    </row>
    <row r="320" spans="1:25" x14ac:dyDescent="0.25">
      <c r="A320" s="1" t="s">
        <v>85</v>
      </c>
      <c r="B320" s="1" t="s">
        <v>38</v>
      </c>
      <c r="C320" s="1" t="s">
        <v>39</v>
      </c>
      <c r="D320" s="1">
        <v>10670146.536283154</v>
      </c>
      <c r="E320" s="1">
        <v>283284.28778970923</v>
      </c>
      <c r="F320" s="1">
        <v>283284.28778970923</v>
      </c>
      <c r="G320" s="1">
        <v>354105.35973713652</v>
      </c>
      <c r="H320" s="1">
        <v>354105.35973713652</v>
      </c>
      <c r="I320" s="1">
        <v>354105.35973713652</v>
      </c>
      <c r="J320" s="1">
        <v>354105.35973713652</v>
      </c>
      <c r="K320" s="1">
        <v>354105.35973713652</v>
      </c>
      <c r="L320" s="1">
        <v>354105.35973713652</v>
      </c>
      <c r="M320" s="1">
        <v>694029.38230009528</v>
      </c>
      <c r="N320" s="1">
        <v>694029.38230009528</v>
      </c>
      <c r="O320" s="1">
        <v>578357.81858341279</v>
      </c>
      <c r="P320" s="1">
        <v>578357.81858341279</v>
      </c>
      <c r="Q320" s="1">
        <v>809700.94601677789</v>
      </c>
      <c r="R320" s="1">
        <v>809700.94601677789</v>
      </c>
      <c r="S320" s="1">
        <v>809700.94601677789</v>
      </c>
      <c r="T320" s="1">
        <v>809700.94601677789</v>
      </c>
      <c r="U320" s="1">
        <v>809700.94601677789</v>
      </c>
      <c r="V320" s="1">
        <v>809700.94601677789</v>
      </c>
      <c r="W320" s="4">
        <f t="shared" si="13"/>
        <v>5047090.4059349606</v>
      </c>
      <c r="X320" s="4">
        <f t="shared" si="14"/>
        <v>5047090.4059349606</v>
      </c>
      <c r="Y320" s="5">
        <f t="shared" si="15"/>
        <v>0.47301041169140939</v>
      </c>
    </row>
    <row r="321" spans="1:25" x14ac:dyDescent="0.25">
      <c r="A321" s="1" t="s">
        <v>85</v>
      </c>
      <c r="B321" s="1" t="s">
        <v>38</v>
      </c>
      <c r="C321" s="1" t="s">
        <v>39</v>
      </c>
      <c r="D321" s="1">
        <v>4292186.1786319576</v>
      </c>
      <c r="E321" s="1">
        <v>704229.67139468819</v>
      </c>
      <c r="F321" s="1">
        <v>704229.67139468819</v>
      </c>
      <c r="G321" s="1">
        <v>880287.08924336021</v>
      </c>
      <c r="H321" s="1">
        <v>880287.08924336021</v>
      </c>
      <c r="I321" s="1">
        <v>880287.08924336021</v>
      </c>
      <c r="J321" s="1">
        <v>880287.08924336021</v>
      </c>
      <c r="K321" s="1">
        <v>880287.08924336021</v>
      </c>
      <c r="L321" s="1">
        <v>880287.08924336021</v>
      </c>
      <c r="M321" s="1">
        <v>57827.836624388729</v>
      </c>
      <c r="N321" s="1">
        <v>57827.836624388729</v>
      </c>
      <c r="O321" s="1">
        <v>48189.863853657276</v>
      </c>
      <c r="P321" s="1">
        <v>48189.863853657276</v>
      </c>
      <c r="Q321" s="1">
        <v>67465.809395120188</v>
      </c>
      <c r="R321" s="1">
        <v>67465.809395120188</v>
      </c>
      <c r="S321" s="1">
        <v>67465.809395120188</v>
      </c>
      <c r="T321" s="1">
        <v>67465.809395120188</v>
      </c>
      <c r="U321" s="1">
        <v>67465.809395120188</v>
      </c>
      <c r="V321" s="1">
        <v>67465.809395120188</v>
      </c>
      <c r="W321" s="4">
        <f t="shared" si="13"/>
        <v>3653506.0677881753</v>
      </c>
      <c r="X321" s="4">
        <f t="shared" si="14"/>
        <v>3653506.0677881753</v>
      </c>
      <c r="Y321" s="5">
        <f t="shared" si="15"/>
        <v>0.85119934591296131</v>
      </c>
    </row>
    <row r="322" spans="1:25" x14ac:dyDescent="0.25">
      <c r="A322" s="1" t="s">
        <v>85</v>
      </c>
      <c r="B322" s="1" t="s">
        <v>61</v>
      </c>
      <c r="C322" s="1" t="s">
        <v>34</v>
      </c>
      <c r="D322" s="1">
        <v>218150948</v>
      </c>
      <c r="E322" s="1">
        <v>0</v>
      </c>
      <c r="F322" s="1">
        <v>0</v>
      </c>
      <c r="G322" s="1">
        <v>17452075.83801217</v>
      </c>
      <c r="H322" s="1">
        <v>17452075.83801217</v>
      </c>
      <c r="I322" s="1">
        <v>0</v>
      </c>
      <c r="J322" s="1">
        <v>0</v>
      </c>
      <c r="K322" s="1">
        <v>0</v>
      </c>
      <c r="L322" s="1">
        <v>0</v>
      </c>
      <c r="M322" s="1">
        <v>50174718.04049696</v>
      </c>
      <c r="N322" s="1">
        <v>50174718.04049696</v>
      </c>
      <c r="O322" s="1">
        <v>0</v>
      </c>
      <c r="P322" s="1">
        <v>0</v>
      </c>
      <c r="Q322" s="1">
        <v>0</v>
      </c>
      <c r="R322" s="1">
        <v>0</v>
      </c>
      <c r="S322" s="1">
        <v>75262077.060745448</v>
      </c>
      <c r="T322" s="1">
        <v>75262077.060745448</v>
      </c>
      <c r="U322" s="1">
        <v>0</v>
      </c>
      <c r="V322" s="1">
        <v>0</v>
      </c>
      <c r="W322" s="4">
        <f t="shared" si="13"/>
        <v>142888870.93925458</v>
      </c>
      <c r="X322" s="4">
        <f t="shared" si="14"/>
        <v>142888870.93925458</v>
      </c>
      <c r="Y322" s="5">
        <f t="shared" si="15"/>
        <v>0.65499999999658298</v>
      </c>
    </row>
    <row r="323" spans="1:25" x14ac:dyDescent="0.25">
      <c r="A323" s="1" t="s">
        <v>85</v>
      </c>
      <c r="B323" s="1" t="s">
        <v>62</v>
      </c>
      <c r="C323" s="1" t="s">
        <v>63</v>
      </c>
      <c r="D323" s="1">
        <v>45142857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3385714.2857142854</v>
      </c>
      <c r="N323" s="1">
        <v>3385714.2857142854</v>
      </c>
      <c r="O323" s="1">
        <v>2821428.5714285714</v>
      </c>
      <c r="P323" s="1">
        <v>2821428.5714285714</v>
      </c>
      <c r="Q323" s="1">
        <v>3949999.9999999995</v>
      </c>
      <c r="R323" s="1">
        <v>3949999.9999999995</v>
      </c>
      <c r="S323" s="1">
        <v>3949999.9999999995</v>
      </c>
      <c r="T323" s="1">
        <v>3949999.9999999995</v>
      </c>
      <c r="U323" s="1">
        <v>3949999.9999999995</v>
      </c>
      <c r="V323" s="1">
        <v>3949999.9999999995</v>
      </c>
      <c r="W323" s="4">
        <f t="shared" ref="W323:W386" si="16">U323+S323+Q323+O323+M323+K323+I323+G323+E323</f>
        <v>18057142.857142854</v>
      </c>
      <c r="X323" s="4">
        <f t="shared" ref="X323:X386" si="17">V323+T323+R323+P323+N323+L323+J323+H323+F323</f>
        <v>18057142.857142854</v>
      </c>
      <c r="Y323" s="5">
        <f t="shared" ref="Y323:Y386" si="18">X323/D323</f>
        <v>0.40000000126582275</v>
      </c>
    </row>
    <row r="324" spans="1:25" x14ac:dyDescent="0.25">
      <c r="A324" s="1" t="s">
        <v>85</v>
      </c>
      <c r="B324" s="1" t="s">
        <v>86</v>
      </c>
      <c r="C324" s="1" t="s">
        <v>27</v>
      </c>
      <c r="D324" s="1">
        <v>145446544</v>
      </c>
      <c r="E324" s="1">
        <v>13395994.759666666</v>
      </c>
      <c r="F324" s="1">
        <v>13395994.759666666</v>
      </c>
      <c r="G324" s="1">
        <v>7983750.2596666664</v>
      </c>
      <c r="H324" s="1">
        <v>7983750.2596666664</v>
      </c>
      <c r="I324" s="1">
        <v>15016578.088</v>
      </c>
      <c r="J324" s="1">
        <v>15016578.088</v>
      </c>
      <c r="K324" s="1">
        <v>8098389.2596666664</v>
      </c>
      <c r="L324" s="1">
        <v>8098389.2596666664</v>
      </c>
      <c r="M324" s="1">
        <v>13875000</v>
      </c>
      <c r="N324" s="1">
        <v>13875000</v>
      </c>
      <c r="O324" s="1">
        <v>26308124.852666669</v>
      </c>
      <c r="P324" s="1">
        <v>26308124.852666669</v>
      </c>
      <c r="Q324" s="1">
        <v>8098389.6416666666</v>
      </c>
      <c r="R324" s="1">
        <v>8098389.6416666666</v>
      </c>
      <c r="S324" s="1">
        <v>21120730.641666666</v>
      </c>
      <c r="T324" s="1">
        <v>21120730.641666666</v>
      </c>
      <c r="U324" s="1">
        <v>9812394.5720000006</v>
      </c>
      <c r="V324" s="1">
        <v>9812394.5720000006</v>
      </c>
      <c r="W324" s="4">
        <f t="shared" si="16"/>
        <v>123709352.075</v>
      </c>
      <c r="X324" s="4">
        <f t="shared" si="17"/>
        <v>123709352.075</v>
      </c>
      <c r="Y324" s="5">
        <f t="shared" si="18"/>
        <v>0.85054858419324153</v>
      </c>
    </row>
    <row r="325" spans="1:25" x14ac:dyDescent="0.25">
      <c r="A325" s="1" t="s">
        <v>85</v>
      </c>
      <c r="B325" s="1" t="s">
        <v>87</v>
      </c>
      <c r="C325" s="1" t="s">
        <v>27</v>
      </c>
      <c r="D325" s="1">
        <v>53387073</v>
      </c>
      <c r="E325" s="1">
        <v>0</v>
      </c>
      <c r="F325" s="1">
        <v>0</v>
      </c>
      <c r="G325" s="1">
        <v>0</v>
      </c>
      <c r="H325" s="1">
        <v>0</v>
      </c>
      <c r="I325" s="1">
        <v>17795691</v>
      </c>
      <c r="J325" s="1">
        <v>17795691</v>
      </c>
      <c r="K325" s="1">
        <v>0</v>
      </c>
      <c r="L325" s="1">
        <v>0</v>
      </c>
      <c r="M325" s="1">
        <v>0</v>
      </c>
      <c r="N325" s="1">
        <v>0</v>
      </c>
      <c r="O325" s="1">
        <v>17795691</v>
      </c>
      <c r="P325" s="1">
        <v>17795691</v>
      </c>
      <c r="Q325" s="1">
        <v>0</v>
      </c>
      <c r="R325" s="1">
        <v>0</v>
      </c>
      <c r="S325" s="1">
        <v>0</v>
      </c>
      <c r="T325" s="1">
        <v>0</v>
      </c>
      <c r="U325" s="1">
        <v>17795691</v>
      </c>
      <c r="V325" s="1">
        <v>17795691</v>
      </c>
      <c r="W325" s="4">
        <f t="shared" si="16"/>
        <v>53387073</v>
      </c>
      <c r="X325" s="4">
        <f t="shared" si="17"/>
        <v>53387073</v>
      </c>
      <c r="Y325" s="5">
        <f t="shared" si="18"/>
        <v>1</v>
      </c>
    </row>
    <row r="326" spans="1:25" x14ac:dyDescent="0.25">
      <c r="A326" s="1" t="s">
        <v>85</v>
      </c>
      <c r="B326" s="1" t="s">
        <v>88</v>
      </c>
      <c r="C326" s="1" t="s">
        <v>27</v>
      </c>
      <c r="D326" s="1">
        <v>204869214</v>
      </c>
      <c r="E326" s="1">
        <v>0</v>
      </c>
      <c r="F326" s="1">
        <v>0</v>
      </c>
      <c r="G326" s="1">
        <v>34144869</v>
      </c>
      <c r="H326" s="1">
        <v>34144869</v>
      </c>
      <c r="I326" s="1">
        <v>25144869</v>
      </c>
      <c r="J326" s="1">
        <v>25144869</v>
      </c>
      <c r="K326" s="1">
        <v>0</v>
      </c>
      <c r="L326" s="1">
        <v>0</v>
      </c>
      <c r="M326" s="1">
        <v>28983651.75</v>
      </c>
      <c r="N326" s="1">
        <v>28983651.75</v>
      </c>
      <c r="O326" s="1">
        <v>87612172.5</v>
      </c>
      <c r="P326" s="1">
        <v>87612172.5</v>
      </c>
      <c r="Q326" s="1">
        <v>0</v>
      </c>
      <c r="R326" s="1">
        <v>0</v>
      </c>
      <c r="S326" s="1">
        <v>28983651.75</v>
      </c>
      <c r="T326" s="1">
        <v>28983651.75</v>
      </c>
      <c r="U326" s="1">
        <v>0</v>
      </c>
      <c r="V326" s="1">
        <v>0</v>
      </c>
      <c r="W326" s="4">
        <f t="shared" si="16"/>
        <v>204869214</v>
      </c>
      <c r="X326" s="4">
        <f t="shared" si="17"/>
        <v>204869214</v>
      </c>
      <c r="Y326" s="5">
        <f t="shared" si="18"/>
        <v>1</v>
      </c>
    </row>
    <row r="327" spans="1:25" x14ac:dyDescent="0.25">
      <c r="A327" s="1" t="s">
        <v>85</v>
      </c>
      <c r="B327" s="1" t="s">
        <v>89</v>
      </c>
      <c r="C327" s="1" t="s">
        <v>27</v>
      </c>
      <c r="D327" s="1">
        <v>193049045.93956128</v>
      </c>
      <c r="E327" s="1">
        <v>10376942.479015151</v>
      </c>
      <c r="F327" s="1">
        <v>10376942.479015151</v>
      </c>
      <c r="G327" s="1">
        <v>27686457.974096924</v>
      </c>
      <c r="H327" s="1">
        <v>27686457.974096924</v>
      </c>
      <c r="I327" s="1">
        <v>9184509.1456818134</v>
      </c>
      <c r="J327" s="1">
        <v>9184509.1456818134</v>
      </c>
      <c r="K327" s="1">
        <v>20639069.774028528</v>
      </c>
      <c r="L327" s="1">
        <v>20639069.774028528</v>
      </c>
      <c r="M327" s="1">
        <v>8112327.2643699814</v>
      </c>
      <c r="N327" s="1">
        <v>8112327.2643699814</v>
      </c>
      <c r="O327" s="1">
        <v>44343987.32199496</v>
      </c>
      <c r="P327" s="1">
        <v>44343987.32199496</v>
      </c>
      <c r="Q327" s="1">
        <v>9649547.4415246118</v>
      </c>
      <c r="R327" s="1">
        <v>9649547.4415246118</v>
      </c>
      <c r="S327" s="1">
        <v>17376008.03922791</v>
      </c>
      <c r="T327" s="1">
        <v>17376008.03922791</v>
      </c>
      <c r="U327" s="1">
        <v>16247014.108191276</v>
      </c>
      <c r="V327" s="1">
        <v>16247014.108191276</v>
      </c>
      <c r="W327" s="4">
        <f t="shared" si="16"/>
        <v>163615863.54813114</v>
      </c>
      <c r="X327" s="4">
        <f t="shared" si="17"/>
        <v>163615863.54813114</v>
      </c>
      <c r="Y327" s="5">
        <f t="shared" si="18"/>
        <v>0.84753520926156289</v>
      </c>
    </row>
    <row r="328" spans="1:25" x14ac:dyDescent="0.25">
      <c r="A328" s="1" t="s">
        <v>85</v>
      </c>
      <c r="B328" s="1" t="s">
        <v>90</v>
      </c>
      <c r="C328" s="1" t="s">
        <v>27</v>
      </c>
      <c r="D328" s="1">
        <v>190924647</v>
      </c>
      <c r="E328" s="1">
        <v>0</v>
      </c>
      <c r="F328" s="1">
        <v>0</v>
      </c>
      <c r="G328" s="1">
        <v>35462323.5</v>
      </c>
      <c r="H328" s="1">
        <v>35462323.5</v>
      </c>
      <c r="I328" s="1">
        <v>25462323.5</v>
      </c>
      <c r="J328" s="1">
        <v>25462323.5</v>
      </c>
      <c r="K328" s="1">
        <v>0</v>
      </c>
      <c r="L328" s="1">
        <v>0</v>
      </c>
      <c r="M328" s="1">
        <v>48750000</v>
      </c>
      <c r="N328" s="1">
        <v>48750000</v>
      </c>
      <c r="O328" s="1">
        <v>32500000</v>
      </c>
      <c r="P328" s="1">
        <v>32500000</v>
      </c>
      <c r="Q328" s="1">
        <v>0</v>
      </c>
      <c r="R328" s="1">
        <v>0</v>
      </c>
      <c r="S328" s="1">
        <v>48750000</v>
      </c>
      <c r="T328" s="1">
        <v>48750000</v>
      </c>
      <c r="U328" s="1">
        <v>0</v>
      </c>
      <c r="V328" s="1">
        <v>0</v>
      </c>
      <c r="W328" s="4">
        <f t="shared" si="16"/>
        <v>190924647</v>
      </c>
      <c r="X328" s="4">
        <f t="shared" si="17"/>
        <v>190924647</v>
      </c>
      <c r="Y328" s="5">
        <f t="shared" si="18"/>
        <v>1</v>
      </c>
    </row>
    <row r="329" spans="1:25" x14ac:dyDescent="0.25">
      <c r="A329" s="1" t="s">
        <v>85</v>
      </c>
      <c r="B329" s="1" t="s">
        <v>91</v>
      </c>
      <c r="C329" s="1" t="s">
        <v>27</v>
      </c>
      <c r="D329" s="1">
        <v>54539530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27539530</v>
      </c>
      <c r="L329" s="1">
        <v>27539530</v>
      </c>
      <c r="M329" s="1">
        <v>10125000</v>
      </c>
      <c r="N329" s="1">
        <v>10125000</v>
      </c>
      <c r="O329" s="1">
        <v>6750000</v>
      </c>
      <c r="P329" s="1">
        <v>6750000</v>
      </c>
      <c r="Q329" s="1">
        <v>0</v>
      </c>
      <c r="R329" s="1">
        <v>0</v>
      </c>
      <c r="S329" s="1">
        <v>10125000</v>
      </c>
      <c r="T329" s="1">
        <v>10125000</v>
      </c>
      <c r="U329" s="1">
        <v>0</v>
      </c>
      <c r="V329" s="1">
        <v>0</v>
      </c>
      <c r="W329" s="4">
        <f t="shared" si="16"/>
        <v>54539530</v>
      </c>
      <c r="X329" s="4">
        <f t="shared" si="17"/>
        <v>54539530</v>
      </c>
      <c r="Y329" s="5">
        <f t="shared" si="18"/>
        <v>1</v>
      </c>
    </row>
    <row r="330" spans="1:25" x14ac:dyDescent="0.25">
      <c r="A330" s="1" t="s">
        <v>85</v>
      </c>
      <c r="B330" s="1" t="s">
        <v>43</v>
      </c>
      <c r="C330" s="1" t="s">
        <v>31</v>
      </c>
      <c r="D330" s="1">
        <v>6074732</v>
      </c>
      <c r="E330" s="1">
        <v>352871.46031938796</v>
      </c>
      <c r="F330" s="1">
        <v>352871.46031938796</v>
      </c>
      <c r="G330" s="1">
        <v>441089.32539923489</v>
      </c>
      <c r="H330" s="1">
        <v>441089.32539923489</v>
      </c>
      <c r="I330" s="1">
        <v>441089.32539923489</v>
      </c>
      <c r="J330" s="1">
        <v>441089.32539923489</v>
      </c>
      <c r="K330" s="1">
        <v>441089.32539923489</v>
      </c>
      <c r="L330" s="1">
        <v>441089.32539923489</v>
      </c>
      <c r="M330" s="1">
        <v>327982.80729365611</v>
      </c>
      <c r="N330" s="1">
        <v>327982.80729365611</v>
      </c>
      <c r="O330" s="1">
        <v>273319.00607804675</v>
      </c>
      <c r="P330" s="1">
        <v>273319.00607804675</v>
      </c>
      <c r="Q330" s="1">
        <v>338736.02931728418</v>
      </c>
      <c r="R330" s="1">
        <v>338736.02931728418</v>
      </c>
      <c r="S330" s="1">
        <v>382646.60850926541</v>
      </c>
      <c r="T330" s="1">
        <v>382646.60850926541</v>
      </c>
      <c r="U330" s="1">
        <v>382646.60850926541</v>
      </c>
      <c r="V330" s="1">
        <v>382646.60850926541</v>
      </c>
      <c r="W330" s="4">
        <f t="shared" si="16"/>
        <v>3381470.4962246101</v>
      </c>
      <c r="X330" s="4">
        <f t="shared" si="17"/>
        <v>3381470.4962246101</v>
      </c>
      <c r="Y330" s="5">
        <f t="shared" si="18"/>
        <v>0.55664521434437109</v>
      </c>
    </row>
    <row r="331" spans="1:25" x14ac:dyDescent="0.25">
      <c r="A331" s="1" t="s">
        <v>85</v>
      </c>
      <c r="B331" s="1" t="s">
        <v>64</v>
      </c>
      <c r="C331" s="1" t="s">
        <v>23</v>
      </c>
      <c r="D331" s="1">
        <v>5213102.9389413577</v>
      </c>
      <c r="E331" s="1">
        <v>344064.79397012969</v>
      </c>
      <c r="F331" s="1">
        <v>344064.79397012969</v>
      </c>
      <c r="G331" s="1">
        <v>430080.99246266205</v>
      </c>
      <c r="H331" s="1">
        <v>430080.99246266205</v>
      </c>
      <c r="I331" s="1">
        <v>430080.99246266205</v>
      </c>
      <c r="J331" s="1">
        <v>430080.99246266205</v>
      </c>
      <c r="K331" s="1">
        <v>430080.99246266205</v>
      </c>
      <c r="L331" s="1">
        <v>430080.99246266205</v>
      </c>
      <c r="M331" s="1">
        <v>261958.4226818032</v>
      </c>
      <c r="N331" s="1">
        <v>261958.4226818032</v>
      </c>
      <c r="O331" s="1">
        <v>218298.68556816934</v>
      </c>
      <c r="P331" s="1">
        <v>218298.68556816934</v>
      </c>
      <c r="Q331" s="1">
        <v>305618.15979543707</v>
      </c>
      <c r="R331" s="1">
        <v>305618.15979543707</v>
      </c>
      <c r="S331" s="1">
        <v>305618.15979543707</v>
      </c>
      <c r="T331" s="1">
        <v>305618.15979543707</v>
      </c>
      <c r="U331" s="1">
        <v>305618.15979543707</v>
      </c>
      <c r="V331" s="1">
        <v>305618.15979543707</v>
      </c>
      <c r="W331" s="4">
        <f t="shared" si="16"/>
        <v>3031419.3589943992</v>
      </c>
      <c r="X331" s="4">
        <f t="shared" si="17"/>
        <v>3031419.3589943992</v>
      </c>
      <c r="Y331" s="5">
        <f t="shared" si="18"/>
        <v>0.58149999999999991</v>
      </c>
    </row>
    <row r="332" spans="1:25" x14ac:dyDescent="0.25">
      <c r="A332" s="1" t="s">
        <v>85</v>
      </c>
      <c r="B332" s="1" t="s">
        <v>65</v>
      </c>
      <c r="C332" s="1" t="s">
        <v>31</v>
      </c>
      <c r="D332" s="1">
        <v>15258612.554686306</v>
      </c>
      <c r="E332" s="1">
        <v>1007068.4286092963</v>
      </c>
      <c r="F332" s="1">
        <v>1007068.4286092963</v>
      </c>
      <c r="G332" s="1">
        <v>1258835.5357616204</v>
      </c>
      <c r="H332" s="1">
        <v>1258835.5357616204</v>
      </c>
      <c r="I332" s="1">
        <v>1258835.5357616204</v>
      </c>
      <c r="J332" s="1">
        <v>1258835.5357616204</v>
      </c>
      <c r="K332" s="1">
        <v>1258835.5357616204</v>
      </c>
      <c r="L332" s="1">
        <v>1258835.5357616204</v>
      </c>
      <c r="M332" s="1">
        <v>766745.28087298677</v>
      </c>
      <c r="N332" s="1">
        <v>766745.28087298677</v>
      </c>
      <c r="O332" s="1">
        <v>638954.40072748903</v>
      </c>
      <c r="P332" s="1">
        <v>638954.40072748903</v>
      </c>
      <c r="Q332" s="1">
        <v>894536.16101848462</v>
      </c>
      <c r="R332" s="1">
        <v>894536.16101848462</v>
      </c>
      <c r="S332" s="1">
        <v>894536.16101848462</v>
      </c>
      <c r="T332" s="1">
        <v>894536.16101848462</v>
      </c>
      <c r="U332" s="1">
        <v>894536.16101848462</v>
      </c>
      <c r="V332" s="1">
        <v>894536.16101848462</v>
      </c>
      <c r="W332" s="4">
        <f t="shared" si="16"/>
        <v>8872883.2005500887</v>
      </c>
      <c r="X332" s="4">
        <f t="shared" si="17"/>
        <v>8872883.2005500887</v>
      </c>
      <c r="Y332" s="5">
        <f t="shared" si="18"/>
        <v>0.58150000000000013</v>
      </c>
    </row>
    <row r="333" spans="1:25" x14ac:dyDescent="0.25">
      <c r="A333" s="1" t="s">
        <v>85</v>
      </c>
      <c r="B333" s="1" t="s">
        <v>44</v>
      </c>
      <c r="C333" s="1" t="s">
        <v>45</v>
      </c>
      <c r="D333" s="1">
        <v>10670146.536283154</v>
      </c>
      <c r="E333" s="1">
        <v>283284.28778970923</v>
      </c>
      <c r="F333" s="1">
        <v>283284.28778970923</v>
      </c>
      <c r="G333" s="1">
        <v>354105.35973713652</v>
      </c>
      <c r="H333" s="1">
        <v>354105.35973713652</v>
      </c>
      <c r="I333" s="1">
        <v>354105.35973713652</v>
      </c>
      <c r="J333" s="1">
        <v>354105.35973713652</v>
      </c>
      <c r="K333" s="1">
        <v>354105.35973713652</v>
      </c>
      <c r="L333" s="1">
        <v>354105.35973713652</v>
      </c>
      <c r="M333" s="1">
        <v>694029.38230009528</v>
      </c>
      <c r="N333" s="1">
        <v>694029.38230009528</v>
      </c>
      <c r="O333" s="1">
        <v>578357.81858341279</v>
      </c>
      <c r="P333" s="1">
        <v>578357.81858341279</v>
      </c>
      <c r="Q333" s="1">
        <v>809700.94601677789</v>
      </c>
      <c r="R333" s="1">
        <v>809700.94601677789</v>
      </c>
      <c r="S333" s="1">
        <v>809700.94601677789</v>
      </c>
      <c r="T333" s="1">
        <v>809700.94601677789</v>
      </c>
      <c r="U333" s="1">
        <v>809700.94601677789</v>
      </c>
      <c r="V333" s="1">
        <v>809700.94601677789</v>
      </c>
      <c r="W333" s="4">
        <f t="shared" si="16"/>
        <v>5047090.4059349606</v>
      </c>
      <c r="X333" s="4">
        <f t="shared" si="17"/>
        <v>5047090.4059349606</v>
      </c>
      <c r="Y333" s="5">
        <f t="shared" si="18"/>
        <v>0.47301041169140939</v>
      </c>
    </row>
    <row r="334" spans="1:25" x14ac:dyDescent="0.25">
      <c r="A334" s="1" t="s">
        <v>85</v>
      </c>
      <c r="B334" s="1" t="s">
        <v>44</v>
      </c>
      <c r="C334" s="1" t="s">
        <v>45</v>
      </c>
      <c r="D334" s="1">
        <v>4292186.1786319576</v>
      </c>
      <c r="E334" s="1">
        <v>704229.67139468819</v>
      </c>
      <c r="F334" s="1">
        <v>704229.67139468819</v>
      </c>
      <c r="G334" s="1">
        <v>880287.08924336021</v>
      </c>
      <c r="H334" s="1">
        <v>880287.08924336021</v>
      </c>
      <c r="I334" s="1">
        <v>880287.08924336021</v>
      </c>
      <c r="J334" s="1">
        <v>880287.08924336021</v>
      </c>
      <c r="K334" s="1">
        <v>880287.08924336021</v>
      </c>
      <c r="L334" s="1">
        <v>880287.08924336021</v>
      </c>
      <c r="M334" s="1">
        <v>57827.836624388729</v>
      </c>
      <c r="N334" s="1">
        <v>57827.836624388729</v>
      </c>
      <c r="O334" s="1">
        <v>48189.863853657276</v>
      </c>
      <c r="P334" s="1">
        <v>48189.863853657276</v>
      </c>
      <c r="Q334" s="1">
        <v>67465.809395120188</v>
      </c>
      <c r="R334" s="1">
        <v>67465.809395120188</v>
      </c>
      <c r="S334" s="1">
        <v>67465.809395120188</v>
      </c>
      <c r="T334" s="1">
        <v>67465.809395120188</v>
      </c>
      <c r="U334" s="1">
        <v>67465.809395120188</v>
      </c>
      <c r="V334" s="1">
        <v>67465.809395120188</v>
      </c>
      <c r="W334" s="4">
        <f t="shared" si="16"/>
        <v>3653506.0677881753</v>
      </c>
      <c r="X334" s="4">
        <f t="shared" si="17"/>
        <v>3653506.0677881753</v>
      </c>
      <c r="Y334" s="5">
        <f t="shared" si="18"/>
        <v>0.85119934591296131</v>
      </c>
    </row>
    <row r="335" spans="1:25" x14ac:dyDescent="0.25">
      <c r="A335" s="1" t="s">
        <v>85</v>
      </c>
      <c r="B335" s="1" t="s">
        <v>46</v>
      </c>
      <c r="C335" s="1" t="s">
        <v>22</v>
      </c>
      <c r="D335" s="1">
        <v>222329957.36253837</v>
      </c>
      <c r="E335" s="1">
        <v>14687522.514861323</v>
      </c>
      <c r="F335" s="1">
        <v>14687522.514861323</v>
      </c>
      <c r="G335" s="1">
        <v>18359403.143576652</v>
      </c>
      <c r="H335" s="1">
        <v>18359403.143576652</v>
      </c>
      <c r="I335" s="1">
        <v>18359403.143576652</v>
      </c>
      <c r="J335" s="1">
        <v>18359403.143576652</v>
      </c>
      <c r="K335" s="1">
        <v>18359403.143576652</v>
      </c>
      <c r="L335" s="1">
        <v>18359403.143576652</v>
      </c>
      <c r="M335" s="1">
        <v>11519921.84384251</v>
      </c>
      <c r="N335" s="1">
        <v>11519921.84384251</v>
      </c>
      <c r="O335" s="1">
        <v>9367879.423847381</v>
      </c>
      <c r="P335" s="1">
        <v>9367879.423847381</v>
      </c>
      <c r="Q335" s="1">
        <v>12969247.523966176</v>
      </c>
      <c r="R335" s="1">
        <v>12969247.523966176</v>
      </c>
      <c r="S335" s="1">
        <v>12969247.523966176</v>
      </c>
      <c r="T335" s="1">
        <v>12969247.523966176</v>
      </c>
      <c r="U335" s="1">
        <v>12969247.523966176</v>
      </c>
      <c r="V335" s="1">
        <v>12969247.523966176</v>
      </c>
      <c r="W335" s="4">
        <f t="shared" si="16"/>
        <v>129561275.7851797</v>
      </c>
      <c r="X335" s="4">
        <f t="shared" si="17"/>
        <v>129561275.7851797</v>
      </c>
      <c r="Y335" s="5">
        <f t="shared" si="18"/>
        <v>0.58274322238056708</v>
      </c>
    </row>
    <row r="336" spans="1:25" x14ac:dyDescent="0.25">
      <c r="A336" s="1" t="s">
        <v>85</v>
      </c>
      <c r="B336" s="1" t="s">
        <v>66</v>
      </c>
      <c r="C336" s="1" t="s">
        <v>24</v>
      </c>
      <c r="D336" s="1">
        <v>835750591.21268296</v>
      </c>
      <c r="E336" s="1">
        <v>68949423.775046349</v>
      </c>
      <c r="F336" s="1">
        <v>68949423.775046349</v>
      </c>
      <c r="G336" s="1">
        <v>68949423.775046349</v>
      </c>
      <c r="H336" s="1">
        <v>68949423.775046349</v>
      </c>
      <c r="I336" s="1">
        <v>68949423.775046349</v>
      </c>
      <c r="J336" s="1">
        <v>68949423.775046349</v>
      </c>
      <c r="K336" s="1">
        <v>68949423.775046349</v>
      </c>
      <c r="L336" s="1">
        <v>68949423.775046349</v>
      </c>
      <c r="M336" s="1">
        <v>84224017.899814606</v>
      </c>
      <c r="N336" s="1">
        <v>84224017.899814606</v>
      </c>
      <c r="O336" s="1">
        <v>71378591</v>
      </c>
      <c r="P336" s="1">
        <v>71378591</v>
      </c>
      <c r="Q336" s="1">
        <v>72128591</v>
      </c>
      <c r="R336" s="1">
        <v>72128591</v>
      </c>
      <c r="S336" s="1">
        <v>69078591</v>
      </c>
      <c r="T336" s="1">
        <v>69078591</v>
      </c>
      <c r="U336" s="1">
        <v>63378587</v>
      </c>
      <c r="V336" s="1">
        <v>63378587</v>
      </c>
      <c r="W336" s="4">
        <f t="shared" si="16"/>
        <v>635986073</v>
      </c>
      <c r="X336" s="4">
        <f t="shared" si="17"/>
        <v>635986073</v>
      </c>
      <c r="Y336" s="5">
        <f t="shared" si="18"/>
        <v>0.76097591756073724</v>
      </c>
    </row>
    <row r="337" spans="1:25" x14ac:dyDescent="0.25">
      <c r="A337" s="1" t="s">
        <v>85</v>
      </c>
      <c r="B337" s="1" t="s">
        <v>67</v>
      </c>
      <c r="C337" s="1" t="s">
        <v>68</v>
      </c>
      <c r="D337" s="1">
        <v>15434999.999999998</v>
      </c>
      <c r="E337" s="1">
        <v>1018710</v>
      </c>
      <c r="F337" s="1">
        <v>1018710</v>
      </c>
      <c r="G337" s="1">
        <v>1273387.5</v>
      </c>
      <c r="H337" s="1">
        <v>1273387.5</v>
      </c>
      <c r="I337" s="1">
        <v>1273387.5</v>
      </c>
      <c r="J337" s="1">
        <v>1273387.5</v>
      </c>
      <c r="K337" s="1">
        <v>1273387.5</v>
      </c>
      <c r="L337" s="1">
        <v>1273387.5</v>
      </c>
      <c r="M337" s="1">
        <v>802619.9999999993</v>
      </c>
      <c r="N337" s="1">
        <v>802619.9999999993</v>
      </c>
      <c r="O337" s="1">
        <v>643124.99999999988</v>
      </c>
      <c r="P337" s="1">
        <v>643124.99999999988</v>
      </c>
      <c r="Q337" s="1">
        <v>900374.99999999977</v>
      </c>
      <c r="R337" s="1">
        <v>900374.99999999977</v>
      </c>
      <c r="S337" s="1">
        <v>900374.99999999977</v>
      </c>
      <c r="T337" s="1">
        <v>900374.99999999977</v>
      </c>
      <c r="U337" s="1">
        <v>900374.99999999977</v>
      </c>
      <c r="V337" s="1">
        <v>900374.99999999977</v>
      </c>
      <c r="W337" s="4">
        <f t="shared" si="16"/>
        <v>8985742.4999999981</v>
      </c>
      <c r="X337" s="4">
        <f t="shared" si="17"/>
        <v>8985742.4999999981</v>
      </c>
      <c r="Y337" s="5">
        <f t="shared" si="18"/>
        <v>0.58216666666666661</v>
      </c>
    </row>
    <row r="338" spans="1:25" x14ac:dyDescent="0.25">
      <c r="A338" s="1" t="s">
        <v>85</v>
      </c>
      <c r="B338" s="1" t="s">
        <v>69</v>
      </c>
      <c r="C338" s="1" t="s">
        <v>28</v>
      </c>
      <c r="D338" s="1">
        <v>20884713.993247293</v>
      </c>
      <c r="E338" s="1">
        <v>1378391.1235543215</v>
      </c>
      <c r="F338" s="1">
        <v>1378391.1235543215</v>
      </c>
      <c r="G338" s="1">
        <v>1722988.9044429017</v>
      </c>
      <c r="H338" s="1">
        <v>1722988.9044429017</v>
      </c>
      <c r="I338" s="1">
        <v>1722988.9044429017</v>
      </c>
      <c r="J338" s="1">
        <v>1722988.9044429017</v>
      </c>
      <c r="K338" s="1">
        <v>1722988.9044429017</v>
      </c>
      <c r="L338" s="1">
        <v>1722988.9044429017</v>
      </c>
      <c r="M338" s="1">
        <v>1049456.8781606765</v>
      </c>
      <c r="N338" s="1">
        <v>1049456.8781606765</v>
      </c>
      <c r="O338" s="1">
        <v>874547.39846723038</v>
      </c>
      <c r="P338" s="1">
        <v>874547.39846723038</v>
      </c>
      <c r="Q338" s="1">
        <v>1224366.3578541225</v>
      </c>
      <c r="R338" s="1">
        <v>1224366.3578541225</v>
      </c>
      <c r="S338" s="1">
        <v>1224366.3578541225</v>
      </c>
      <c r="T338" s="1">
        <v>1224366.3578541225</v>
      </c>
      <c r="U338" s="1">
        <v>1224366.3578541225</v>
      </c>
      <c r="V338" s="1">
        <v>1224366.3578541225</v>
      </c>
      <c r="W338" s="4">
        <f t="shared" si="16"/>
        <v>12144461.1870733</v>
      </c>
      <c r="X338" s="4">
        <f t="shared" si="17"/>
        <v>12144461.1870733</v>
      </c>
      <c r="Y338" s="5">
        <f t="shared" si="18"/>
        <v>0.58149999999999991</v>
      </c>
    </row>
    <row r="339" spans="1:25" x14ac:dyDescent="0.25">
      <c r="A339" s="1" t="s">
        <v>85</v>
      </c>
      <c r="B339" s="1" t="s">
        <v>70</v>
      </c>
      <c r="C339" s="1" t="s">
        <v>23</v>
      </c>
      <c r="D339" s="1">
        <v>8268750.0182812503</v>
      </c>
      <c r="E339" s="1">
        <v>545737.50120656262</v>
      </c>
      <c r="F339" s="1">
        <v>545737.50120656262</v>
      </c>
      <c r="G339" s="1">
        <v>682171.87650820322</v>
      </c>
      <c r="H339" s="1">
        <v>682171.87650820322</v>
      </c>
      <c r="I339" s="1">
        <v>682171.87650820322</v>
      </c>
      <c r="J339" s="1">
        <v>682171.87650820322</v>
      </c>
      <c r="K339" s="1">
        <v>682171.87650820322</v>
      </c>
      <c r="L339" s="1">
        <v>682171.87650820322</v>
      </c>
      <c r="M339" s="1">
        <v>415504.68841863284</v>
      </c>
      <c r="N339" s="1">
        <v>415504.68841863284</v>
      </c>
      <c r="O339" s="1">
        <v>346253.90701552737</v>
      </c>
      <c r="P339" s="1">
        <v>346253.90701552737</v>
      </c>
      <c r="Q339" s="1">
        <v>484755.46982173825</v>
      </c>
      <c r="R339" s="1">
        <v>484755.46982173825</v>
      </c>
      <c r="S339" s="1">
        <v>484755.46982173825</v>
      </c>
      <c r="T339" s="1">
        <v>484755.46982173825</v>
      </c>
      <c r="U339" s="1">
        <v>484755.46982173825</v>
      </c>
      <c r="V339" s="1">
        <v>484755.46982173825</v>
      </c>
      <c r="W339" s="4">
        <f t="shared" si="16"/>
        <v>4808278.135630548</v>
      </c>
      <c r="X339" s="4">
        <f t="shared" si="17"/>
        <v>4808278.135630548</v>
      </c>
      <c r="Y339" s="5">
        <f t="shared" si="18"/>
        <v>0.58150000000000013</v>
      </c>
    </row>
    <row r="340" spans="1:25" x14ac:dyDescent="0.25">
      <c r="A340" s="1" t="s">
        <v>85</v>
      </c>
      <c r="B340" s="1" t="s">
        <v>71</v>
      </c>
      <c r="C340" s="1" t="s">
        <v>29</v>
      </c>
      <c r="D340" s="1">
        <v>21470874.600000113</v>
      </c>
      <c r="E340" s="1">
        <v>1417077.7236000076</v>
      </c>
      <c r="F340" s="1">
        <v>1417077.7236000076</v>
      </c>
      <c r="G340" s="1">
        <v>1771347.1545000095</v>
      </c>
      <c r="H340" s="1">
        <v>1771347.1545000095</v>
      </c>
      <c r="I340" s="1">
        <v>1771347.1545000095</v>
      </c>
      <c r="J340" s="1">
        <v>1771347.1545000095</v>
      </c>
      <c r="K340" s="1">
        <v>1771347.1545000095</v>
      </c>
      <c r="L340" s="1">
        <v>1771347.1545000095</v>
      </c>
      <c r="M340" s="1">
        <v>1078911.4486500055</v>
      </c>
      <c r="N340" s="1">
        <v>1078911.4486500055</v>
      </c>
      <c r="O340" s="1">
        <v>899092.87387500471</v>
      </c>
      <c r="P340" s="1">
        <v>899092.87387500471</v>
      </c>
      <c r="Q340" s="1">
        <v>1258730.0234250065</v>
      </c>
      <c r="R340" s="1">
        <v>1258730.0234250065</v>
      </c>
      <c r="S340" s="1">
        <v>1258730.0234250065</v>
      </c>
      <c r="T340" s="1">
        <v>1258730.0234250065</v>
      </c>
      <c r="U340" s="1">
        <v>1258730.0234250065</v>
      </c>
      <c r="V340" s="1">
        <v>1258730.0234250065</v>
      </c>
      <c r="W340" s="4">
        <f t="shared" si="16"/>
        <v>12485313.579900065</v>
      </c>
      <c r="X340" s="4">
        <f t="shared" si="17"/>
        <v>12485313.579900065</v>
      </c>
      <c r="Y340" s="5">
        <f t="shared" si="18"/>
        <v>0.58150000000000002</v>
      </c>
    </row>
    <row r="341" spans="1:25" x14ac:dyDescent="0.25">
      <c r="A341" s="1" t="s">
        <v>85</v>
      </c>
      <c r="B341" s="1" t="s">
        <v>72</v>
      </c>
      <c r="C341" s="1" t="s">
        <v>73</v>
      </c>
      <c r="D341" s="1">
        <v>25930684.257792987</v>
      </c>
      <c r="E341" s="1">
        <v>1711425.1610143371</v>
      </c>
      <c r="F341" s="1">
        <v>1711425.1610143371</v>
      </c>
      <c r="G341" s="1">
        <v>2139281.4512679214</v>
      </c>
      <c r="H341" s="1">
        <v>2139281.4512679214</v>
      </c>
      <c r="I341" s="1">
        <v>2139281.4512679214</v>
      </c>
      <c r="J341" s="1">
        <v>2139281.4512679214</v>
      </c>
      <c r="K341" s="1">
        <v>2139281.4512679214</v>
      </c>
      <c r="L341" s="1">
        <v>2139281.4512679214</v>
      </c>
      <c r="M341" s="1">
        <v>1303016.8839540975</v>
      </c>
      <c r="N341" s="1">
        <v>1303016.8839540975</v>
      </c>
      <c r="O341" s="1">
        <v>1085847.4032950813</v>
      </c>
      <c r="P341" s="1">
        <v>1085847.4032950813</v>
      </c>
      <c r="Q341" s="1">
        <v>1520186.3646131137</v>
      </c>
      <c r="R341" s="1">
        <v>1520186.3646131137</v>
      </c>
      <c r="S341" s="1">
        <v>1520186.3646131137</v>
      </c>
      <c r="T341" s="1">
        <v>1520186.3646131137</v>
      </c>
      <c r="U341" s="1">
        <v>1520186.3646131137</v>
      </c>
      <c r="V341" s="1">
        <v>1520186.3646131137</v>
      </c>
      <c r="W341" s="4">
        <f t="shared" si="16"/>
        <v>15078692.89590662</v>
      </c>
      <c r="X341" s="4">
        <f t="shared" si="17"/>
        <v>15078692.89590662</v>
      </c>
      <c r="Y341" s="5">
        <f t="shared" si="18"/>
        <v>0.58149999999999991</v>
      </c>
    </row>
    <row r="342" spans="1:25" x14ac:dyDescent="0.25">
      <c r="A342" s="1" t="s">
        <v>85</v>
      </c>
      <c r="B342" s="1" t="s">
        <v>48</v>
      </c>
      <c r="C342" s="1" t="s">
        <v>49</v>
      </c>
      <c r="D342" s="1">
        <v>9338836.6363622174</v>
      </c>
      <c r="E342" s="1">
        <v>616363.2179999064</v>
      </c>
      <c r="F342" s="1">
        <v>616363.2179999064</v>
      </c>
      <c r="G342" s="1">
        <v>770454.02249988297</v>
      </c>
      <c r="H342" s="1">
        <v>770454.02249988297</v>
      </c>
      <c r="I342" s="1">
        <v>770454.02249988297</v>
      </c>
      <c r="J342" s="1">
        <v>770454.02249988297</v>
      </c>
      <c r="K342" s="1">
        <v>770454.02249988297</v>
      </c>
      <c r="L342" s="1">
        <v>770454.02249988297</v>
      </c>
      <c r="M342" s="1">
        <v>469276.54097720142</v>
      </c>
      <c r="N342" s="1">
        <v>469276.54097720142</v>
      </c>
      <c r="O342" s="1">
        <v>391063.78414766787</v>
      </c>
      <c r="P342" s="1">
        <v>391063.78414766787</v>
      </c>
      <c r="Q342" s="1">
        <v>547489.29780673503</v>
      </c>
      <c r="R342" s="1">
        <v>547489.29780673503</v>
      </c>
      <c r="S342" s="1">
        <v>547489.29780673503</v>
      </c>
      <c r="T342" s="1">
        <v>547489.29780673503</v>
      </c>
      <c r="U342" s="1">
        <v>547489.29780673503</v>
      </c>
      <c r="V342" s="1">
        <v>547489.29780673503</v>
      </c>
      <c r="W342" s="4">
        <f t="shared" si="16"/>
        <v>5430533.5040446296</v>
      </c>
      <c r="X342" s="4">
        <f t="shared" si="17"/>
        <v>5430533.5040446296</v>
      </c>
      <c r="Y342" s="5">
        <f t="shared" si="18"/>
        <v>0.58150000000000002</v>
      </c>
    </row>
    <row r="343" spans="1:25" x14ac:dyDescent="0.25">
      <c r="A343" s="1" t="s">
        <v>85</v>
      </c>
      <c r="B343" s="1" t="s">
        <v>53</v>
      </c>
      <c r="C343" s="1" t="s">
        <v>30</v>
      </c>
      <c r="D343" s="1">
        <v>3286014.9262045384</v>
      </c>
      <c r="E343" s="1">
        <v>216876.98512949955</v>
      </c>
      <c r="F343" s="1">
        <v>216876.98512949955</v>
      </c>
      <c r="G343" s="1">
        <v>271096.23141187441</v>
      </c>
      <c r="H343" s="1">
        <v>271096.23141187441</v>
      </c>
      <c r="I343" s="1">
        <v>271096.23141187441</v>
      </c>
      <c r="J343" s="1">
        <v>271096.23141187441</v>
      </c>
      <c r="K343" s="1">
        <v>271096.23141187441</v>
      </c>
      <c r="L343" s="1">
        <v>271096.23141187441</v>
      </c>
      <c r="M343" s="1">
        <v>165122.25004177805</v>
      </c>
      <c r="N343" s="1">
        <v>165122.25004177805</v>
      </c>
      <c r="O343" s="1">
        <v>137601.87503481505</v>
      </c>
      <c r="P343" s="1">
        <v>137601.87503481505</v>
      </c>
      <c r="Q343" s="1">
        <v>192642.62504874106</v>
      </c>
      <c r="R343" s="1">
        <v>192642.62504874106</v>
      </c>
      <c r="S343" s="1">
        <v>192642.62504874106</v>
      </c>
      <c r="T343" s="1">
        <v>192642.62504874106</v>
      </c>
      <c r="U343" s="1">
        <v>192642.62504874106</v>
      </c>
      <c r="V343" s="1">
        <v>192642.62504874106</v>
      </c>
      <c r="W343" s="4">
        <f t="shared" si="16"/>
        <v>1910817.6795879391</v>
      </c>
      <c r="X343" s="4">
        <f t="shared" si="17"/>
        <v>1910817.6795879391</v>
      </c>
      <c r="Y343" s="5">
        <f t="shared" si="18"/>
        <v>0.58150000000000002</v>
      </c>
    </row>
    <row r="344" spans="1:25" x14ac:dyDescent="0.25">
      <c r="A344" s="1" t="s">
        <v>85</v>
      </c>
      <c r="B344" s="1" t="s">
        <v>74</v>
      </c>
      <c r="C344" s="1" t="s">
        <v>75</v>
      </c>
      <c r="D344" s="1">
        <v>21863214.075425826</v>
      </c>
      <c r="E344" s="1">
        <v>1442972.1289781046</v>
      </c>
      <c r="F344" s="1">
        <v>1442972.1289781046</v>
      </c>
      <c r="G344" s="1">
        <v>1803715.1612226306</v>
      </c>
      <c r="H344" s="1">
        <v>1803715.1612226306</v>
      </c>
      <c r="I344" s="1">
        <v>1803715.1612226306</v>
      </c>
      <c r="J344" s="1">
        <v>1803715.1612226306</v>
      </c>
      <c r="K344" s="1">
        <v>1803715.1612226306</v>
      </c>
      <c r="L344" s="1">
        <v>1803715.1612226306</v>
      </c>
      <c r="M344" s="1">
        <v>1098626.5072901477</v>
      </c>
      <c r="N344" s="1">
        <v>1098626.5072901477</v>
      </c>
      <c r="O344" s="1">
        <v>915522.08940845646</v>
      </c>
      <c r="P344" s="1">
        <v>915522.08940845646</v>
      </c>
      <c r="Q344" s="1">
        <v>1281730.9251718391</v>
      </c>
      <c r="R344" s="1">
        <v>1281730.9251718391</v>
      </c>
      <c r="S344" s="1">
        <v>1281730.9251718391</v>
      </c>
      <c r="T344" s="1">
        <v>1281730.9251718391</v>
      </c>
      <c r="U344" s="1">
        <v>1281730.9251718391</v>
      </c>
      <c r="V344" s="1">
        <v>1281730.9251718391</v>
      </c>
      <c r="W344" s="4">
        <f t="shared" si="16"/>
        <v>12713458.98486012</v>
      </c>
      <c r="X344" s="4">
        <f t="shared" si="17"/>
        <v>12713458.98486012</v>
      </c>
      <c r="Y344" s="5">
        <f t="shared" si="18"/>
        <v>0.58150000000000013</v>
      </c>
    </row>
    <row r="345" spans="1:25" x14ac:dyDescent="0.25">
      <c r="A345" s="1" t="s">
        <v>85</v>
      </c>
      <c r="B345" s="1" t="s">
        <v>50</v>
      </c>
      <c r="C345" s="1" t="s">
        <v>25</v>
      </c>
      <c r="D345" s="1">
        <v>9805778.4681803267</v>
      </c>
      <c r="E345" s="1">
        <v>647181.37889990164</v>
      </c>
      <c r="F345" s="1">
        <v>647181.37889990164</v>
      </c>
      <c r="G345" s="1">
        <v>808976.72362487705</v>
      </c>
      <c r="H345" s="1">
        <v>808976.72362487705</v>
      </c>
      <c r="I345" s="1">
        <v>808976.72362487705</v>
      </c>
      <c r="J345" s="1">
        <v>808976.72362487705</v>
      </c>
      <c r="K345" s="1">
        <v>808976.72362487705</v>
      </c>
      <c r="L345" s="1">
        <v>808976.72362487705</v>
      </c>
      <c r="M345" s="1">
        <v>492740.36802606133</v>
      </c>
      <c r="N345" s="1">
        <v>492740.36802606133</v>
      </c>
      <c r="O345" s="1">
        <v>410616.97335505113</v>
      </c>
      <c r="P345" s="1">
        <v>410616.97335505113</v>
      </c>
      <c r="Q345" s="1">
        <v>574863.76269707154</v>
      </c>
      <c r="R345" s="1">
        <v>574863.76269707154</v>
      </c>
      <c r="S345" s="1">
        <v>574863.76269707154</v>
      </c>
      <c r="T345" s="1">
        <v>574863.76269707154</v>
      </c>
      <c r="U345" s="1">
        <v>574863.76269707154</v>
      </c>
      <c r="V345" s="1">
        <v>574863.76269707154</v>
      </c>
      <c r="W345" s="4">
        <f t="shared" si="16"/>
        <v>5702060.1792468596</v>
      </c>
      <c r="X345" s="4">
        <f t="shared" si="17"/>
        <v>5702060.1792468596</v>
      </c>
      <c r="Y345" s="5">
        <f t="shared" si="18"/>
        <v>0.58150000000000002</v>
      </c>
    </row>
    <row r="346" spans="1:25" x14ac:dyDescent="0.25">
      <c r="A346" s="1" t="s">
        <v>92</v>
      </c>
      <c r="B346" s="1" t="s">
        <v>59</v>
      </c>
      <c r="C346" s="1" t="s">
        <v>26</v>
      </c>
      <c r="D346" s="1">
        <v>47530768.930639215</v>
      </c>
      <c r="E346" s="1">
        <v>4326380.7408465473</v>
      </c>
      <c r="F346" s="1">
        <v>4326380.7408465473</v>
      </c>
      <c r="G346" s="1">
        <v>5407975.9260581834</v>
      </c>
      <c r="H346" s="1">
        <v>5407975.9260581834</v>
      </c>
      <c r="I346" s="1">
        <v>5407975.9260581834</v>
      </c>
      <c r="J346" s="1">
        <v>5407975.9260581834</v>
      </c>
      <c r="K346" s="1">
        <v>5407975.9260581834</v>
      </c>
      <c r="L346" s="1">
        <v>5407975.9260581834</v>
      </c>
      <c r="M346" s="1">
        <v>3237358.1533008106</v>
      </c>
      <c r="N346" s="1">
        <v>3237358.1533008106</v>
      </c>
      <c r="O346" s="1">
        <v>3237358.1533008106</v>
      </c>
      <c r="P346" s="1">
        <v>3237358.1533008106</v>
      </c>
      <c r="Q346" s="1">
        <v>3237358.1533008106</v>
      </c>
      <c r="R346" s="1">
        <v>3237358.1533008106</v>
      </c>
      <c r="S346" s="1">
        <v>3237358.1533008106</v>
      </c>
      <c r="T346" s="1">
        <v>3237358.1533008106</v>
      </c>
      <c r="U346" s="1">
        <v>3237358.1533008106</v>
      </c>
      <c r="V346" s="1">
        <v>3237358.1533008106</v>
      </c>
      <c r="W346" s="4">
        <f t="shared" si="16"/>
        <v>36737099.285525151</v>
      </c>
      <c r="X346" s="4">
        <f t="shared" si="17"/>
        <v>36737099.285525151</v>
      </c>
      <c r="Y346" s="5">
        <f t="shared" si="18"/>
        <v>0.77291194971272037</v>
      </c>
    </row>
    <row r="347" spans="1:25" x14ac:dyDescent="0.25">
      <c r="A347" s="1" t="s">
        <v>92</v>
      </c>
      <c r="B347" s="1" t="s">
        <v>60</v>
      </c>
      <c r="C347" s="1" t="s">
        <v>26</v>
      </c>
      <c r="D347" s="1">
        <v>18020454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9010227</v>
      </c>
      <c r="N347" s="1">
        <v>9010227</v>
      </c>
      <c r="O347" s="1">
        <v>9010227</v>
      </c>
      <c r="P347" s="1">
        <v>9010227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4">
        <f t="shared" si="16"/>
        <v>18020454</v>
      </c>
      <c r="X347" s="4">
        <f t="shared" si="17"/>
        <v>18020454</v>
      </c>
      <c r="Y347" s="5">
        <f t="shared" si="18"/>
        <v>1</v>
      </c>
    </row>
    <row r="348" spans="1:25" x14ac:dyDescent="0.25">
      <c r="A348" s="1" t="s">
        <v>92</v>
      </c>
      <c r="B348" s="1" t="s">
        <v>33</v>
      </c>
      <c r="C348" s="1" t="s">
        <v>34</v>
      </c>
      <c r="D348" s="1">
        <v>84000000</v>
      </c>
      <c r="E348" s="1">
        <v>0</v>
      </c>
      <c r="F348" s="1">
        <v>0</v>
      </c>
      <c r="G348" s="1">
        <v>16800000</v>
      </c>
      <c r="H348" s="1">
        <v>16800000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25200000</v>
      </c>
      <c r="P348" s="1">
        <v>25200000</v>
      </c>
      <c r="Q348" s="1">
        <v>0</v>
      </c>
      <c r="R348" s="1">
        <v>0</v>
      </c>
      <c r="S348" s="1">
        <v>25200000</v>
      </c>
      <c r="T348" s="1">
        <v>25200000</v>
      </c>
      <c r="U348" s="1">
        <v>16800000</v>
      </c>
      <c r="V348" s="1">
        <v>16800000</v>
      </c>
      <c r="W348" s="4">
        <f t="shared" si="16"/>
        <v>84000000</v>
      </c>
      <c r="X348" s="4">
        <f t="shared" si="17"/>
        <v>84000000</v>
      </c>
      <c r="Y348" s="5">
        <f t="shared" si="18"/>
        <v>1</v>
      </c>
    </row>
    <row r="349" spans="1:25" x14ac:dyDescent="0.25">
      <c r="A349" s="1" t="s">
        <v>92</v>
      </c>
      <c r="B349" s="1" t="s">
        <v>35</v>
      </c>
      <c r="C349" s="1" t="s">
        <v>34</v>
      </c>
      <c r="D349" s="1">
        <v>209999999.99999997</v>
      </c>
      <c r="E349" s="1">
        <v>0</v>
      </c>
      <c r="F349" s="1">
        <v>0</v>
      </c>
      <c r="G349" s="1">
        <v>57750000</v>
      </c>
      <c r="H349" s="1">
        <v>57750000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50749999.999999993</v>
      </c>
      <c r="P349" s="1">
        <v>50749999.999999993</v>
      </c>
      <c r="Q349" s="1">
        <v>0</v>
      </c>
      <c r="R349" s="1">
        <v>0</v>
      </c>
      <c r="S349" s="1">
        <v>50749999.999999993</v>
      </c>
      <c r="T349" s="1">
        <v>50749999.999999993</v>
      </c>
      <c r="U349" s="1">
        <v>50749999.999999993</v>
      </c>
      <c r="V349" s="1">
        <v>50749999.999999993</v>
      </c>
      <c r="W349" s="4">
        <f t="shared" si="16"/>
        <v>209999999.99999997</v>
      </c>
      <c r="X349" s="4">
        <f t="shared" si="17"/>
        <v>209999999.99999997</v>
      </c>
      <c r="Y349" s="5">
        <f t="shared" si="18"/>
        <v>1</v>
      </c>
    </row>
    <row r="350" spans="1:25" x14ac:dyDescent="0.25">
      <c r="A350" s="1" t="s">
        <v>92</v>
      </c>
      <c r="B350" s="1" t="s">
        <v>38</v>
      </c>
      <c r="C350" s="1" t="s">
        <v>39</v>
      </c>
      <c r="D350" s="1">
        <v>9657134.6473268196</v>
      </c>
      <c r="E350" s="1">
        <v>637370.88672357018</v>
      </c>
      <c r="F350" s="1">
        <v>637370.88672357018</v>
      </c>
      <c r="G350" s="1">
        <v>796713.60840446269</v>
      </c>
      <c r="H350" s="1">
        <v>796713.60840446269</v>
      </c>
      <c r="I350" s="1">
        <v>796713.60840446269</v>
      </c>
      <c r="J350" s="1">
        <v>796713.60840446269</v>
      </c>
      <c r="K350" s="1">
        <v>796713.60840446269</v>
      </c>
      <c r="L350" s="1">
        <v>796713.60840446269</v>
      </c>
      <c r="M350" s="1">
        <v>485271.01602817251</v>
      </c>
      <c r="N350" s="1">
        <v>485271.01602817251</v>
      </c>
      <c r="O350" s="1">
        <v>404392.51335681044</v>
      </c>
      <c r="P350" s="1">
        <v>404392.51335681044</v>
      </c>
      <c r="Q350" s="1">
        <v>566149.51869953459</v>
      </c>
      <c r="R350" s="1">
        <v>566149.51869953459</v>
      </c>
      <c r="S350" s="1">
        <v>566149.51869953459</v>
      </c>
      <c r="T350" s="1">
        <v>566149.51869953459</v>
      </c>
      <c r="U350" s="1">
        <v>566149.51869953459</v>
      </c>
      <c r="V350" s="1">
        <v>566149.51869953459</v>
      </c>
      <c r="W350" s="4">
        <f t="shared" si="16"/>
        <v>5615623.7974205445</v>
      </c>
      <c r="X350" s="4">
        <f t="shared" si="17"/>
        <v>5615623.7974205445</v>
      </c>
      <c r="Y350" s="5">
        <f t="shared" si="18"/>
        <v>0.58149999999999991</v>
      </c>
    </row>
    <row r="351" spans="1:25" x14ac:dyDescent="0.25">
      <c r="A351" s="1" t="s">
        <v>92</v>
      </c>
      <c r="B351" s="1" t="s">
        <v>61</v>
      </c>
      <c r="C351" s="1" t="s">
        <v>34</v>
      </c>
      <c r="D351" s="1">
        <v>134235862</v>
      </c>
      <c r="E351" s="1">
        <v>0</v>
      </c>
      <c r="F351" s="1">
        <v>0</v>
      </c>
      <c r="G351" s="1">
        <v>10738868.95877682</v>
      </c>
      <c r="H351" s="1">
        <v>10738868.95877682</v>
      </c>
      <c r="I351" s="1">
        <v>0</v>
      </c>
      <c r="J351" s="1">
        <v>0</v>
      </c>
      <c r="K351" s="1">
        <v>0</v>
      </c>
      <c r="L351" s="1">
        <v>0</v>
      </c>
      <c r="M351" s="1">
        <v>30874248.260305796</v>
      </c>
      <c r="N351" s="1">
        <v>30874248.260305796</v>
      </c>
      <c r="O351" s="1">
        <v>0</v>
      </c>
      <c r="P351" s="1">
        <v>0</v>
      </c>
      <c r="Q351" s="1">
        <v>0</v>
      </c>
      <c r="R351" s="1">
        <v>0</v>
      </c>
      <c r="S351" s="1">
        <v>46311372.390458696</v>
      </c>
      <c r="T351" s="1">
        <v>46311372.390458696</v>
      </c>
      <c r="U351" s="1">
        <v>0</v>
      </c>
      <c r="V351" s="1">
        <v>0</v>
      </c>
      <c r="W351" s="4">
        <f t="shared" si="16"/>
        <v>87924489.609541312</v>
      </c>
      <c r="X351" s="4">
        <f t="shared" si="17"/>
        <v>87924489.609541312</v>
      </c>
      <c r="Y351" s="5">
        <f t="shared" si="18"/>
        <v>0.65499999999658298</v>
      </c>
    </row>
    <row r="352" spans="1:25" x14ac:dyDescent="0.25">
      <c r="A352" s="1" t="s">
        <v>92</v>
      </c>
      <c r="B352" s="1" t="s">
        <v>62</v>
      </c>
      <c r="C352" s="1" t="s">
        <v>63</v>
      </c>
      <c r="D352" s="1">
        <v>43142857</v>
      </c>
      <c r="E352" s="1">
        <v>15399999.999120001</v>
      </c>
      <c r="F352" s="1">
        <v>15399999.999120001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1791964.2857967855</v>
      </c>
      <c r="N352" s="1">
        <v>1791964.2857967855</v>
      </c>
      <c r="O352" s="1">
        <v>1493303.5714973214</v>
      </c>
      <c r="P352" s="1">
        <v>1493303.5714973214</v>
      </c>
      <c r="Q352" s="1">
        <v>2090625.0000962499</v>
      </c>
      <c r="R352" s="1">
        <v>2090625.0000962499</v>
      </c>
      <c r="S352" s="1">
        <v>2090625.0000962499</v>
      </c>
      <c r="T352" s="1">
        <v>2090625.0000962499</v>
      </c>
      <c r="U352" s="1">
        <v>2090625.0000962499</v>
      </c>
      <c r="V352" s="1">
        <v>2090625.0000962499</v>
      </c>
      <c r="W352" s="4">
        <f t="shared" si="16"/>
        <v>24957142.856702857</v>
      </c>
      <c r="X352" s="4">
        <f t="shared" si="17"/>
        <v>24957142.856702857</v>
      </c>
      <c r="Y352" s="5">
        <f t="shared" si="18"/>
        <v>0.5784768230973405</v>
      </c>
    </row>
    <row r="353" spans="1:25" x14ac:dyDescent="0.25">
      <c r="A353" s="1" t="s">
        <v>92</v>
      </c>
      <c r="B353" s="1" t="s">
        <v>40</v>
      </c>
      <c r="C353" s="1" t="s">
        <v>27</v>
      </c>
      <c r="D353" s="1">
        <v>87139197.00000003</v>
      </c>
      <c r="E353" s="1">
        <v>9296820</v>
      </c>
      <c r="F353" s="1">
        <v>9296820</v>
      </c>
      <c r="G353" s="1">
        <v>8208797</v>
      </c>
      <c r="H353" s="1">
        <v>8208797</v>
      </c>
      <c r="I353" s="1">
        <v>7476458.450000003</v>
      </c>
      <c r="J353" s="1">
        <v>7476458.450000003</v>
      </c>
      <c r="K353" s="1">
        <v>8311960.200000003</v>
      </c>
      <c r="L353" s="1">
        <v>8311960.200000003</v>
      </c>
      <c r="M353" s="1">
        <v>0</v>
      </c>
      <c r="N353" s="1">
        <v>0</v>
      </c>
      <c r="O353" s="1">
        <v>15135679.650000002</v>
      </c>
      <c r="P353" s="1">
        <v>15135679.650000002</v>
      </c>
      <c r="Q353" s="1">
        <v>8603683.1999999993</v>
      </c>
      <c r="R353" s="1">
        <v>8603683.1999999993</v>
      </c>
      <c r="S353" s="1">
        <v>7832344.4500000002</v>
      </c>
      <c r="T353" s="1">
        <v>7832344.4500000002</v>
      </c>
      <c r="U353" s="1">
        <v>6186458.4500000002</v>
      </c>
      <c r="V353" s="1">
        <v>6186458.4500000002</v>
      </c>
      <c r="W353" s="4">
        <f t="shared" si="16"/>
        <v>71052201.400000006</v>
      </c>
      <c r="X353" s="4">
        <f t="shared" si="17"/>
        <v>71052201.400000006</v>
      </c>
      <c r="Y353" s="5">
        <f t="shared" si="18"/>
        <v>0.81538737842626641</v>
      </c>
    </row>
    <row r="354" spans="1:25" x14ac:dyDescent="0.25">
      <c r="A354" s="1" t="s">
        <v>92</v>
      </c>
      <c r="B354" s="1" t="s">
        <v>41</v>
      </c>
      <c r="C354" s="1" t="s">
        <v>27</v>
      </c>
      <c r="D354" s="1">
        <v>169963427</v>
      </c>
      <c r="E354" s="1">
        <v>0</v>
      </c>
      <c r="F354" s="1">
        <v>0</v>
      </c>
      <c r="G354" s="1">
        <v>21097966.62946336</v>
      </c>
      <c r="H354" s="1">
        <v>21097966.62946336</v>
      </c>
      <c r="I354" s="1">
        <v>13253606</v>
      </c>
      <c r="J354" s="1">
        <v>13253606</v>
      </c>
      <c r="K354" s="1">
        <v>0</v>
      </c>
      <c r="L354" s="1">
        <v>0</v>
      </c>
      <c r="M354" s="1">
        <v>59439746.5</v>
      </c>
      <c r="N354" s="1">
        <v>59439746.5</v>
      </c>
      <c r="O354" s="1">
        <v>16732361.37053664</v>
      </c>
      <c r="P354" s="1">
        <v>16732361.37053664</v>
      </c>
      <c r="Q354" s="1">
        <v>59439746.5</v>
      </c>
      <c r="R354" s="1">
        <v>59439746.5</v>
      </c>
      <c r="S354" s="1">
        <v>0</v>
      </c>
      <c r="T354" s="1">
        <v>0</v>
      </c>
      <c r="U354" s="1">
        <v>0</v>
      </c>
      <c r="V354" s="1">
        <v>0</v>
      </c>
      <c r="W354" s="4">
        <f t="shared" si="16"/>
        <v>169963427</v>
      </c>
      <c r="X354" s="4">
        <f t="shared" si="17"/>
        <v>169963427</v>
      </c>
      <c r="Y354" s="5">
        <f t="shared" si="18"/>
        <v>1</v>
      </c>
    </row>
    <row r="355" spans="1:25" x14ac:dyDescent="0.25">
      <c r="A355" s="1" t="s">
        <v>92</v>
      </c>
      <c r="B355" s="1" t="s">
        <v>42</v>
      </c>
      <c r="C355" s="1" t="s">
        <v>27</v>
      </c>
      <c r="D355" s="1">
        <v>51083934</v>
      </c>
      <c r="E355" s="1">
        <v>0</v>
      </c>
      <c r="F355" s="1">
        <v>0</v>
      </c>
      <c r="G355" s="1">
        <v>0</v>
      </c>
      <c r="H355" s="1">
        <v>0</v>
      </c>
      <c r="I355" s="1">
        <v>17027978</v>
      </c>
      <c r="J355" s="1">
        <v>17027978</v>
      </c>
      <c r="K355" s="1">
        <v>17027978</v>
      </c>
      <c r="L355" s="1">
        <v>17027978</v>
      </c>
      <c r="M355" s="1">
        <v>8513989</v>
      </c>
      <c r="N355" s="1">
        <v>8513989</v>
      </c>
      <c r="O355" s="1">
        <v>0</v>
      </c>
      <c r="P355" s="1">
        <v>0</v>
      </c>
      <c r="Q355" s="1">
        <v>8513989</v>
      </c>
      <c r="R355" s="1">
        <v>8513989</v>
      </c>
      <c r="S355" s="1">
        <v>0</v>
      </c>
      <c r="T355" s="1">
        <v>0</v>
      </c>
      <c r="U355" s="1">
        <v>0</v>
      </c>
      <c r="V355" s="1">
        <v>0</v>
      </c>
      <c r="W355" s="4">
        <f t="shared" si="16"/>
        <v>51083934</v>
      </c>
      <c r="X355" s="4">
        <f t="shared" si="17"/>
        <v>51083934</v>
      </c>
      <c r="Y355" s="5">
        <f t="shared" si="18"/>
        <v>1</v>
      </c>
    </row>
    <row r="356" spans="1:25" x14ac:dyDescent="0.25">
      <c r="A356" s="1" t="s">
        <v>92</v>
      </c>
      <c r="B356" s="1" t="s">
        <v>43</v>
      </c>
      <c r="C356" s="1" t="s">
        <v>31</v>
      </c>
      <c r="D356" s="1">
        <v>4405547.6377896983</v>
      </c>
      <c r="E356" s="1">
        <v>255911.245246151</v>
      </c>
      <c r="F356" s="1">
        <v>255911.245246151</v>
      </c>
      <c r="G356" s="1">
        <v>319889.05655768875</v>
      </c>
      <c r="H356" s="1">
        <v>319889.05655768875</v>
      </c>
      <c r="I356" s="1">
        <v>319889.05655768875</v>
      </c>
      <c r="J356" s="1">
        <v>319889.05655768875</v>
      </c>
      <c r="K356" s="1">
        <v>319889.05655768875</v>
      </c>
      <c r="L356" s="1">
        <v>319889.05655768875</v>
      </c>
      <c r="M356" s="1">
        <v>237861.36900353979</v>
      </c>
      <c r="N356" s="1">
        <v>237861.36900353979</v>
      </c>
      <c r="O356" s="1">
        <v>198217.80750294984</v>
      </c>
      <c r="P356" s="1">
        <v>198217.80750294984</v>
      </c>
      <c r="Q356" s="1">
        <v>245659.72810956271</v>
      </c>
      <c r="R356" s="1">
        <v>245659.72810956271</v>
      </c>
      <c r="S356" s="1">
        <v>277504.93050412973</v>
      </c>
      <c r="T356" s="1">
        <v>277504.93050412973</v>
      </c>
      <c r="U356" s="1">
        <v>277504.93050412973</v>
      </c>
      <c r="V356" s="1">
        <v>277504.93050412973</v>
      </c>
      <c r="W356" s="4">
        <f t="shared" si="16"/>
        <v>2452327.1805435293</v>
      </c>
      <c r="X356" s="4">
        <f t="shared" si="17"/>
        <v>2452327.1805435293</v>
      </c>
      <c r="Y356" s="5">
        <f t="shared" si="18"/>
        <v>0.5566452532502596</v>
      </c>
    </row>
    <row r="357" spans="1:25" x14ac:dyDescent="0.25">
      <c r="A357" s="1" t="s">
        <v>92</v>
      </c>
      <c r="B357" s="1" t="s">
        <v>64</v>
      </c>
      <c r="C357" s="1" t="s">
        <v>23</v>
      </c>
      <c r="D357" s="1">
        <v>4116498.2252667127</v>
      </c>
      <c r="E357" s="1">
        <v>271688.88286760304</v>
      </c>
      <c r="F357" s="1">
        <v>271688.88286760304</v>
      </c>
      <c r="G357" s="1">
        <v>339611.10358450381</v>
      </c>
      <c r="H357" s="1">
        <v>339611.10358450381</v>
      </c>
      <c r="I357" s="1">
        <v>339611.10358450381</v>
      </c>
      <c r="J357" s="1">
        <v>339611.10358450381</v>
      </c>
      <c r="K357" s="1">
        <v>339611.10358450381</v>
      </c>
      <c r="L357" s="1">
        <v>339611.10358450381</v>
      </c>
      <c r="M357" s="1">
        <v>206854.03581965232</v>
      </c>
      <c r="N357" s="1">
        <v>206854.03581965232</v>
      </c>
      <c r="O357" s="1">
        <v>172378.36318304361</v>
      </c>
      <c r="P357" s="1">
        <v>172378.36318304361</v>
      </c>
      <c r="Q357" s="1">
        <v>241329.70845626103</v>
      </c>
      <c r="R357" s="1">
        <v>241329.70845626103</v>
      </c>
      <c r="S357" s="1">
        <v>241329.70845626103</v>
      </c>
      <c r="T357" s="1">
        <v>241329.70845626103</v>
      </c>
      <c r="U357" s="1">
        <v>241329.70845626103</v>
      </c>
      <c r="V357" s="1">
        <v>241329.70845626103</v>
      </c>
      <c r="W357" s="4">
        <f t="shared" si="16"/>
        <v>2393743.7179925935</v>
      </c>
      <c r="X357" s="4">
        <f t="shared" si="17"/>
        <v>2393743.7179925935</v>
      </c>
      <c r="Y357" s="5">
        <f t="shared" si="18"/>
        <v>0.58150000000000002</v>
      </c>
    </row>
    <row r="358" spans="1:25" x14ac:dyDescent="0.25">
      <c r="A358" s="1" t="s">
        <v>92</v>
      </c>
      <c r="B358" s="1" t="s">
        <v>65</v>
      </c>
      <c r="C358" s="1" t="s">
        <v>31</v>
      </c>
      <c r="D358" s="1">
        <v>6551899.9238358922</v>
      </c>
      <c r="E358" s="1">
        <v>432425.39497316891</v>
      </c>
      <c r="F358" s="1">
        <v>432425.39497316891</v>
      </c>
      <c r="G358" s="1">
        <v>540531.74371646112</v>
      </c>
      <c r="H358" s="1">
        <v>540531.74371646112</v>
      </c>
      <c r="I358" s="1">
        <v>540531.74371646112</v>
      </c>
      <c r="J358" s="1">
        <v>540531.74371646112</v>
      </c>
      <c r="K358" s="1">
        <v>540531.74371646112</v>
      </c>
      <c r="L358" s="1">
        <v>540531.74371646112</v>
      </c>
      <c r="M358" s="1">
        <v>329232.97117275355</v>
      </c>
      <c r="N358" s="1">
        <v>329232.97117275355</v>
      </c>
      <c r="O358" s="1">
        <v>274360.80931062798</v>
      </c>
      <c r="P358" s="1">
        <v>274360.80931062798</v>
      </c>
      <c r="Q358" s="1">
        <v>384105.13303487917</v>
      </c>
      <c r="R358" s="1">
        <v>384105.13303487917</v>
      </c>
      <c r="S358" s="1">
        <v>384105.13303487917</v>
      </c>
      <c r="T358" s="1">
        <v>384105.13303487917</v>
      </c>
      <c r="U358" s="1">
        <v>384105.13303487917</v>
      </c>
      <c r="V358" s="1">
        <v>384105.13303487917</v>
      </c>
      <c r="W358" s="4">
        <f t="shared" si="16"/>
        <v>3809929.8057105718</v>
      </c>
      <c r="X358" s="4">
        <f t="shared" si="17"/>
        <v>3809929.8057105718</v>
      </c>
      <c r="Y358" s="5">
        <f t="shared" si="18"/>
        <v>0.58150000000000013</v>
      </c>
    </row>
    <row r="359" spans="1:25" x14ac:dyDescent="0.25">
      <c r="A359" s="1" t="s">
        <v>92</v>
      </c>
      <c r="B359" s="1" t="s">
        <v>44</v>
      </c>
      <c r="C359" s="1" t="s">
        <v>45</v>
      </c>
      <c r="D359" s="1">
        <v>9657134.6473268196</v>
      </c>
      <c r="E359" s="1">
        <v>637370.88672357018</v>
      </c>
      <c r="F359" s="1">
        <v>637370.88672357018</v>
      </c>
      <c r="G359" s="1">
        <v>796713.60840446269</v>
      </c>
      <c r="H359" s="1">
        <v>796713.60840446269</v>
      </c>
      <c r="I359" s="1">
        <v>796713.60840446269</v>
      </c>
      <c r="J359" s="1">
        <v>796713.60840446269</v>
      </c>
      <c r="K359" s="1">
        <v>796713.60840446269</v>
      </c>
      <c r="L359" s="1">
        <v>796713.60840446269</v>
      </c>
      <c r="M359" s="1">
        <v>485271.01602817251</v>
      </c>
      <c r="N359" s="1">
        <v>485271.01602817251</v>
      </c>
      <c r="O359" s="1">
        <v>404392.51335681044</v>
      </c>
      <c r="P359" s="1">
        <v>404392.51335681044</v>
      </c>
      <c r="Q359" s="1">
        <v>566149.51869953459</v>
      </c>
      <c r="R359" s="1">
        <v>566149.51869953459</v>
      </c>
      <c r="S359" s="1">
        <v>566149.51869953459</v>
      </c>
      <c r="T359" s="1">
        <v>566149.51869953459</v>
      </c>
      <c r="U359" s="1">
        <v>566149.51869953459</v>
      </c>
      <c r="V359" s="1">
        <v>566149.51869953459</v>
      </c>
      <c r="W359" s="4">
        <f t="shared" si="16"/>
        <v>5615623.7974205445</v>
      </c>
      <c r="X359" s="4">
        <f t="shared" si="17"/>
        <v>5615623.7974205445</v>
      </c>
      <c r="Y359" s="5">
        <f t="shared" si="18"/>
        <v>0.58149999999999991</v>
      </c>
    </row>
    <row r="360" spans="1:25" x14ac:dyDescent="0.25">
      <c r="A360" s="1" t="s">
        <v>92</v>
      </c>
      <c r="B360" s="1" t="s">
        <v>46</v>
      </c>
      <c r="C360" s="1" t="s">
        <v>22</v>
      </c>
      <c r="D360" s="1">
        <v>109487320.28773442</v>
      </c>
      <c r="E360" s="1">
        <v>7232932.0492099393</v>
      </c>
      <c r="F360" s="1">
        <v>7232932.0492099393</v>
      </c>
      <c r="G360" s="1">
        <v>9041165.0615124237</v>
      </c>
      <c r="H360" s="1">
        <v>9041165.0615124237</v>
      </c>
      <c r="I360" s="1">
        <v>9041165.0615124237</v>
      </c>
      <c r="J360" s="1">
        <v>9041165.0615124237</v>
      </c>
      <c r="K360" s="1">
        <v>9041165.0615124237</v>
      </c>
      <c r="L360" s="1">
        <v>9041165.0615124237</v>
      </c>
      <c r="M360" s="1">
        <v>5673033.8165891031</v>
      </c>
      <c r="N360" s="1">
        <v>5673033.8165891031</v>
      </c>
      <c r="O360" s="1">
        <v>4613251.5030578459</v>
      </c>
      <c r="P360" s="1">
        <v>4613251.5030578459</v>
      </c>
      <c r="Q360" s="1">
        <v>6386760.3249844145</v>
      </c>
      <c r="R360" s="1">
        <v>6386760.3249844145</v>
      </c>
      <c r="S360" s="1">
        <v>6386760.3249844145</v>
      </c>
      <c r="T360" s="1">
        <v>6386760.3249844145</v>
      </c>
      <c r="U360" s="1">
        <v>6386760.3249844145</v>
      </c>
      <c r="V360" s="1">
        <v>6386760.3249844145</v>
      </c>
      <c r="W360" s="4">
        <f t="shared" si="16"/>
        <v>63802993.528347403</v>
      </c>
      <c r="X360" s="4">
        <f t="shared" si="17"/>
        <v>63802993.528347403</v>
      </c>
      <c r="Y360" s="5">
        <f t="shared" si="18"/>
        <v>0.58274321958626918</v>
      </c>
    </row>
    <row r="361" spans="1:25" x14ac:dyDescent="0.25">
      <c r="A361" s="1" t="s">
        <v>92</v>
      </c>
      <c r="B361" s="1" t="s">
        <v>66</v>
      </c>
      <c r="C361" s="1" t="s">
        <v>24</v>
      </c>
      <c r="D361" s="1">
        <v>278817952.00531834</v>
      </c>
      <c r="E361" s="1">
        <v>23002481.040438764</v>
      </c>
      <c r="F361" s="1">
        <v>23002481.040438764</v>
      </c>
      <c r="G361" s="1">
        <v>23002481.040438764</v>
      </c>
      <c r="H361" s="1">
        <v>23002481.040438764</v>
      </c>
      <c r="I361" s="1">
        <v>23002481.040438764</v>
      </c>
      <c r="J361" s="1">
        <v>23002481.040438764</v>
      </c>
      <c r="K361" s="1">
        <v>23002481.040438764</v>
      </c>
      <c r="L361" s="1">
        <v>23002481.040438764</v>
      </c>
      <c r="M361" s="1">
        <v>25676025.838244945</v>
      </c>
      <c r="N361" s="1">
        <v>25676025.838244945</v>
      </c>
      <c r="O361" s="1">
        <v>23779150</v>
      </c>
      <c r="P361" s="1">
        <v>23779150</v>
      </c>
      <c r="Q361" s="1">
        <v>24419150</v>
      </c>
      <c r="R361" s="1">
        <v>24419150</v>
      </c>
      <c r="S361" s="1">
        <v>23129150</v>
      </c>
      <c r="T361" s="1">
        <v>23129150</v>
      </c>
      <c r="U361" s="1">
        <v>22877102</v>
      </c>
      <c r="V361" s="1">
        <v>22877102</v>
      </c>
      <c r="W361" s="4">
        <f t="shared" si="16"/>
        <v>211890502.00000003</v>
      </c>
      <c r="X361" s="4">
        <f t="shared" si="17"/>
        <v>211890502.00000003</v>
      </c>
      <c r="Y361" s="5">
        <f t="shared" si="18"/>
        <v>0.75996004014819785</v>
      </c>
    </row>
    <row r="362" spans="1:25" x14ac:dyDescent="0.25">
      <c r="A362" s="1" t="s">
        <v>92</v>
      </c>
      <c r="B362" s="1" t="s">
        <v>67</v>
      </c>
      <c r="C362" s="1" t="s">
        <v>68</v>
      </c>
      <c r="D362" s="1">
        <v>5916750.6585043678</v>
      </c>
      <c r="E362" s="1">
        <v>390505.54346128833</v>
      </c>
      <c r="F362" s="1">
        <v>390505.54346128833</v>
      </c>
      <c r="G362" s="1">
        <v>488131.92932661035</v>
      </c>
      <c r="H362" s="1">
        <v>488131.92932661035</v>
      </c>
      <c r="I362" s="1">
        <v>488131.92932661035</v>
      </c>
      <c r="J362" s="1">
        <v>488131.92932661035</v>
      </c>
      <c r="K362" s="1">
        <v>488131.92932661035</v>
      </c>
      <c r="L362" s="1">
        <v>488131.92932661035</v>
      </c>
      <c r="M362" s="1">
        <v>307671.03424222715</v>
      </c>
      <c r="N362" s="1">
        <v>307671.03424222715</v>
      </c>
      <c r="O362" s="1">
        <v>246531.277437682</v>
      </c>
      <c r="P362" s="1">
        <v>246531.277437682</v>
      </c>
      <c r="Q362" s="1">
        <v>345143.78841275477</v>
      </c>
      <c r="R362" s="1">
        <v>345143.78841275477</v>
      </c>
      <c r="S362" s="1">
        <v>345143.78841275477</v>
      </c>
      <c r="T362" s="1">
        <v>345143.78841275477</v>
      </c>
      <c r="U362" s="1">
        <v>345143.78841275477</v>
      </c>
      <c r="V362" s="1">
        <v>345143.78841275477</v>
      </c>
      <c r="W362" s="4">
        <f t="shared" si="16"/>
        <v>3444535.0083592925</v>
      </c>
      <c r="X362" s="4">
        <f t="shared" si="17"/>
        <v>3444535.0083592925</v>
      </c>
      <c r="Y362" s="5">
        <f t="shared" si="18"/>
        <v>0.58216666666666661</v>
      </c>
    </row>
    <row r="363" spans="1:25" x14ac:dyDescent="0.25">
      <c r="A363" s="1" t="s">
        <v>92</v>
      </c>
      <c r="B363" s="1" t="s">
        <v>47</v>
      </c>
      <c r="C363" s="1" t="s">
        <v>34</v>
      </c>
      <c r="D363" s="1">
        <v>11415625.887323899</v>
      </c>
      <c r="E363" s="1">
        <v>0</v>
      </c>
      <c r="F363" s="1">
        <v>0</v>
      </c>
      <c r="G363" s="1">
        <v>751704.92883579014</v>
      </c>
      <c r="H363" s="1">
        <v>751704.92883579014</v>
      </c>
      <c r="I363" s="1">
        <v>0</v>
      </c>
      <c r="J363" s="1">
        <v>0</v>
      </c>
      <c r="K363" s="1">
        <v>0</v>
      </c>
      <c r="L363" s="1">
        <v>0</v>
      </c>
      <c r="M363" s="1">
        <v>5331960.4792440543</v>
      </c>
      <c r="N363" s="1">
        <v>5331960.4792440543</v>
      </c>
      <c r="O363" s="1">
        <v>0</v>
      </c>
      <c r="P363" s="1">
        <v>0</v>
      </c>
      <c r="Q363" s="1">
        <v>0</v>
      </c>
      <c r="R363" s="1">
        <v>0</v>
      </c>
      <c r="S363" s="1">
        <v>5331960.4792440543</v>
      </c>
      <c r="T363" s="1">
        <v>5331960.4792440543</v>
      </c>
      <c r="U363" s="1">
        <v>0</v>
      </c>
      <c r="V363" s="1">
        <v>0</v>
      </c>
      <c r="W363" s="4">
        <f t="shared" si="16"/>
        <v>11415625.887323899</v>
      </c>
      <c r="X363" s="4">
        <f t="shared" si="17"/>
        <v>11415625.887323899</v>
      </c>
      <c r="Y363" s="5">
        <f t="shared" si="18"/>
        <v>1</v>
      </c>
    </row>
    <row r="364" spans="1:25" x14ac:dyDescent="0.25">
      <c r="A364" s="1" t="s">
        <v>92</v>
      </c>
      <c r="B364" s="1" t="s">
        <v>69</v>
      </c>
      <c r="C364" s="1" t="s">
        <v>28</v>
      </c>
      <c r="D364" s="1">
        <v>8820616.5220532715</v>
      </c>
      <c r="E364" s="1">
        <v>582160.69045551599</v>
      </c>
      <c r="F364" s="1">
        <v>582160.69045551599</v>
      </c>
      <c r="G364" s="1">
        <v>727700.86306939495</v>
      </c>
      <c r="H364" s="1">
        <v>727700.86306939495</v>
      </c>
      <c r="I364" s="1">
        <v>727700.86306939495</v>
      </c>
      <c r="J364" s="1">
        <v>727700.86306939495</v>
      </c>
      <c r="K364" s="1">
        <v>727700.86306939495</v>
      </c>
      <c r="L364" s="1">
        <v>727700.86306939495</v>
      </c>
      <c r="M364" s="1">
        <v>443235.98023317684</v>
      </c>
      <c r="N364" s="1">
        <v>443235.98023317684</v>
      </c>
      <c r="O364" s="1">
        <v>369363.3168609807</v>
      </c>
      <c r="P364" s="1">
        <v>369363.3168609807</v>
      </c>
      <c r="Q364" s="1">
        <v>517108.64360537293</v>
      </c>
      <c r="R364" s="1">
        <v>517108.64360537293</v>
      </c>
      <c r="S364" s="1">
        <v>517108.64360537293</v>
      </c>
      <c r="T364" s="1">
        <v>517108.64360537293</v>
      </c>
      <c r="U364" s="1">
        <v>517108.64360537293</v>
      </c>
      <c r="V364" s="1">
        <v>517108.64360537293</v>
      </c>
      <c r="W364" s="4">
        <f t="shared" si="16"/>
        <v>5129188.5075739771</v>
      </c>
      <c r="X364" s="4">
        <f t="shared" si="17"/>
        <v>5129188.5075739771</v>
      </c>
      <c r="Y364" s="5">
        <f t="shared" si="18"/>
        <v>0.58150000000000002</v>
      </c>
    </row>
    <row r="365" spans="1:25" x14ac:dyDescent="0.25">
      <c r="A365" s="1" t="s">
        <v>92</v>
      </c>
      <c r="B365" s="1" t="s">
        <v>70</v>
      </c>
      <c r="C365" s="1" t="s">
        <v>23</v>
      </c>
      <c r="D365" s="1">
        <v>8268750.0182812503</v>
      </c>
      <c r="E365" s="1">
        <v>545737.50120656262</v>
      </c>
      <c r="F365" s="1">
        <v>545737.50120656262</v>
      </c>
      <c r="G365" s="1">
        <v>682171.87650820322</v>
      </c>
      <c r="H365" s="1">
        <v>682171.87650820322</v>
      </c>
      <c r="I365" s="1">
        <v>682171.87650820322</v>
      </c>
      <c r="J365" s="1">
        <v>682171.87650820322</v>
      </c>
      <c r="K365" s="1">
        <v>682171.87650820322</v>
      </c>
      <c r="L365" s="1">
        <v>682171.87650820322</v>
      </c>
      <c r="M365" s="1">
        <v>415504.68841863284</v>
      </c>
      <c r="N365" s="1">
        <v>415504.68841863284</v>
      </c>
      <c r="O365" s="1">
        <v>346253.90701552737</v>
      </c>
      <c r="P365" s="1">
        <v>346253.90701552737</v>
      </c>
      <c r="Q365" s="1">
        <v>484755.46982173825</v>
      </c>
      <c r="R365" s="1">
        <v>484755.46982173825</v>
      </c>
      <c r="S365" s="1">
        <v>484755.46982173825</v>
      </c>
      <c r="T365" s="1">
        <v>484755.46982173825</v>
      </c>
      <c r="U365" s="1">
        <v>484755.46982173825</v>
      </c>
      <c r="V365" s="1">
        <v>484755.46982173825</v>
      </c>
      <c r="W365" s="4">
        <f t="shared" si="16"/>
        <v>4808278.135630548</v>
      </c>
      <c r="X365" s="4">
        <f t="shared" si="17"/>
        <v>4808278.135630548</v>
      </c>
      <c r="Y365" s="5">
        <f t="shared" si="18"/>
        <v>0.58150000000000013</v>
      </c>
    </row>
    <row r="366" spans="1:25" x14ac:dyDescent="0.25">
      <c r="A366" s="1" t="s">
        <v>92</v>
      </c>
      <c r="B366" s="1" t="s">
        <v>71</v>
      </c>
      <c r="C366" s="1" t="s">
        <v>29</v>
      </c>
      <c r="D366" s="1">
        <v>7205029.771153843</v>
      </c>
      <c r="E366" s="1">
        <v>475531.96489615366</v>
      </c>
      <c r="F366" s="1">
        <v>475531.96489615366</v>
      </c>
      <c r="G366" s="1">
        <v>594414.95612019207</v>
      </c>
      <c r="H366" s="1">
        <v>594414.95612019207</v>
      </c>
      <c r="I366" s="1">
        <v>594414.95612019207</v>
      </c>
      <c r="J366" s="1">
        <v>594414.95612019207</v>
      </c>
      <c r="K366" s="1">
        <v>594414.95612019207</v>
      </c>
      <c r="L366" s="1">
        <v>594414.95612019207</v>
      </c>
      <c r="M366" s="1">
        <v>362052.74600048061</v>
      </c>
      <c r="N366" s="1">
        <v>362052.74600048061</v>
      </c>
      <c r="O366" s="1">
        <v>301710.62166706717</v>
      </c>
      <c r="P366" s="1">
        <v>301710.62166706717</v>
      </c>
      <c r="Q366" s="1">
        <v>422394.87033389404</v>
      </c>
      <c r="R366" s="1">
        <v>422394.87033389404</v>
      </c>
      <c r="S366" s="1">
        <v>422394.87033389404</v>
      </c>
      <c r="T366" s="1">
        <v>422394.87033389404</v>
      </c>
      <c r="U366" s="1">
        <v>422394.87033389404</v>
      </c>
      <c r="V366" s="1">
        <v>422394.87033389404</v>
      </c>
      <c r="W366" s="4">
        <f t="shared" si="16"/>
        <v>4189724.8119259598</v>
      </c>
      <c r="X366" s="4">
        <f t="shared" si="17"/>
        <v>4189724.8119259598</v>
      </c>
      <c r="Y366" s="5">
        <f t="shared" si="18"/>
        <v>0.58150000000000002</v>
      </c>
    </row>
    <row r="367" spans="1:25" x14ac:dyDescent="0.25">
      <c r="A367" s="1" t="s">
        <v>92</v>
      </c>
      <c r="B367" s="1" t="s">
        <v>72</v>
      </c>
      <c r="C367" s="1" t="s">
        <v>73</v>
      </c>
      <c r="D367" s="1">
        <v>8441602.2226682659</v>
      </c>
      <c r="E367" s="1">
        <v>557145.74669610558</v>
      </c>
      <c r="F367" s="1">
        <v>557145.74669610558</v>
      </c>
      <c r="G367" s="1">
        <v>696432.183370132</v>
      </c>
      <c r="H367" s="1">
        <v>696432.183370132</v>
      </c>
      <c r="I367" s="1">
        <v>696432.183370132</v>
      </c>
      <c r="J367" s="1">
        <v>696432.183370132</v>
      </c>
      <c r="K367" s="1">
        <v>696432.183370132</v>
      </c>
      <c r="L367" s="1">
        <v>696432.183370132</v>
      </c>
      <c r="M367" s="1">
        <v>424190.51168908033</v>
      </c>
      <c r="N367" s="1">
        <v>424190.51168908033</v>
      </c>
      <c r="O367" s="1">
        <v>353492.09307423362</v>
      </c>
      <c r="P367" s="1">
        <v>353492.09307423362</v>
      </c>
      <c r="Q367" s="1">
        <v>494888.93030392705</v>
      </c>
      <c r="R367" s="1">
        <v>494888.93030392705</v>
      </c>
      <c r="S367" s="1">
        <v>494888.93030392705</v>
      </c>
      <c r="T367" s="1">
        <v>494888.93030392705</v>
      </c>
      <c r="U367" s="1">
        <v>494888.93030392705</v>
      </c>
      <c r="V367" s="1">
        <v>494888.93030392705</v>
      </c>
      <c r="W367" s="4">
        <f t="shared" si="16"/>
        <v>4908791.692481596</v>
      </c>
      <c r="X367" s="4">
        <f t="shared" si="17"/>
        <v>4908791.692481596</v>
      </c>
      <c r="Y367" s="5">
        <f t="shared" si="18"/>
        <v>0.58149999999999991</v>
      </c>
    </row>
    <row r="368" spans="1:25" x14ac:dyDescent="0.25">
      <c r="A368" s="1" t="s">
        <v>92</v>
      </c>
      <c r="B368" s="1" t="s">
        <v>48</v>
      </c>
      <c r="C368" s="1" t="s">
        <v>49</v>
      </c>
      <c r="D368" s="1">
        <v>6256585.4502259959</v>
      </c>
      <c r="E368" s="1">
        <v>412934.63971491577</v>
      </c>
      <c r="F368" s="1">
        <v>412934.63971491577</v>
      </c>
      <c r="G368" s="1">
        <v>516168.29964364466</v>
      </c>
      <c r="H368" s="1">
        <v>516168.29964364466</v>
      </c>
      <c r="I368" s="1">
        <v>516168.29964364466</v>
      </c>
      <c r="J368" s="1">
        <v>516168.29964364466</v>
      </c>
      <c r="K368" s="1">
        <v>516168.29964364466</v>
      </c>
      <c r="L368" s="1">
        <v>516168.29964364466</v>
      </c>
      <c r="M368" s="1">
        <v>314393.41887385619</v>
      </c>
      <c r="N368" s="1">
        <v>314393.41887385619</v>
      </c>
      <c r="O368" s="1">
        <v>261994.5157282135</v>
      </c>
      <c r="P368" s="1">
        <v>261994.5157282135</v>
      </c>
      <c r="Q368" s="1">
        <v>366792.32201949891</v>
      </c>
      <c r="R368" s="1">
        <v>366792.32201949891</v>
      </c>
      <c r="S368" s="1">
        <v>366792.32201949891</v>
      </c>
      <c r="T368" s="1">
        <v>366792.32201949891</v>
      </c>
      <c r="U368" s="1">
        <v>366792.32201949891</v>
      </c>
      <c r="V368" s="1">
        <v>366792.32201949891</v>
      </c>
      <c r="W368" s="4">
        <f t="shared" si="16"/>
        <v>3638204.4393064161</v>
      </c>
      <c r="X368" s="4">
        <f t="shared" si="17"/>
        <v>3638204.4393064161</v>
      </c>
      <c r="Y368" s="5">
        <f t="shared" si="18"/>
        <v>0.58149999999999991</v>
      </c>
    </row>
    <row r="369" spans="1:25" x14ac:dyDescent="0.25">
      <c r="A369" s="1" t="s">
        <v>92</v>
      </c>
      <c r="B369" s="1" t="s">
        <v>53</v>
      </c>
      <c r="C369" s="1" t="s">
        <v>30</v>
      </c>
      <c r="D369" s="1">
        <v>3286014.9262045384</v>
      </c>
      <c r="E369" s="1">
        <v>216876.98512949955</v>
      </c>
      <c r="F369" s="1">
        <v>216876.98512949955</v>
      </c>
      <c r="G369" s="1">
        <v>271096.23141187441</v>
      </c>
      <c r="H369" s="1">
        <v>271096.23141187441</v>
      </c>
      <c r="I369" s="1">
        <v>271096.23141187441</v>
      </c>
      <c r="J369" s="1">
        <v>271096.23141187441</v>
      </c>
      <c r="K369" s="1">
        <v>271096.23141187441</v>
      </c>
      <c r="L369" s="1">
        <v>271096.23141187441</v>
      </c>
      <c r="M369" s="1">
        <v>165122.25004177805</v>
      </c>
      <c r="N369" s="1">
        <v>165122.25004177805</v>
      </c>
      <c r="O369" s="1">
        <v>137601.87503481505</v>
      </c>
      <c r="P369" s="1">
        <v>137601.87503481505</v>
      </c>
      <c r="Q369" s="1">
        <v>192642.62504874106</v>
      </c>
      <c r="R369" s="1">
        <v>192642.62504874106</v>
      </c>
      <c r="S369" s="1">
        <v>192642.62504874106</v>
      </c>
      <c r="T369" s="1">
        <v>192642.62504874106</v>
      </c>
      <c r="U369" s="1">
        <v>192642.62504874106</v>
      </c>
      <c r="V369" s="1">
        <v>192642.62504874106</v>
      </c>
      <c r="W369" s="4">
        <f t="shared" si="16"/>
        <v>1910817.6795879391</v>
      </c>
      <c r="X369" s="4">
        <f t="shared" si="17"/>
        <v>1910817.6795879391</v>
      </c>
      <c r="Y369" s="5">
        <f t="shared" si="18"/>
        <v>0.58150000000000002</v>
      </c>
    </row>
    <row r="370" spans="1:25" x14ac:dyDescent="0.25">
      <c r="A370" s="1" t="s">
        <v>92</v>
      </c>
      <c r="B370" s="1" t="s">
        <v>74</v>
      </c>
      <c r="C370" s="1" t="s">
        <v>75</v>
      </c>
      <c r="D370" s="1">
        <v>8326840.2335215565</v>
      </c>
      <c r="E370" s="1">
        <v>549571.45541242277</v>
      </c>
      <c r="F370" s="1">
        <v>549571.45541242277</v>
      </c>
      <c r="G370" s="1">
        <v>686964.31926552847</v>
      </c>
      <c r="H370" s="1">
        <v>686964.31926552847</v>
      </c>
      <c r="I370" s="1">
        <v>686964.31926552847</v>
      </c>
      <c r="J370" s="1">
        <v>686964.31926552847</v>
      </c>
      <c r="K370" s="1">
        <v>686964.31926552847</v>
      </c>
      <c r="L370" s="1">
        <v>686964.31926552847</v>
      </c>
      <c r="M370" s="1">
        <v>418423.72173445817</v>
      </c>
      <c r="N370" s="1">
        <v>418423.72173445817</v>
      </c>
      <c r="O370" s="1">
        <v>348686.43477871513</v>
      </c>
      <c r="P370" s="1">
        <v>348686.43477871513</v>
      </c>
      <c r="Q370" s="1">
        <v>488161.00869020115</v>
      </c>
      <c r="R370" s="1">
        <v>488161.00869020115</v>
      </c>
      <c r="S370" s="1">
        <v>488161.00869020115</v>
      </c>
      <c r="T370" s="1">
        <v>488161.00869020115</v>
      </c>
      <c r="U370" s="1">
        <v>488161.00869020115</v>
      </c>
      <c r="V370" s="1">
        <v>488161.00869020115</v>
      </c>
      <c r="W370" s="4">
        <f t="shared" si="16"/>
        <v>4842057.5957927853</v>
      </c>
      <c r="X370" s="4">
        <f t="shared" si="17"/>
        <v>4842057.5957927853</v>
      </c>
      <c r="Y370" s="5">
        <f t="shared" si="18"/>
        <v>0.58150000000000002</v>
      </c>
    </row>
    <row r="371" spans="1:25" x14ac:dyDescent="0.25">
      <c r="A371" s="1" t="s">
        <v>92</v>
      </c>
      <c r="B371" s="1" t="s">
        <v>50</v>
      </c>
      <c r="C371" s="1" t="s">
        <v>25</v>
      </c>
      <c r="D371" s="1">
        <v>6569414.7227372956</v>
      </c>
      <c r="E371" s="1">
        <v>433581.37170066155</v>
      </c>
      <c r="F371" s="1">
        <v>433581.37170066155</v>
      </c>
      <c r="G371" s="1">
        <v>541976.71462582692</v>
      </c>
      <c r="H371" s="1">
        <v>541976.71462582692</v>
      </c>
      <c r="I371" s="1">
        <v>541976.71462582692</v>
      </c>
      <c r="J371" s="1">
        <v>541976.71462582692</v>
      </c>
      <c r="K371" s="1">
        <v>541976.71462582692</v>
      </c>
      <c r="L371" s="1">
        <v>541976.71462582692</v>
      </c>
      <c r="M371" s="1">
        <v>330113.08981754904</v>
      </c>
      <c r="N371" s="1">
        <v>330113.08981754904</v>
      </c>
      <c r="O371" s="1">
        <v>275094.24151462421</v>
      </c>
      <c r="P371" s="1">
        <v>275094.24151462421</v>
      </c>
      <c r="Q371" s="1">
        <v>385131.93812047387</v>
      </c>
      <c r="R371" s="1">
        <v>385131.93812047387</v>
      </c>
      <c r="S371" s="1">
        <v>385131.93812047387</v>
      </c>
      <c r="T371" s="1">
        <v>385131.93812047387</v>
      </c>
      <c r="U371" s="1">
        <v>385131.93812047387</v>
      </c>
      <c r="V371" s="1">
        <v>385131.93812047387</v>
      </c>
      <c r="W371" s="4">
        <f t="shared" si="16"/>
        <v>3820114.6612717379</v>
      </c>
      <c r="X371" s="4">
        <f t="shared" si="17"/>
        <v>3820114.6612717379</v>
      </c>
      <c r="Y371" s="5">
        <f t="shared" si="18"/>
        <v>0.58150000000000013</v>
      </c>
    </row>
    <row r="372" spans="1:25" x14ac:dyDescent="0.25">
      <c r="A372" s="1" t="s">
        <v>93</v>
      </c>
      <c r="B372" s="1" t="s">
        <v>59</v>
      </c>
      <c r="C372" s="1" t="s">
        <v>26</v>
      </c>
      <c r="D372" s="1">
        <v>53922771</v>
      </c>
      <c r="E372" s="1">
        <v>4799514.3264088389</v>
      </c>
      <c r="F372" s="1">
        <v>4799514.3264088389</v>
      </c>
      <c r="G372" s="1">
        <v>5999392.9080110481</v>
      </c>
      <c r="H372" s="1">
        <v>5999392.9080110481</v>
      </c>
      <c r="I372" s="1">
        <v>5999392.9080110481</v>
      </c>
      <c r="J372" s="1">
        <v>5999392.9080110481</v>
      </c>
      <c r="K372" s="1">
        <v>5999392.9080110481</v>
      </c>
      <c r="L372" s="1">
        <v>5999392.9080110481</v>
      </c>
      <c r="M372" s="1">
        <v>3740649.9209944755</v>
      </c>
      <c r="N372" s="1">
        <v>3740649.9209944755</v>
      </c>
      <c r="O372" s="1">
        <v>3740649.9209944755</v>
      </c>
      <c r="P372" s="1">
        <v>3740649.9209944755</v>
      </c>
      <c r="Q372" s="1">
        <v>3740649.9209944755</v>
      </c>
      <c r="R372" s="1">
        <v>3740649.9209944755</v>
      </c>
      <c r="S372" s="1">
        <v>3740649.9209944755</v>
      </c>
      <c r="T372" s="1">
        <v>3740649.9209944755</v>
      </c>
      <c r="U372" s="1">
        <v>3740649.9209944755</v>
      </c>
      <c r="V372" s="1">
        <v>3740649.9209944755</v>
      </c>
      <c r="W372" s="4">
        <f t="shared" si="16"/>
        <v>41500942.655414365</v>
      </c>
      <c r="X372" s="4">
        <f t="shared" si="17"/>
        <v>41500942.655414365</v>
      </c>
      <c r="Y372" s="5">
        <f t="shared" si="18"/>
        <v>0.76963668383092487</v>
      </c>
    </row>
    <row r="373" spans="1:25" x14ac:dyDescent="0.25">
      <c r="A373" s="1" t="s">
        <v>93</v>
      </c>
      <c r="B373" s="1" t="s">
        <v>60</v>
      </c>
      <c r="C373" s="1" t="s">
        <v>26</v>
      </c>
      <c r="D373" s="1">
        <v>18797143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9398571.5</v>
      </c>
      <c r="N373" s="1">
        <v>9398571.5</v>
      </c>
      <c r="O373" s="1">
        <v>9398571.5</v>
      </c>
      <c r="P373" s="1">
        <v>9398571.5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4">
        <f t="shared" si="16"/>
        <v>18797143</v>
      </c>
      <c r="X373" s="4">
        <f t="shared" si="17"/>
        <v>18797143</v>
      </c>
      <c r="Y373" s="5">
        <f t="shared" si="18"/>
        <v>1</v>
      </c>
    </row>
    <row r="374" spans="1:25" x14ac:dyDescent="0.25">
      <c r="A374" s="1" t="s">
        <v>93</v>
      </c>
      <c r="B374" s="1" t="s">
        <v>33</v>
      </c>
      <c r="C374" s="1" t="s">
        <v>34</v>
      </c>
      <c r="D374" s="1">
        <v>144000000</v>
      </c>
      <c r="E374" s="1">
        <v>0</v>
      </c>
      <c r="F374" s="1">
        <v>0</v>
      </c>
      <c r="G374" s="1">
        <v>28800000</v>
      </c>
      <c r="H374" s="1">
        <v>28800000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43200000</v>
      </c>
      <c r="P374" s="1">
        <v>43200000</v>
      </c>
      <c r="Q374" s="1">
        <v>0</v>
      </c>
      <c r="R374" s="1">
        <v>0</v>
      </c>
      <c r="S374" s="1">
        <v>43200000</v>
      </c>
      <c r="T374" s="1">
        <v>43200000</v>
      </c>
      <c r="U374" s="1">
        <v>28800000</v>
      </c>
      <c r="V374" s="1">
        <v>28800000</v>
      </c>
      <c r="W374" s="4">
        <f t="shared" si="16"/>
        <v>144000000</v>
      </c>
      <c r="X374" s="4">
        <f t="shared" si="17"/>
        <v>144000000</v>
      </c>
      <c r="Y374" s="5">
        <f t="shared" si="18"/>
        <v>1</v>
      </c>
    </row>
    <row r="375" spans="1:25" x14ac:dyDescent="0.25">
      <c r="A375" s="1" t="s">
        <v>93</v>
      </c>
      <c r="B375" s="1" t="s">
        <v>35</v>
      </c>
      <c r="C375" s="1" t="s">
        <v>34</v>
      </c>
      <c r="D375" s="1">
        <v>360000000</v>
      </c>
      <c r="E375" s="1">
        <v>0</v>
      </c>
      <c r="F375" s="1">
        <v>0</v>
      </c>
      <c r="G375" s="1">
        <v>99000000</v>
      </c>
      <c r="H375" s="1">
        <v>99000000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87000000</v>
      </c>
      <c r="P375" s="1">
        <v>87000000</v>
      </c>
      <c r="Q375" s="1">
        <v>0</v>
      </c>
      <c r="R375" s="1">
        <v>0</v>
      </c>
      <c r="S375" s="1">
        <v>87000000</v>
      </c>
      <c r="T375" s="1">
        <v>87000000</v>
      </c>
      <c r="U375" s="1">
        <v>87000000</v>
      </c>
      <c r="V375" s="1">
        <v>87000000</v>
      </c>
      <c r="W375" s="4">
        <f t="shared" si="16"/>
        <v>360000000</v>
      </c>
      <c r="X375" s="4">
        <f t="shared" si="17"/>
        <v>360000000</v>
      </c>
      <c r="Y375" s="5">
        <f t="shared" si="18"/>
        <v>1</v>
      </c>
    </row>
    <row r="376" spans="1:25" x14ac:dyDescent="0.25">
      <c r="A376" s="1" t="s">
        <v>93</v>
      </c>
      <c r="B376" s="1" t="s">
        <v>38</v>
      </c>
      <c r="C376" s="1" t="s">
        <v>39</v>
      </c>
      <c r="D376" s="1">
        <v>10396557.126573715</v>
      </c>
      <c r="E376" s="1">
        <v>686172.77035386534</v>
      </c>
      <c r="F376" s="1">
        <v>686172.77035386534</v>
      </c>
      <c r="G376" s="1">
        <v>857715.96294233156</v>
      </c>
      <c r="H376" s="1">
        <v>857715.96294233156</v>
      </c>
      <c r="I376" s="1">
        <v>857715.96294233156</v>
      </c>
      <c r="J376" s="1">
        <v>857715.96294233156</v>
      </c>
      <c r="K376" s="1">
        <v>857715.96294233156</v>
      </c>
      <c r="L376" s="1">
        <v>857715.96294233156</v>
      </c>
      <c r="M376" s="1">
        <v>522426.99561032903</v>
      </c>
      <c r="N376" s="1">
        <v>522426.99561032903</v>
      </c>
      <c r="O376" s="1">
        <v>435355.8296752742</v>
      </c>
      <c r="P376" s="1">
        <v>435355.8296752742</v>
      </c>
      <c r="Q376" s="1">
        <v>609498.16154538386</v>
      </c>
      <c r="R376" s="1">
        <v>609498.16154538386</v>
      </c>
      <c r="S376" s="1">
        <v>609498.16154538386</v>
      </c>
      <c r="T376" s="1">
        <v>609498.16154538386</v>
      </c>
      <c r="U376" s="1">
        <v>609498.16154538386</v>
      </c>
      <c r="V376" s="1">
        <v>609498.16154538386</v>
      </c>
      <c r="W376" s="4">
        <f t="shared" si="16"/>
        <v>6045597.9691026155</v>
      </c>
      <c r="X376" s="4">
        <f t="shared" si="17"/>
        <v>6045597.9691026155</v>
      </c>
      <c r="Y376" s="5">
        <f t="shared" si="18"/>
        <v>0.58150000000000002</v>
      </c>
    </row>
    <row r="377" spans="1:25" x14ac:dyDescent="0.25">
      <c r="A377" s="1" t="s">
        <v>93</v>
      </c>
      <c r="B377" s="1" t="s">
        <v>61</v>
      </c>
      <c r="C377" s="1" t="s">
        <v>34</v>
      </c>
      <c r="D377" s="1">
        <v>182635955</v>
      </c>
      <c r="E377" s="1">
        <v>0</v>
      </c>
      <c r="F377" s="1">
        <v>0</v>
      </c>
      <c r="G377" s="1">
        <v>14610876.39833579</v>
      </c>
      <c r="H377" s="1">
        <v>14610876.39833579</v>
      </c>
      <c r="I377" s="1">
        <v>0</v>
      </c>
      <c r="J377" s="1">
        <v>0</v>
      </c>
      <c r="K377" s="1">
        <v>0</v>
      </c>
      <c r="L377" s="1">
        <v>0</v>
      </c>
      <c r="M377" s="1">
        <v>42006269.650416054</v>
      </c>
      <c r="N377" s="1">
        <v>42006269.650416054</v>
      </c>
      <c r="O377" s="1">
        <v>0</v>
      </c>
      <c r="P377" s="1">
        <v>0</v>
      </c>
      <c r="Q377" s="1">
        <v>0</v>
      </c>
      <c r="R377" s="1">
        <v>0</v>
      </c>
      <c r="S377" s="1">
        <v>63009404.475624084</v>
      </c>
      <c r="T377" s="1">
        <v>63009404.475624084</v>
      </c>
      <c r="U377" s="1">
        <v>0</v>
      </c>
      <c r="V377" s="1">
        <v>0</v>
      </c>
      <c r="W377" s="4">
        <f t="shared" si="16"/>
        <v>119626550.52437592</v>
      </c>
      <c r="X377" s="4">
        <f t="shared" si="17"/>
        <v>119626550.52437592</v>
      </c>
      <c r="Y377" s="5">
        <f t="shared" si="18"/>
        <v>0.65499999999658287</v>
      </c>
    </row>
    <row r="378" spans="1:25" x14ac:dyDescent="0.25">
      <c r="A378" s="1" t="s">
        <v>93</v>
      </c>
      <c r="B378" s="1" t="s">
        <v>62</v>
      </c>
      <c r="C378" s="1" t="s">
        <v>63</v>
      </c>
      <c r="D378" s="1">
        <v>45642857</v>
      </c>
      <c r="E378" s="1">
        <v>19359999.999120001</v>
      </c>
      <c r="F378" s="1">
        <v>19359999.999120001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1608214.2857967855</v>
      </c>
      <c r="N378" s="1">
        <v>1608214.2857967855</v>
      </c>
      <c r="O378" s="1">
        <v>1340178.5714973214</v>
      </c>
      <c r="P378" s="1">
        <v>1340178.5714973214</v>
      </c>
      <c r="Q378" s="1">
        <v>1876250.0000962499</v>
      </c>
      <c r="R378" s="1">
        <v>1876250.0000962499</v>
      </c>
      <c r="S378" s="1">
        <v>1876250.0000962499</v>
      </c>
      <c r="T378" s="1">
        <v>1876250.0000962499</v>
      </c>
      <c r="U378" s="1">
        <v>1876250.0000962499</v>
      </c>
      <c r="V378" s="1">
        <v>1876250.0000962499</v>
      </c>
      <c r="W378" s="4">
        <f t="shared" si="16"/>
        <v>27937142.856702857</v>
      </c>
      <c r="X378" s="4">
        <f t="shared" si="17"/>
        <v>27937142.856702857</v>
      </c>
      <c r="Y378" s="5">
        <f t="shared" si="18"/>
        <v>0.61208137905790727</v>
      </c>
    </row>
    <row r="379" spans="1:25" x14ac:dyDescent="0.25">
      <c r="A379" s="1" t="s">
        <v>93</v>
      </c>
      <c r="B379" s="1" t="s">
        <v>40</v>
      </c>
      <c r="C379" s="1" t="s">
        <v>27</v>
      </c>
      <c r="D379" s="1">
        <v>193387110</v>
      </c>
      <c r="E379" s="1">
        <v>19691152.564161453</v>
      </c>
      <c r="F379" s="1">
        <v>19691152.564161453</v>
      </c>
      <c r="G379" s="1">
        <v>21482447</v>
      </c>
      <c r="H379" s="1">
        <v>21482447</v>
      </c>
      <c r="I379" s="1">
        <v>17213908</v>
      </c>
      <c r="J379" s="1">
        <v>17213908</v>
      </c>
      <c r="K379" s="1">
        <v>15029533.037316401</v>
      </c>
      <c r="L379" s="1">
        <v>15029533.037316401</v>
      </c>
      <c r="M379" s="1">
        <v>49240551.216986522</v>
      </c>
      <c r="N379" s="1">
        <v>49240551.216986522</v>
      </c>
      <c r="O379" s="1">
        <v>28222832.650089376</v>
      </c>
      <c r="P379" s="1">
        <v>28222832.650089376</v>
      </c>
      <c r="Q379" s="1">
        <v>16900202.737956569</v>
      </c>
      <c r="R379" s="1">
        <v>16900202.737956569</v>
      </c>
      <c r="S379" s="1">
        <v>5198309.9291782994</v>
      </c>
      <c r="T379" s="1">
        <v>5198309.9291782994</v>
      </c>
      <c r="U379" s="1">
        <v>4628630.9273015978</v>
      </c>
      <c r="V379" s="1">
        <v>4628630.9273015978</v>
      </c>
      <c r="W379" s="4">
        <f t="shared" si="16"/>
        <v>177607568.06299022</v>
      </c>
      <c r="X379" s="4">
        <f t="shared" si="17"/>
        <v>177607568.06299022</v>
      </c>
      <c r="Y379" s="5">
        <f t="shared" si="18"/>
        <v>0.91840437588105128</v>
      </c>
    </row>
    <row r="380" spans="1:25" x14ac:dyDescent="0.25">
      <c r="A380" s="1" t="s">
        <v>93</v>
      </c>
      <c r="B380" s="1" t="s">
        <v>41</v>
      </c>
      <c r="C380" s="1" t="s">
        <v>27</v>
      </c>
      <c r="D380" s="1">
        <v>221281418</v>
      </c>
      <c r="E380" s="1">
        <v>0</v>
      </c>
      <c r="F380" s="1">
        <v>0</v>
      </c>
      <c r="G380" s="1">
        <v>0</v>
      </c>
      <c r="H380" s="1">
        <v>0</v>
      </c>
      <c r="I380" s="1">
        <v>51281418</v>
      </c>
      <c r="J380" s="1">
        <v>51281418</v>
      </c>
      <c r="K380" s="1">
        <v>0</v>
      </c>
      <c r="L380" s="1">
        <v>0</v>
      </c>
      <c r="M380" s="1">
        <v>63750000</v>
      </c>
      <c r="N380" s="1">
        <v>63750000</v>
      </c>
      <c r="O380" s="1">
        <v>42500000</v>
      </c>
      <c r="P380" s="1">
        <v>42500000</v>
      </c>
      <c r="Q380" s="1">
        <v>63750000</v>
      </c>
      <c r="R380" s="1">
        <v>63750000</v>
      </c>
      <c r="S380" s="1">
        <v>0</v>
      </c>
      <c r="T380" s="1">
        <v>0</v>
      </c>
      <c r="U380" s="1">
        <v>0</v>
      </c>
      <c r="V380" s="1">
        <v>0</v>
      </c>
      <c r="W380" s="4">
        <f t="shared" si="16"/>
        <v>221281418</v>
      </c>
      <c r="X380" s="4">
        <f t="shared" si="17"/>
        <v>221281418</v>
      </c>
      <c r="Y380" s="5">
        <f t="shared" si="18"/>
        <v>1</v>
      </c>
    </row>
    <row r="381" spans="1:25" x14ac:dyDescent="0.25">
      <c r="A381" s="1" t="s">
        <v>93</v>
      </c>
      <c r="B381" s="1" t="s">
        <v>42</v>
      </c>
      <c r="C381" s="1" t="s">
        <v>27</v>
      </c>
      <c r="D381" s="1">
        <v>62898740</v>
      </c>
      <c r="E381" s="1">
        <v>0</v>
      </c>
      <c r="F381" s="1">
        <v>0</v>
      </c>
      <c r="G381" s="1">
        <v>32898740</v>
      </c>
      <c r="H381" s="1">
        <v>32898740</v>
      </c>
      <c r="I381" s="1">
        <v>0</v>
      </c>
      <c r="J381" s="1">
        <v>0</v>
      </c>
      <c r="K381" s="1">
        <v>0</v>
      </c>
      <c r="L381" s="1">
        <v>0</v>
      </c>
      <c r="M381" s="1">
        <v>11250000</v>
      </c>
      <c r="N381" s="1">
        <v>11250000</v>
      </c>
      <c r="O381" s="1">
        <v>7500000</v>
      </c>
      <c r="P381" s="1">
        <v>7500000</v>
      </c>
      <c r="Q381" s="1">
        <v>11250000</v>
      </c>
      <c r="R381" s="1">
        <v>11250000</v>
      </c>
      <c r="S381" s="1">
        <v>0</v>
      </c>
      <c r="T381" s="1">
        <v>0</v>
      </c>
      <c r="U381" s="1">
        <v>0</v>
      </c>
      <c r="V381" s="1">
        <v>0</v>
      </c>
      <c r="W381" s="4">
        <f t="shared" si="16"/>
        <v>62898740</v>
      </c>
      <c r="X381" s="4">
        <f t="shared" si="17"/>
        <v>62898740</v>
      </c>
      <c r="Y381" s="5">
        <f t="shared" si="18"/>
        <v>1</v>
      </c>
    </row>
    <row r="382" spans="1:25" x14ac:dyDescent="0.25">
      <c r="A382" s="1" t="s">
        <v>93</v>
      </c>
      <c r="B382" s="1" t="s">
        <v>43</v>
      </c>
      <c r="C382" s="1" t="s">
        <v>31</v>
      </c>
      <c r="D382" s="1">
        <v>4180087</v>
      </c>
      <c r="E382" s="1">
        <v>242814.5726648519</v>
      </c>
      <c r="F382" s="1">
        <v>242814.5726648519</v>
      </c>
      <c r="G382" s="1">
        <v>303518.21583106485</v>
      </c>
      <c r="H382" s="1">
        <v>303518.21583106485</v>
      </c>
      <c r="I382" s="1">
        <v>303518.21583106485</v>
      </c>
      <c r="J382" s="1">
        <v>303518.21583106485</v>
      </c>
      <c r="K382" s="1">
        <v>303518.21583106485</v>
      </c>
      <c r="L382" s="1">
        <v>303518.21583106485</v>
      </c>
      <c r="M382" s="1">
        <v>225688.42808184447</v>
      </c>
      <c r="N382" s="1">
        <v>225688.42808184447</v>
      </c>
      <c r="O382" s="1">
        <v>188073.69006820372</v>
      </c>
      <c r="P382" s="1">
        <v>188073.69006820372</v>
      </c>
      <c r="Q382" s="1">
        <v>233087.73300462257</v>
      </c>
      <c r="R382" s="1">
        <v>233087.73300462257</v>
      </c>
      <c r="S382" s="1">
        <v>263303.16609548521</v>
      </c>
      <c r="T382" s="1">
        <v>263303.16609548521</v>
      </c>
      <c r="U382" s="1">
        <v>263303.16609548521</v>
      </c>
      <c r="V382" s="1">
        <v>263303.16609548521</v>
      </c>
      <c r="W382" s="4">
        <f t="shared" si="16"/>
        <v>2326825.4035036876</v>
      </c>
      <c r="X382" s="4">
        <f t="shared" si="17"/>
        <v>2326825.4035036876</v>
      </c>
      <c r="Y382" s="5">
        <f t="shared" si="18"/>
        <v>0.55664520941877227</v>
      </c>
    </row>
    <row r="383" spans="1:25" x14ac:dyDescent="0.25">
      <c r="A383" s="1" t="s">
        <v>93</v>
      </c>
      <c r="B383" s="1" t="s">
        <v>64</v>
      </c>
      <c r="C383" s="1" t="s">
        <v>23</v>
      </c>
      <c r="D383" s="1">
        <v>18658103.644845013</v>
      </c>
      <c r="E383" s="1">
        <v>1231434.8405597711</v>
      </c>
      <c r="F383" s="1">
        <v>1231434.8405597711</v>
      </c>
      <c r="G383" s="1">
        <v>1539293.5506997136</v>
      </c>
      <c r="H383" s="1">
        <v>1539293.5506997136</v>
      </c>
      <c r="I383" s="1">
        <v>1539293.5506997136</v>
      </c>
      <c r="J383" s="1">
        <v>1539293.5506997136</v>
      </c>
      <c r="K383" s="1">
        <v>1539293.5506997136</v>
      </c>
      <c r="L383" s="1">
        <v>1539293.5506997136</v>
      </c>
      <c r="M383" s="1">
        <v>937569.7081534618</v>
      </c>
      <c r="N383" s="1">
        <v>937569.7081534618</v>
      </c>
      <c r="O383" s="1">
        <v>781308.09012788488</v>
      </c>
      <c r="P383" s="1">
        <v>781308.09012788488</v>
      </c>
      <c r="Q383" s="1">
        <v>1093831.3261790387</v>
      </c>
      <c r="R383" s="1">
        <v>1093831.3261790387</v>
      </c>
      <c r="S383" s="1">
        <v>1093831.3261790387</v>
      </c>
      <c r="T383" s="1">
        <v>1093831.3261790387</v>
      </c>
      <c r="U383" s="1">
        <v>1093831.3261790387</v>
      </c>
      <c r="V383" s="1">
        <v>1093831.3261790387</v>
      </c>
      <c r="W383" s="4">
        <f t="shared" si="16"/>
        <v>10849687.269477375</v>
      </c>
      <c r="X383" s="4">
        <f t="shared" si="17"/>
        <v>10849687.269477375</v>
      </c>
      <c r="Y383" s="5">
        <f t="shared" si="18"/>
        <v>0.58150000000000002</v>
      </c>
    </row>
    <row r="384" spans="1:25" x14ac:dyDescent="0.25">
      <c r="A384" s="1" t="s">
        <v>93</v>
      </c>
      <c r="B384" s="1" t="s">
        <v>65</v>
      </c>
      <c r="C384" s="1" t="s">
        <v>31</v>
      </c>
      <c r="D384" s="1">
        <v>8445270.789711576</v>
      </c>
      <c r="E384" s="1">
        <v>557387.87212096411</v>
      </c>
      <c r="F384" s="1">
        <v>557387.87212096411</v>
      </c>
      <c r="G384" s="1">
        <v>696734.84015120508</v>
      </c>
      <c r="H384" s="1">
        <v>696734.84015120508</v>
      </c>
      <c r="I384" s="1">
        <v>696734.84015120508</v>
      </c>
      <c r="J384" s="1">
        <v>696734.84015120508</v>
      </c>
      <c r="K384" s="1">
        <v>696734.84015120508</v>
      </c>
      <c r="L384" s="1">
        <v>696734.84015120508</v>
      </c>
      <c r="M384" s="1">
        <v>424374.85718300665</v>
      </c>
      <c r="N384" s="1">
        <v>424374.85718300665</v>
      </c>
      <c r="O384" s="1">
        <v>353645.7143191722</v>
      </c>
      <c r="P384" s="1">
        <v>353645.7143191722</v>
      </c>
      <c r="Q384" s="1">
        <v>495104.00004684104</v>
      </c>
      <c r="R384" s="1">
        <v>495104.00004684104</v>
      </c>
      <c r="S384" s="1">
        <v>495104.00004684104</v>
      </c>
      <c r="T384" s="1">
        <v>495104.00004684104</v>
      </c>
      <c r="U384" s="1">
        <v>495104.00004684104</v>
      </c>
      <c r="V384" s="1">
        <v>495104.00004684104</v>
      </c>
      <c r="W384" s="4">
        <f t="shared" si="16"/>
        <v>4910924.9642172819</v>
      </c>
      <c r="X384" s="4">
        <f t="shared" si="17"/>
        <v>4910924.9642172819</v>
      </c>
      <c r="Y384" s="5">
        <f t="shared" si="18"/>
        <v>0.58150000000000002</v>
      </c>
    </row>
    <row r="385" spans="1:25" x14ac:dyDescent="0.25">
      <c r="A385" s="1" t="s">
        <v>93</v>
      </c>
      <c r="B385" s="1" t="s">
        <v>44</v>
      </c>
      <c r="C385" s="1" t="s">
        <v>45</v>
      </c>
      <c r="D385" s="1">
        <v>10396557.126573715</v>
      </c>
      <c r="E385" s="1">
        <v>686172.77035386534</v>
      </c>
      <c r="F385" s="1">
        <v>686172.77035386534</v>
      </c>
      <c r="G385" s="1">
        <v>857715.96294233156</v>
      </c>
      <c r="H385" s="1">
        <v>857715.96294233156</v>
      </c>
      <c r="I385" s="1">
        <v>857715.96294233156</v>
      </c>
      <c r="J385" s="1">
        <v>857715.96294233156</v>
      </c>
      <c r="K385" s="1">
        <v>857715.96294233156</v>
      </c>
      <c r="L385" s="1">
        <v>857715.96294233156</v>
      </c>
      <c r="M385" s="1">
        <v>522426.99561032903</v>
      </c>
      <c r="N385" s="1">
        <v>522426.99561032903</v>
      </c>
      <c r="O385" s="1">
        <v>435355.8296752742</v>
      </c>
      <c r="P385" s="1">
        <v>435355.8296752742</v>
      </c>
      <c r="Q385" s="1">
        <v>609498.16154538386</v>
      </c>
      <c r="R385" s="1">
        <v>609498.16154538386</v>
      </c>
      <c r="S385" s="1">
        <v>609498.16154538386</v>
      </c>
      <c r="T385" s="1">
        <v>609498.16154538386</v>
      </c>
      <c r="U385" s="1">
        <v>609498.16154538386</v>
      </c>
      <c r="V385" s="1">
        <v>609498.16154538386</v>
      </c>
      <c r="W385" s="4">
        <f t="shared" si="16"/>
        <v>6045597.9691026155</v>
      </c>
      <c r="X385" s="4">
        <f t="shared" si="17"/>
        <v>6045597.9691026155</v>
      </c>
      <c r="Y385" s="5">
        <f t="shared" si="18"/>
        <v>0.58150000000000002</v>
      </c>
    </row>
    <row r="386" spans="1:25" x14ac:dyDescent="0.25">
      <c r="A386" s="1" t="s">
        <v>93</v>
      </c>
      <c r="B386" s="1" t="s">
        <v>46</v>
      </c>
      <c r="C386" s="1" t="s">
        <v>22</v>
      </c>
      <c r="D386" s="1">
        <v>152006372.65269536</v>
      </c>
      <c r="E386" s="1">
        <v>10041818.238188745</v>
      </c>
      <c r="F386" s="1">
        <v>10041818.238188745</v>
      </c>
      <c r="G386" s="1">
        <v>12552272.797735931</v>
      </c>
      <c r="H386" s="1">
        <v>12552272.797735931</v>
      </c>
      <c r="I386" s="1">
        <v>12552272.797735931</v>
      </c>
      <c r="J386" s="1">
        <v>12552272.797735931</v>
      </c>
      <c r="K386" s="1">
        <v>12552272.797735931</v>
      </c>
      <c r="L386" s="1">
        <v>12552272.797735931</v>
      </c>
      <c r="M386" s="1">
        <v>7876138.4812827865</v>
      </c>
      <c r="N386" s="1">
        <v>7876138.4812827865</v>
      </c>
      <c r="O386" s="1">
        <v>6404793.0722393775</v>
      </c>
      <c r="P386" s="1">
        <v>6404793.0722393775</v>
      </c>
      <c r="Q386" s="1">
        <v>8867038.4123647716</v>
      </c>
      <c r="R386" s="1">
        <v>8867038.4123647716</v>
      </c>
      <c r="S386" s="1">
        <v>8867038.4123647716</v>
      </c>
      <c r="T386" s="1">
        <v>8867038.4123647716</v>
      </c>
      <c r="U386" s="1">
        <v>8867038.4123647716</v>
      </c>
      <c r="V386" s="1">
        <v>8867038.4123647716</v>
      </c>
      <c r="W386" s="4">
        <f t="shared" si="16"/>
        <v>88580683.422013015</v>
      </c>
      <c r="X386" s="4">
        <f t="shared" si="17"/>
        <v>88580683.422013015</v>
      </c>
      <c r="Y386" s="5">
        <f t="shared" si="18"/>
        <v>0.58274322238056719</v>
      </c>
    </row>
    <row r="387" spans="1:25" x14ac:dyDescent="0.25">
      <c r="A387" s="1" t="s">
        <v>93</v>
      </c>
      <c r="B387" s="1" t="s">
        <v>66</v>
      </c>
      <c r="C387" s="1" t="s">
        <v>24</v>
      </c>
      <c r="D387" s="1">
        <v>461688427.48108041</v>
      </c>
      <c r="E387" s="1">
        <v>38089295.267189138</v>
      </c>
      <c r="F387" s="1">
        <v>38089295.267189138</v>
      </c>
      <c r="G387" s="1">
        <v>38089295.267189138</v>
      </c>
      <c r="H387" s="1">
        <v>38089295.267189138</v>
      </c>
      <c r="I387" s="1">
        <v>38089295.267189138</v>
      </c>
      <c r="J387" s="1">
        <v>38089295.267189138</v>
      </c>
      <c r="K387" s="1">
        <v>38089295.267189138</v>
      </c>
      <c r="L387" s="1">
        <v>38089295.267189138</v>
      </c>
      <c r="M387" s="1">
        <v>40012996.847910129</v>
      </c>
      <c r="N387" s="1">
        <v>40012996.847910129</v>
      </c>
      <c r="O387" s="1">
        <v>38474035.583333336</v>
      </c>
      <c r="P387" s="1">
        <v>38474035.583333336</v>
      </c>
      <c r="Q387" s="1">
        <v>38474035.583333336</v>
      </c>
      <c r="R387" s="1">
        <v>38474035.583333336</v>
      </c>
      <c r="S387" s="1">
        <v>38474035.583333336</v>
      </c>
      <c r="T387" s="1">
        <v>38474035.583333336</v>
      </c>
      <c r="U387" s="1">
        <v>38474035.583333336</v>
      </c>
      <c r="V387" s="1">
        <v>38474035.583333336</v>
      </c>
      <c r="W387" s="4">
        <f t="shared" ref="W387:W450" si="19">U387+S387+Q387+O387+M387+K387+I387+G387+E387</f>
        <v>346266320.25000006</v>
      </c>
      <c r="X387" s="4">
        <f t="shared" ref="X387:X450" si="20">V387+T387+R387+P387+N387+L387+J387+H387+F387</f>
        <v>346266320.25000006</v>
      </c>
      <c r="Y387" s="5">
        <f t="shared" ref="Y387:Y450" si="21">X387/D387</f>
        <v>0.74999999921849836</v>
      </c>
    </row>
    <row r="388" spans="1:25" x14ac:dyDescent="0.25">
      <c r="A388" s="1" t="s">
        <v>93</v>
      </c>
      <c r="B388" s="1" t="s">
        <v>67</v>
      </c>
      <c r="C388" s="1" t="s">
        <v>68</v>
      </c>
      <c r="D388" s="1">
        <v>5916750.6585043678</v>
      </c>
      <c r="E388" s="1">
        <v>390505.54346128833</v>
      </c>
      <c r="F388" s="1">
        <v>390505.54346128833</v>
      </c>
      <c r="G388" s="1">
        <v>488131.92932661035</v>
      </c>
      <c r="H388" s="1">
        <v>488131.92932661035</v>
      </c>
      <c r="I388" s="1">
        <v>488131.92932661035</v>
      </c>
      <c r="J388" s="1">
        <v>488131.92932661035</v>
      </c>
      <c r="K388" s="1">
        <v>488131.92932661035</v>
      </c>
      <c r="L388" s="1">
        <v>488131.92932661035</v>
      </c>
      <c r="M388" s="1">
        <v>307671.03424222715</v>
      </c>
      <c r="N388" s="1">
        <v>307671.03424222715</v>
      </c>
      <c r="O388" s="1">
        <v>246531.277437682</v>
      </c>
      <c r="P388" s="1">
        <v>246531.277437682</v>
      </c>
      <c r="Q388" s="1">
        <v>345143.78841275477</v>
      </c>
      <c r="R388" s="1">
        <v>345143.78841275477</v>
      </c>
      <c r="S388" s="1">
        <v>345143.78841275477</v>
      </c>
      <c r="T388" s="1">
        <v>345143.78841275477</v>
      </c>
      <c r="U388" s="1">
        <v>345143.78841275477</v>
      </c>
      <c r="V388" s="1">
        <v>345143.78841275477</v>
      </c>
      <c r="W388" s="4">
        <f t="shared" si="19"/>
        <v>3444535.0083592925</v>
      </c>
      <c r="X388" s="4">
        <f t="shared" si="20"/>
        <v>3444535.0083592925</v>
      </c>
      <c r="Y388" s="5">
        <f t="shared" si="21"/>
        <v>0.58216666666666661</v>
      </c>
    </row>
    <row r="389" spans="1:25" x14ac:dyDescent="0.25">
      <c r="A389" s="1" t="s">
        <v>93</v>
      </c>
      <c r="B389" s="1" t="s">
        <v>69</v>
      </c>
      <c r="C389" s="1" t="s">
        <v>28</v>
      </c>
      <c r="D389" s="1">
        <v>13522418.482223812</v>
      </c>
      <c r="E389" s="1">
        <v>892479.61982677178</v>
      </c>
      <c r="F389" s="1">
        <v>892479.61982677178</v>
      </c>
      <c r="G389" s="1">
        <v>1115599.5247834646</v>
      </c>
      <c r="H389" s="1">
        <v>1115599.5247834646</v>
      </c>
      <c r="I389" s="1">
        <v>1115599.5247834646</v>
      </c>
      <c r="J389" s="1">
        <v>1115599.5247834646</v>
      </c>
      <c r="K389" s="1">
        <v>1115599.5247834646</v>
      </c>
      <c r="L389" s="1">
        <v>1115599.5247834646</v>
      </c>
      <c r="M389" s="1">
        <v>679501.52873174648</v>
      </c>
      <c r="N389" s="1">
        <v>679501.52873174648</v>
      </c>
      <c r="O389" s="1">
        <v>566251.27394312213</v>
      </c>
      <c r="P389" s="1">
        <v>566251.27394312213</v>
      </c>
      <c r="Q389" s="1">
        <v>792751.78352037095</v>
      </c>
      <c r="R389" s="1">
        <v>792751.78352037095</v>
      </c>
      <c r="S389" s="1">
        <v>792751.78352037095</v>
      </c>
      <c r="T389" s="1">
        <v>792751.78352037095</v>
      </c>
      <c r="U389" s="1">
        <v>792751.78352037095</v>
      </c>
      <c r="V389" s="1">
        <v>792751.78352037095</v>
      </c>
      <c r="W389" s="4">
        <f t="shared" si="19"/>
        <v>7863286.3474131469</v>
      </c>
      <c r="X389" s="4">
        <f t="shared" si="20"/>
        <v>7863286.3474131469</v>
      </c>
      <c r="Y389" s="5">
        <f t="shared" si="21"/>
        <v>0.58150000000000002</v>
      </c>
    </row>
    <row r="390" spans="1:25" x14ac:dyDescent="0.25">
      <c r="A390" s="1" t="s">
        <v>93</v>
      </c>
      <c r="B390" s="1" t="s">
        <v>70</v>
      </c>
      <c r="C390" s="1" t="s">
        <v>23</v>
      </c>
      <c r="D390" s="1">
        <v>9646875.0213281233</v>
      </c>
      <c r="E390" s="1">
        <v>636693.75140765624</v>
      </c>
      <c r="F390" s="1">
        <v>636693.75140765624</v>
      </c>
      <c r="G390" s="1">
        <v>795867.18925957021</v>
      </c>
      <c r="H390" s="1">
        <v>795867.18925957021</v>
      </c>
      <c r="I390" s="1">
        <v>795867.18925957021</v>
      </c>
      <c r="J390" s="1">
        <v>795867.18925957021</v>
      </c>
      <c r="K390" s="1">
        <v>795867.18925957021</v>
      </c>
      <c r="L390" s="1">
        <v>795867.18925957021</v>
      </c>
      <c r="M390" s="1">
        <v>484755.4698217382</v>
      </c>
      <c r="N390" s="1">
        <v>484755.4698217382</v>
      </c>
      <c r="O390" s="1">
        <v>403962.89151811518</v>
      </c>
      <c r="P390" s="1">
        <v>403962.89151811518</v>
      </c>
      <c r="Q390" s="1">
        <v>565548.04812536121</v>
      </c>
      <c r="R390" s="1">
        <v>565548.04812536121</v>
      </c>
      <c r="S390" s="1">
        <v>565548.04812536121</v>
      </c>
      <c r="T390" s="1">
        <v>565548.04812536121</v>
      </c>
      <c r="U390" s="1">
        <v>565548.04812536121</v>
      </c>
      <c r="V390" s="1">
        <v>565548.04812536121</v>
      </c>
      <c r="W390" s="4">
        <f t="shared" si="19"/>
        <v>5609657.8249023035</v>
      </c>
      <c r="X390" s="4">
        <f t="shared" si="20"/>
        <v>5609657.8249023035</v>
      </c>
      <c r="Y390" s="5">
        <f t="shared" si="21"/>
        <v>0.58150000000000002</v>
      </c>
    </row>
    <row r="391" spans="1:25" x14ac:dyDescent="0.25">
      <c r="A391" s="1" t="s">
        <v>93</v>
      </c>
      <c r="B391" s="1" t="s">
        <v>71</v>
      </c>
      <c r="C391" s="1" t="s">
        <v>29</v>
      </c>
      <c r="D391" s="1">
        <v>6845890.9211538434</v>
      </c>
      <c r="E391" s="1">
        <v>451828.80079615372</v>
      </c>
      <c r="F391" s="1">
        <v>451828.80079615372</v>
      </c>
      <c r="G391" s="1">
        <v>564786.00099519209</v>
      </c>
      <c r="H391" s="1">
        <v>564786.00099519209</v>
      </c>
      <c r="I391" s="1">
        <v>564786.00099519209</v>
      </c>
      <c r="J391" s="1">
        <v>564786.00099519209</v>
      </c>
      <c r="K391" s="1">
        <v>564786.00099519209</v>
      </c>
      <c r="L391" s="1">
        <v>564786.00099519209</v>
      </c>
      <c r="M391" s="1">
        <v>344006.0187879806</v>
      </c>
      <c r="N391" s="1">
        <v>344006.0187879806</v>
      </c>
      <c r="O391" s="1">
        <v>286671.68232331716</v>
      </c>
      <c r="P391" s="1">
        <v>286671.68232331716</v>
      </c>
      <c r="Q391" s="1">
        <v>401340.35525264399</v>
      </c>
      <c r="R391" s="1">
        <v>401340.35525264399</v>
      </c>
      <c r="S391" s="1">
        <v>401340.35525264399</v>
      </c>
      <c r="T391" s="1">
        <v>401340.35525264399</v>
      </c>
      <c r="U391" s="1">
        <v>401340.35525264399</v>
      </c>
      <c r="V391" s="1">
        <v>401340.35525264399</v>
      </c>
      <c r="W391" s="4">
        <f t="shared" si="19"/>
        <v>3980885.5706509603</v>
      </c>
      <c r="X391" s="4">
        <f t="shared" si="20"/>
        <v>3980885.5706509603</v>
      </c>
      <c r="Y391" s="5">
        <f t="shared" si="21"/>
        <v>0.58150000000000002</v>
      </c>
    </row>
    <row r="392" spans="1:25" x14ac:dyDescent="0.25">
      <c r="A392" s="1" t="s">
        <v>93</v>
      </c>
      <c r="B392" s="1" t="s">
        <v>72</v>
      </c>
      <c r="C392" s="1" t="s">
        <v>73</v>
      </c>
      <c r="D392" s="1">
        <v>12689634.087924575</v>
      </c>
      <c r="E392" s="1">
        <v>837515.84980302211</v>
      </c>
      <c r="F392" s="1">
        <v>837515.84980302211</v>
      </c>
      <c r="G392" s="1">
        <v>1046894.8122537775</v>
      </c>
      <c r="H392" s="1">
        <v>1046894.8122537775</v>
      </c>
      <c r="I392" s="1">
        <v>1046894.8122537775</v>
      </c>
      <c r="J392" s="1">
        <v>1046894.8122537775</v>
      </c>
      <c r="K392" s="1">
        <v>1046894.8122537775</v>
      </c>
      <c r="L392" s="1">
        <v>1046894.8122537775</v>
      </c>
      <c r="M392" s="1">
        <v>637654.11291820987</v>
      </c>
      <c r="N392" s="1">
        <v>637654.11291820987</v>
      </c>
      <c r="O392" s="1">
        <v>531378.42743184161</v>
      </c>
      <c r="P392" s="1">
        <v>531378.42743184161</v>
      </c>
      <c r="Q392" s="1">
        <v>743929.79840457824</v>
      </c>
      <c r="R392" s="1">
        <v>743929.79840457824</v>
      </c>
      <c r="S392" s="1">
        <v>743929.79840457824</v>
      </c>
      <c r="T392" s="1">
        <v>743929.79840457824</v>
      </c>
      <c r="U392" s="1">
        <v>743929.79840457824</v>
      </c>
      <c r="V392" s="1">
        <v>743929.79840457824</v>
      </c>
      <c r="W392" s="4">
        <f t="shared" si="19"/>
        <v>7379022.2221281417</v>
      </c>
      <c r="X392" s="4">
        <f t="shared" si="20"/>
        <v>7379022.2221281417</v>
      </c>
      <c r="Y392" s="5">
        <f t="shared" si="21"/>
        <v>0.58150000000000013</v>
      </c>
    </row>
    <row r="393" spans="1:25" x14ac:dyDescent="0.25">
      <c r="A393" s="1" t="s">
        <v>93</v>
      </c>
      <c r="B393" s="1" t="s">
        <v>48</v>
      </c>
      <c r="C393" s="1" t="s">
        <v>49</v>
      </c>
      <c r="D393" s="1">
        <v>7238492.2910656044</v>
      </c>
      <c r="E393" s="1">
        <v>477740.49121032993</v>
      </c>
      <c r="F393" s="1">
        <v>477740.49121032993</v>
      </c>
      <c r="G393" s="1">
        <v>597175.61401291238</v>
      </c>
      <c r="H393" s="1">
        <v>597175.61401291238</v>
      </c>
      <c r="I393" s="1">
        <v>597175.61401291238</v>
      </c>
      <c r="J393" s="1">
        <v>597175.61401291238</v>
      </c>
      <c r="K393" s="1">
        <v>597175.61401291238</v>
      </c>
      <c r="L393" s="1">
        <v>597175.61401291238</v>
      </c>
      <c r="M393" s="1">
        <v>363734.2376260467</v>
      </c>
      <c r="N393" s="1">
        <v>363734.2376260467</v>
      </c>
      <c r="O393" s="1">
        <v>303111.86468837224</v>
      </c>
      <c r="P393" s="1">
        <v>303111.86468837224</v>
      </c>
      <c r="Q393" s="1">
        <v>424356.6105637211</v>
      </c>
      <c r="R393" s="1">
        <v>424356.6105637211</v>
      </c>
      <c r="S393" s="1">
        <v>424356.6105637211</v>
      </c>
      <c r="T393" s="1">
        <v>424356.6105637211</v>
      </c>
      <c r="U393" s="1">
        <v>424356.6105637211</v>
      </c>
      <c r="V393" s="1">
        <v>424356.6105637211</v>
      </c>
      <c r="W393" s="4">
        <f t="shared" si="19"/>
        <v>4209183.2672546497</v>
      </c>
      <c r="X393" s="4">
        <f t="shared" si="20"/>
        <v>4209183.2672546497</v>
      </c>
      <c r="Y393" s="5">
        <f t="shared" si="21"/>
        <v>0.58150000000000013</v>
      </c>
    </row>
    <row r="394" spans="1:25" x14ac:dyDescent="0.25">
      <c r="A394" s="1" t="s">
        <v>93</v>
      </c>
      <c r="B394" s="1" t="s">
        <v>53</v>
      </c>
      <c r="C394" s="1" t="s">
        <v>30</v>
      </c>
      <c r="D394" s="1">
        <v>9688786.1158917695</v>
      </c>
      <c r="E394" s="1">
        <v>639459.88364885689</v>
      </c>
      <c r="F394" s="1">
        <v>639459.88364885689</v>
      </c>
      <c r="G394" s="1">
        <v>799324.85456107103</v>
      </c>
      <c r="H394" s="1">
        <v>799324.85456107103</v>
      </c>
      <c r="I394" s="1">
        <v>799324.85456107103</v>
      </c>
      <c r="J394" s="1">
        <v>799324.85456107103</v>
      </c>
      <c r="K394" s="1">
        <v>799324.85456107103</v>
      </c>
      <c r="L394" s="1">
        <v>799324.85456107103</v>
      </c>
      <c r="M394" s="1">
        <v>486861.50232356141</v>
      </c>
      <c r="N394" s="1">
        <v>486861.50232356141</v>
      </c>
      <c r="O394" s="1">
        <v>405717.91860296787</v>
      </c>
      <c r="P394" s="1">
        <v>405717.91860296787</v>
      </c>
      <c r="Q394" s="1">
        <v>568005.08604415494</v>
      </c>
      <c r="R394" s="1">
        <v>568005.08604415494</v>
      </c>
      <c r="S394" s="1">
        <v>568005.08604415494</v>
      </c>
      <c r="T394" s="1">
        <v>568005.08604415494</v>
      </c>
      <c r="U394" s="1">
        <v>568005.08604415494</v>
      </c>
      <c r="V394" s="1">
        <v>568005.08604415494</v>
      </c>
      <c r="W394" s="4">
        <f t="shared" si="19"/>
        <v>5634029.1263910634</v>
      </c>
      <c r="X394" s="4">
        <f t="shared" si="20"/>
        <v>5634029.1263910634</v>
      </c>
      <c r="Y394" s="5">
        <f t="shared" si="21"/>
        <v>0.58149999999999991</v>
      </c>
    </row>
    <row r="395" spans="1:25" x14ac:dyDescent="0.25">
      <c r="A395" s="1" t="s">
        <v>93</v>
      </c>
      <c r="B395" s="1" t="s">
        <v>74</v>
      </c>
      <c r="C395" s="1" t="s">
        <v>75</v>
      </c>
      <c r="D395" s="1">
        <v>7926492.4951663185</v>
      </c>
      <c r="E395" s="1">
        <v>523148.50468097703</v>
      </c>
      <c r="F395" s="1">
        <v>523148.50468097703</v>
      </c>
      <c r="G395" s="1">
        <v>653935.63085122127</v>
      </c>
      <c r="H395" s="1">
        <v>653935.63085122127</v>
      </c>
      <c r="I395" s="1">
        <v>653935.63085122127</v>
      </c>
      <c r="J395" s="1">
        <v>653935.63085122127</v>
      </c>
      <c r="K395" s="1">
        <v>653935.63085122127</v>
      </c>
      <c r="L395" s="1">
        <v>653935.63085122127</v>
      </c>
      <c r="M395" s="1">
        <v>398306.24788210751</v>
      </c>
      <c r="N395" s="1">
        <v>398306.24788210751</v>
      </c>
      <c r="O395" s="1">
        <v>331921.87323508959</v>
      </c>
      <c r="P395" s="1">
        <v>331921.87323508959</v>
      </c>
      <c r="Q395" s="1">
        <v>464690.62252912536</v>
      </c>
      <c r="R395" s="1">
        <v>464690.62252912536</v>
      </c>
      <c r="S395" s="1">
        <v>464690.62252912536</v>
      </c>
      <c r="T395" s="1">
        <v>464690.62252912536</v>
      </c>
      <c r="U395" s="1">
        <v>464690.62252912536</v>
      </c>
      <c r="V395" s="1">
        <v>464690.62252912536</v>
      </c>
      <c r="W395" s="4">
        <f t="shared" si="19"/>
        <v>4609255.3859392144</v>
      </c>
      <c r="X395" s="4">
        <f t="shared" si="20"/>
        <v>4609255.3859392144</v>
      </c>
      <c r="Y395" s="5">
        <f t="shared" si="21"/>
        <v>0.58150000000000002</v>
      </c>
    </row>
    <row r="396" spans="1:25" x14ac:dyDescent="0.25">
      <c r="A396" s="1" t="s">
        <v>93</v>
      </c>
      <c r="B396" s="1" t="s">
        <v>50</v>
      </c>
      <c r="C396" s="1" t="s">
        <v>25</v>
      </c>
      <c r="D396" s="1">
        <v>7600416.9056188837</v>
      </c>
      <c r="E396" s="1">
        <v>501627.51577084634</v>
      </c>
      <c r="F396" s="1">
        <v>501627.51577084634</v>
      </c>
      <c r="G396" s="1">
        <v>627034.39471355791</v>
      </c>
      <c r="H396" s="1">
        <v>627034.39471355791</v>
      </c>
      <c r="I396" s="1">
        <v>627034.39471355791</v>
      </c>
      <c r="J396" s="1">
        <v>627034.39471355791</v>
      </c>
      <c r="K396" s="1">
        <v>627034.39471355791</v>
      </c>
      <c r="L396" s="1">
        <v>627034.39471355791</v>
      </c>
      <c r="M396" s="1">
        <v>381920.94950734894</v>
      </c>
      <c r="N396" s="1">
        <v>381920.94950734894</v>
      </c>
      <c r="O396" s="1">
        <v>318267.45792279078</v>
      </c>
      <c r="P396" s="1">
        <v>318267.45792279078</v>
      </c>
      <c r="Q396" s="1">
        <v>445574.44109190709</v>
      </c>
      <c r="R396" s="1">
        <v>445574.44109190709</v>
      </c>
      <c r="S396" s="1">
        <v>445574.44109190709</v>
      </c>
      <c r="T396" s="1">
        <v>445574.44109190709</v>
      </c>
      <c r="U396" s="1">
        <v>445574.44109190709</v>
      </c>
      <c r="V396" s="1">
        <v>445574.44109190709</v>
      </c>
      <c r="W396" s="4">
        <f t="shared" si="19"/>
        <v>4419642.4306173809</v>
      </c>
      <c r="X396" s="4">
        <f t="shared" si="20"/>
        <v>4419642.4306173809</v>
      </c>
      <c r="Y396" s="5">
        <f t="shared" si="21"/>
        <v>0.58150000000000002</v>
      </c>
    </row>
    <row r="397" spans="1:25" x14ac:dyDescent="0.25">
      <c r="A397" s="1" t="s">
        <v>94</v>
      </c>
      <c r="B397" s="1" t="s">
        <v>59</v>
      </c>
      <c r="C397" s="1" t="s">
        <v>26</v>
      </c>
      <c r="D397" s="1">
        <v>38958953.120000005</v>
      </c>
      <c r="E397" s="1">
        <v>4271680.5728799049</v>
      </c>
      <c r="F397" s="1">
        <v>4271680.5728799049</v>
      </c>
      <c r="G397" s="1">
        <v>5339600.7160998806</v>
      </c>
      <c r="H397" s="1">
        <v>5339600.7160998806</v>
      </c>
      <c r="I397" s="1">
        <v>5339600.7160998806</v>
      </c>
      <c r="J397" s="1">
        <v>5339600.7160998806</v>
      </c>
      <c r="K397" s="1">
        <v>5339600.7160998806</v>
      </c>
      <c r="L397" s="1">
        <v>5339600.7160998806</v>
      </c>
      <c r="M397" s="1">
        <v>2200068.7819500603</v>
      </c>
      <c r="N397" s="1">
        <v>2200068.7819500603</v>
      </c>
      <c r="O397" s="1">
        <v>2200068.7819500603</v>
      </c>
      <c r="P397" s="1">
        <v>2200068.7819500603</v>
      </c>
      <c r="Q397" s="1">
        <v>2200068.7819500603</v>
      </c>
      <c r="R397" s="1">
        <v>2200068.7819500603</v>
      </c>
      <c r="S397" s="1">
        <v>2200068.7819500603</v>
      </c>
      <c r="T397" s="1">
        <v>2200068.7819500603</v>
      </c>
      <c r="U397" s="1">
        <v>2200068.7819500603</v>
      </c>
      <c r="V397" s="1">
        <v>2200068.7819500603</v>
      </c>
      <c r="W397" s="4">
        <f t="shared" si="19"/>
        <v>31290826.63092985</v>
      </c>
      <c r="X397" s="4">
        <f t="shared" si="20"/>
        <v>31290826.63092985</v>
      </c>
      <c r="Y397" s="5">
        <f t="shared" si="21"/>
        <v>0.80317421606655959</v>
      </c>
    </row>
    <row r="398" spans="1:25" x14ac:dyDescent="0.25">
      <c r="A398" s="1" t="s">
        <v>94</v>
      </c>
      <c r="B398" s="1" t="s">
        <v>60</v>
      </c>
      <c r="C398" s="1" t="s">
        <v>26</v>
      </c>
      <c r="D398" s="1">
        <v>25763479.879999999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12881739.939999999</v>
      </c>
      <c r="N398" s="1">
        <v>12881739.939999999</v>
      </c>
      <c r="O398" s="1">
        <v>12881739.939999999</v>
      </c>
      <c r="P398" s="1">
        <v>12881739.939999999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4">
        <f t="shared" si="19"/>
        <v>25763479.879999999</v>
      </c>
      <c r="X398" s="4">
        <f t="shared" si="20"/>
        <v>25763479.879999999</v>
      </c>
      <c r="Y398" s="5">
        <f t="shared" si="21"/>
        <v>1</v>
      </c>
    </row>
    <row r="399" spans="1:25" x14ac:dyDescent="0.25">
      <c r="A399" s="1" t="s">
        <v>94</v>
      </c>
      <c r="B399" s="1" t="s">
        <v>33</v>
      </c>
      <c r="C399" s="1" t="s">
        <v>34</v>
      </c>
      <c r="D399" s="1">
        <v>72000000</v>
      </c>
      <c r="E399" s="1">
        <v>0</v>
      </c>
      <c r="F399" s="1">
        <v>0</v>
      </c>
      <c r="G399" s="1">
        <v>14400000</v>
      </c>
      <c r="H399" s="1">
        <v>14400000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21600000</v>
      </c>
      <c r="P399" s="1">
        <v>21600000</v>
      </c>
      <c r="Q399" s="1">
        <v>0</v>
      </c>
      <c r="R399" s="1">
        <v>0</v>
      </c>
      <c r="S399" s="1">
        <v>21600000</v>
      </c>
      <c r="T399" s="1">
        <v>21600000</v>
      </c>
      <c r="U399" s="1">
        <v>14400000</v>
      </c>
      <c r="V399" s="1">
        <v>14400000</v>
      </c>
      <c r="W399" s="4">
        <f t="shared" si="19"/>
        <v>72000000</v>
      </c>
      <c r="X399" s="4">
        <f t="shared" si="20"/>
        <v>72000000</v>
      </c>
      <c r="Y399" s="5">
        <f t="shared" si="21"/>
        <v>1</v>
      </c>
    </row>
    <row r="400" spans="1:25" x14ac:dyDescent="0.25">
      <c r="A400" s="1" t="s">
        <v>94</v>
      </c>
      <c r="B400" s="1" t="s">
        <v>35</v>
      </c>
      <c r="C400" s="1" t="s">
        <v>34</v>
      </c>
      <c r="D400" s="1">
        <v>180000000</v>
      </c>
      <c r="E400" s="1">
        <v>0</v>
      </c>
      <c r="F400" s="1">
        <v>0</v>
      </c>
      <c r="G400" s="1">
        <v>49500000</v>
      </c>
      <c r="H400" s="1">
        <v>49500000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43500000</v>
      </c>
      <c r="P400" s="1">
        <v>43500000</v>
      </c>
      <c r="Q400" s="1">
        <v>0</v>
      </c>
      <c r="R400" s="1">
        <v>0</v>
      </c>
      <c r="S400" s="1">
        <v>43500000</v>
      </c>
      <c r="T400" s="1">
        <v>43500000</v>
      </c>
      <c r="U400" s="1">
        <v>43500000</v>
      </c>
      <c r="V400" s="1">
        <v>43500000</v>
      </c>
      <c r="W400" s="4">
        <f t="shared" si="19"/>
        <v>180000000</v>
      </c>
      <c r="X400" s="4">
        <f t="shared" si="20"/>
        <v>180000000</v>
      </c>
      <c r="Y400" s="5">
        <f t="shared" si="21"/>
        <v>1</v>
      </c>
    </row>
    <row r="401" spans="1:25" x14ac:dyDescent="0.25">
      <c r="A401" s="1" t="s">
        <v>94</v>
      </c>
      <c r="B401" s="1" t="s">
        <v>38</v>
      </c>
      <c r="C401" s="1" t="s">
        <v>39</v>
      </c>
      <c r="D401" s="1">
        <v>8323668.0433047041</v>
      </c>
      <c r="E401" s="1">
        <v>549362.09085811058</v>
      </c>
      <c r="F401" s="1">
        <v>549362.09085811058</v>
      </c>
      <c r="G401" s="1">
        <v>686702.61357263813</v>
      </c>
      <c r="H401" s="1">
        <v>686702.61357263813</v>
      </c>
      <c r="I401" s="1">
        <v>686702.61357263813</v>
      </c>
      <c r="J401" s="1">
        <v>686702.61357263813</v>
      </c>
      <c r="K401" s="1">
        <v>686702.61357263813</v>
      </c>
      <c r="L401" s="1">
        <v>686702.61357263813</v>
      </c>
      <c r="M401" s="1">
        <v>418264.31917606125</v>
      </c>
      <c r="N401" s="1">
        <v>418264.31917606125</v>
      </c>
      <c r="O401" s="1">
        <v>348553.59931338439</v>
      </c>
      <c r="P401" s="1">
        <v>348553.59931338439</v>
      </c>
      <c r="Q401" s="1">
        <v>487975.03903873812</v>
      </c>
      <c r="R401" s="1">
        <v>487975.03903873812</v>
      </c>
      <c r="S401" s="1">
        <v>487975.03903873812</v>
      </c>
      <c r="T401" s="1">
        <v>487975.03903873812</v>
      </c>
      <c r="U401" s="1">
        <v>487975.03903873812</v>
      </c>
      <c r="V401" s="1">
        <v>487975.03903873812</v>
      </c>
      <c r="W401" s="4">
        <f t="shared" si="19"/>
        <v>4840212.9671816844</v>
      </c>
      <c r="X401" s="4">
        <f t="shared" si="20"/>
        <v>4840212.9671816844</v>
      </c>
      <c r="Y401" s="5">
        <f t="shared" si="21"/>
        <v>0.58149999999999991</v>
      </c>
    </row>
    <row r="402" spans="1:25" x14ac:dyDescent="0.25">
      <c r="A402" s="1" t="s">
        <v>94</v>
      </c>
      <c r="B402" s="1" t="s">
        <v>61</v>
      </c>
      <c r="C402" s="1" t="s">
        <v>34</v>
      </c>
      <c r="D402" s="1">
        <v>122695098</v>
      </c>
      <c r="E402" s="1">
        <v>0</v>
      </c>
      <c r="F402" s="1">
        <v>0</v>
      </c>
      <c r="G402" s="1">
        <v>9815607.8388819825</v>
      </c>
      <c r="H402" s="1">
        <v>9815607.8388819825</v>
      </c>
      <c r="I402" s="1">
        <v>0</v>
      </c>
      <c r="J402" s="1">
        <v>0</v>
      </c>
      <c r="K402" s="1">
        <v>0</v>
      </c>
      <c r="L402" s="1">
        <v>0</v>
      </c>
      <c r="M402" s="1">
        <v>28219872.540279504</v>
      </c>
      <c r="N402" s="1">
        <v>28219872.540279504</v>
      </c>
      <c r="O402" s="1">
        <v>0</v>
      </c>
      <c r="P402" s="1">
        <v>0</v>
      </c>
      <c r="Q402" s="1">
        <v>0</v>
      </c>
      <c r="R402" s="1">
        <v>0</v>
      </c>
      <c r="S402" s="1">
        <v>42329808.810419254</v>
      </c>
      <c r="T402" s="1">
        <v>42329808.810419254</v>
      </c>
      <c r="U402" s="1">
        <v>0</v>
      </c>
      <c r="V402" s="1">
        <v>0</v>
      </c>
      <c r="W402" s="4">
        <f t="shared" si="19"/>
        <v>80365289.189580739</v>
      </c>
      <c r="X402" s="4">
        <f t="shared" si="20"/>
        <v>80365289.189580739</v>
      </c>
      <c r="Y402" s="5">
        <f t="shared" si="21"/>
        <v>0.65499999999658287</v>
      </c>
    </row>
    <row r="403" spans="1:25" x14ac:dyDescent="0.25">
      <c r="A403" s="1" t="s">
        <v>94</v>
      </c>
      <c r="B403" s="1" t="s">
        <v>62</v>
      </c>
      <c r="C403" s="1" t="s">
        <v>63</v>
      </c>
      <c r="D403" s="1">
        <v>26642857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1998214.2857142854</v>
      </c>
      <c r="N403" s="1">
        <v>1998214.2857142854</v>
      </c>
      <c r="O403" s="1">
        <v>1665178.5714285714</v>
      </c>
      <c r="P403" s="1">
        <v>1665178.5714285714</v>
      </c>
      <c r="Q403" s="1">
        <v>2331249.9999999995</v>
      </c>
      <c r="R403" s="1">
        <v>2331249.9999999995</v>
      </c>
      <c r="S403" s="1">
        <v>2331249.9999999995</v>
      </c>
      <c r="T403" s="1">
        <v>2331249.9999999995</v>
      </c>
      <c r="U403" s="1">
        <v>2331249.9999999995</v>
      </c>
      <c r="V403" s="1">
        <v>2331249.9999999995</v>
      </c>
      <c r="W403" s="4">
        <f t="shared" si="19"/>
        <v>10657142.857142854</v>
      </c>
      <c r="X403" s="4">
        <f t="shared" si="20"/>
        <v>10657142.857142854</v>
      </c>
      <c r="Y403" s="5">
        <f t="shared" si="21"/>
        <v>0.40000000214477205</v>
      </c>
    </row>
    <row r="404" spans="1:25" x14ac:dyDescent="0.25">
      <c r="A404" s="1" t="s">
        <v>94</v>
      </c>
      <c r="B404" s="1" t="s">
        <v>40</v>
      </c>
      <c r="C404" s="1" t="s">
        <v>27</v>
      </c>
      <c r="D404" s="1">
        <v>154340809</v>
      </c>
      <c r="E404" s="1">
        <v>12096481.007991999</v>
      </c>
      <c r="F404" s="1">
        <v>12096481.007991999</v>
      </c>
      <c r="G404" s="1">
        <v>15839068</v>
      </c>
      <c r="H404" s="1">
        <v>15839068</v>
      </c>
      <c r="I404" s="1">
        <v>12031994.012262633</v>
      </c>
      <c r="J404" s="1">
        <v>12031994.012262633</v>
      </c>
      <c r="K404" s="1">
        <v>15285085</v>
      </c>
      <c r="L404" s="1">
        <v>15285085</v>
      </c>
      <c r="M404" s="1">
        <v>31499999.999999993</v>
      </c>
      <c r="N404" s="1">
        <v>31499999.999999993</v>
      </c>
      <c r="O404" s="1">
        <v>28475827.005078152</v>
      </c>
      <c r="P404" s="1">
        <v>28475827.005078152</v>
      </c>
      <c r="Q404" s="1">
        <v>12823290.011619443</v>
      </c>
      <c r="R404" s="1">
        <v>12823290.011619443</v>
      </c>
      <c r="S404" s="1">
        <v>8620503.0007636566</v>
      </c>
      <c r="T404" s="1">
        <v>8620503.0007636566</v>
      </c>
      <c r="U404" s="1">
        <v>4983256.9512485303</v>
      </c>
      <c r="V404" s="1">
        <v>4983256.9512485303</v>
      </c>
      <c r="W404" s="4">
        <f t="shared" si="19"/>
        <v>141655504.98896438</v>
      </c>
      <c r="X404" s="4">
        <f t="shared" si="20"/>
        <v>141655504.98896438</v>
      </c>
      <c r="Y404" s="5">
        <f t="shared" si="21"/>
        <v>0.91780978671016544</v>
      </c>
    </row>
    <row r="405" spans="1:25" x14ac:dyDescent="0.25">
      <c r="A405" s="1" t="s">
        <v>94</v>
      </c>
      <c r="B405" s="1" t="s">
        <v>41</v>
      </c>
      <c r="C405" s="1" t="s">
        <v>27</v>
      </c>
      <c r="D405" s="1">
        <v>151613253</v>
      </c>
      <c r="E405" s="1">
        <v>0</v>
      </c>
      <c r="F405" s="1">
        <v>0</v>
      </c>
      <c r="G405" s="1">
        <v>0</v>
      </c>
      <c r="H405" s="1">
        <v>0</v>
      </c>
      <c r="I405" s="1">
        <v>38026067.496329501</v>
      </c>
      <c r="J405" s="1">
        <v>38026067.496329501</v>
      </c>
      <c r="K405" s="1">
        <v>0</v>
      </c>
      <c r="L405" s="1">
        <v>0</v>
      </c>
      <c r="M405" s="1">
        <v>42595194.563876435</v>
      </c>
      <c r="N405" s="1">
        <v>42595194.563876435</v>
      </c>
      <c r="O405" s="1">
        <v>28396796.375917625</v>
      </c>
      <c r="P405" s="1">
        <v>28396796.375917625</v>
      </c>
      <c r="Q405" s="1">
        <v>42595194.563876435</v>
      </c>
      <c r="R405" s="1">
        <v>42595194.563876435</v>
      </c>
      <c r="S405" s="1">
        <v>0</v>
      </c>
      <c r="T405" s="1">
        <v>0</v>
      </c>
      <c r="U405" s="1">
        <v>0</v>
      </c>
      <c r="V405" s="1">
        <v>0</v>
      </c>
      <c r="W405" s="4">
        <f t="shared" si="19"/>
        <v>151613253</v>
      </c>
      <c r="X405" s="4">
        <f t="shared" si="20"/>
        <v>151613253</v>
      </c>
      <c r="Y405" s="5">
        <f t="shared" si="21"/>
        <v>1</v>
      </c>
    </row>
    <row r="406" spans="1:25" x14ac:dyDescent="0.25">
      <c r="A406" s="1" t="s">
        <v>94</v>
      </c>
      <c r="B406" s="1" t="s">
        <v>42</v>
      </c>
      <c r="C406" s="1" t="s">
        <v>27</v>
      </c>
      <c r="D406" s="1">
        <v>39830067</v>
      </c>
      <c r="E406" s="1">
        <v>20830067</v>
      </c>
      <c r="F406" s="1">
        <v>20830067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7125000</v>
      </c>
      <c r="N406" s="1">
        <v>7125000</v>
      </c>
      <c r="O406" s="1">
        <v>4750000</v>
      </c>
      <c r="P406" s="1">
        <v>4750000</v>
      </c>
      <c r="Q406" s="1">
        <v>7125000</v>
      </c>
      <c r="R406" s="1">
        <v>7125000</v>
      </c>
      <c r="S406" s="1">
        <v>0</v>
      </c>
      <c r="T406" s="1">
        <v>0</v>
      </c>
      <c r="U406" s="1">
        <v>0</v>
      </c>
      <c r="V406" s="1">
        <v>0</v>
      </c>
      <c r="W406" s="4">
        <f t="shared" si="19"/>
        <v>39830067</v>
      </c>
      <c r="X406" s="4">
        <f t="shared" si="20"/>
        <v>39830067</v>
      </c>
      <c r="Y406" s="5">
        <f t="shared" si="21"/>
        <v>1</v>
      </c>
    </row>
    <row r="407" spans="1:25" x14ac:dyDescent="0.25">
      <c r="A407" s="1" t="s">
        <v>94</v>
      </c>
      <c r="B407" s="1" t="s">
        <v>43</v>
      </c>
      <c r="C407" s="1" t="s">
        <v>31</v>
      </c>
      <c r="D407" s="1">
        <v>5972123</v>
      </c>
      <c r="E407" s="1">
        <v>346911.08941924229</v>
      </c>
      <c r="F407" s="1">
        <v>346911.08941924229</v>
      </c>
      <c r="G407" s="1">
        <v>433638.86177405284</v>
      </c>
      <c r="H407" s="1">
        <v>433638.86177405284</v>
      </c>
      <c r="I407" s="1">
        <v>433638.86177405284</v>
      </c>
      <c r="J407" s="1">
        <v>433638.86177405284</v>
      </c>
      <c r="K407" s="1">
        <v>433638.86177405284</v>
      </c>
      <c r="L407" s="1">
        <v>433638.86177405284</v>
      </c>
      <c r="M407" s="1">
        <v>322442.83197637845</v>
      </c>
      <c r="N407" s="1">
        <v>322442.83197637845</v>
      </c>
      <c r="O407" s="1">
        <v>268702.35998031538</v>
      </c>
      <c r="P407" s="1">
        <v>268702.35998031538</v>
      </c>
      <c r="Q407" s="1">
        <v>333014.1592255623</v>
      </c>
      <c r="R407" s="1">
        <v>333014.1592255623</v>
      </c>
      <c r="S407" s="1">
        <v>376183.30397244153</v>
      </c>
      <c r="T407" s="1">
        <v>376183.30397244153</v>
      </c>
      <c r="U407" s="1">
        <v>376183.30397244153</v>
      </c>
      <c r="V407" s="1">
        <v>376183.30397244153</v>
      </c>
      <c r="W407" s="4">
        <f t="shared" si="19"/>
        <v>3324353.6338685406</v>
      </c>
      <c r="X407" s="4">
        <f t="shared" si="20"/>
        <v>3324353.6338685406</v>
      </c>
      <c r="Y407" s="5">
        <f t="shared" si="21"/>
        <v>0.55664520537647011</v>
      </c>
    </row>
    <row r="408" spans="1:25" x14ac:dyDescent="0.25">
      <c r="A408" s="1" t="s">
        <v>94</v>
      </c>
      <c r="B408" s="1" t="s">
        <v>64</v>
      </c>
      <c r="C408" s="1" t="s">
        <v>23</v>
      </c>
      <c r="D408" s="1">
        <v>5626914.0819133446</v>
      </c>
      <c r="E408" s="1">
        <v>371376.32940628077</v>
      </c>
      <c r="F408" s="1">
        <v>371376.32940628077</v>
      </c>
      <c r="G408" s="1">
        <v>464220.41175785096</v>
      </c>
      <c r="H408" s="1">
        <v>464220.41175785096</v>
      </c>
      <c r="I408" s="1">
        <v>464220.41175785096</v>
      </c>
      <c r="J408" s="1">
        <v>464220.41175785096</v>
      </c>
      <c r="K408" s="1">
        <v>464220.41175785096</v>
      </c>
      <c r="L408" s="1">
        <v>464220.41175785096</v>
      </c>
      <c r="M408" s="1">
        <v>282752.43261614552</v>
      </c>
      <c r="N408" s="1">
        <v>282752.43261614552</v>
      </c>
      <c r="O408" s="1">
        <v>235627.02718012128</v>
      </c>
      <c r="P408" s="1">
        <v>235627.02718012128</v>
      </c>
      <c r="Q408" s="1">
        <v>329877.83805216977</v>
      </c>
      <c r="R408" s="1">
        <v>329877.83805216977</v>
      </c>
      <c r="S408" s="1">
        <v>329877.83805216977</v>
      </c>
      <c r="T408" s="1">
        <v>329877.83805216977</v>
      </c>
      <c r="U408" s="1">
        <v>329877.83805216977</v>
      </c>
      <c r="V408" s="1">
        <v>329877.83805216977</v>
      </c>
      <c r="W408" s="4">
        <f t="shared" si="19"/>
        <v>3272050.5386326099</v>
      </c>
      <c r="X408" s="4">
        <f t="shared" si="20"/>
        <v>3272050.5386326099</v>
      </c>
      <c r="Y408" s="5">
        <f t="shared" si="21"/>
        <v>0.58150000000000002</v>
      </c>
    </row>
    <row r="409" spans="1:25" x14ac:dyDescent="0.25">
      <c r="A409" s="1" t="s">
        <v>94</v>
      </c>
      <c r="B409" s="1" t="s">
        <v>65</v>
      </c>
      <c r="C409" s="1" t="s">
        <v>31</v>
      </c>
      <c r="D409" s="1">
        <v>5881318.482322379</v>
      </c>
      <c r="E409" s="1">
        <v>388167.01983327704</v>
      </c>
      <c r="F409" s="1">
        <v>388167.01983327704</v>
      </c>
      <c r="G409" s="1">
        <v>485208.77479159628</v>
      </c>
      <c r="H409" s="1">
        <v>485208.77479159628</v>
      </c>
      <c r="I409" s="1">
        <v>485208.77479159628</v>
      </c>
      <c r="J409" s="1">
        <v>485208.77479159628</v>
      </c>
      <c r="K409" s="1">
        <v>485208.77479159628</v>
      </c>
      <c r="L409" s="1">
        <v>485208.77479159628</v>
      </c>
      <c r="M409" s="1">
        <v>295536.25373669952</v>
      </c>
      <c r="N409" s="1">
        <v>295536.25373669952</v>
      </c>
      <c r="O409" s="1">
        <v>246280.21144724963</v>
      </c>
      <c r="P409" s="1">
        <v>246280.21144724963</v>
      </c>
      <c r="Q409" s="1">
        <v>344792.29602614947</v>
      </c>
      <c r="R409" s="1">
        <v>344792.29602614947</v>
      </c>
      <c r="S409" s="1">
        <v>344792.29602614947</v>
      </c>
      <c r="T409" s="1">
        <v>344792.29602614947</v>
      </c>
      <c r="U409" s="1">
        <v>344792.29602614947</v>
      </c>
      <c r="V409" s="1">
        <v>344792.29602614947</v>
      </c>
      <c r="W409" s="4">
        <f t="shared" si="19"/>
        <v>3419986.6974704633</v>
      </c>
      <c r="X409" s="4">
        <f t="shared" si="20"/>
        <v>3419986.6974704633</v>
      </c>
      <c r="Y409" s="5">
        <f t="shared" si="21"/>
        <v>0.58150000000000002</v>
      </c>
    </row>
    <row r="410" spans="1:25" x14ac:dyDescent="0.25">
      <c r="A410" s="1" t="s">
        <v>94</v>
      </c>
      <c r="B410" s="1" t="s">
        <v>44</v>
      </c>
      <c r="C410" s="1" t="s">
        <v>45</v>
      </c>
      <c r="D410" s="1">
        <v>8323668.0433047041</v>
      </c>
      <c r="E410" s="1">
        <v>549362.09085811058</v>
      </c>
      <c r="F410" s="1">
        <v>549362.09085811058</v>
      </c>
      <c r="G410" s="1">
        <v>686702.61357263813</v>
      </c>
      <c r="H410" s="1">
        <v>686702.61357263813</v>
      </c>
      <c r="I410" s="1">
        <v>686702.61357263813</v>
      </c>
      <c r="J410" s="1">
        <v>686702.61357263813</v>
      </c>
      <c r="K410" s="1">
        <v>686702.61357263813</v>
      </c>
      <c r="L410" s="1">
        <v>686702.61357263813</v>
      </c>
      <c r="M410" s="1">
        <v>418264.31917606125</v>
      </c>
      <c r="N410" s="1">
        <v>418264.31917606125</v>
      </c>
      <c r="O410" s="1">
        <v>348553.59931338439</v>
      </c>
      <c r="P410" s="1">
        <v>348553.59931338439</v>
      </c>
      <c r="Q410" s="1">
        <v>487975.03903873812</v>
      </c>
      <c r="R410" s="1">
        <v>487975.03903873812</v>
      </c>
      <c r="S410" s="1">
        <v>487975.03903873812</v>
      </c>
      <c r="T410" s="1">
        <v>487975.03903873812</v>
      </c>
      <c r="U410" s="1">
        <v>487975.03903873812</v>
      </c>
      <c r="V410" s="1">
        <v>487975.03903873812</v>
      </c>
      <c r="W410" s="4">
        <f t="shared" si="19"/>
        <v>4840212.9671816844</v>
      </c>
      <c r="X410" s="4">
        <f t="shared" si="20"/>
        <v>4840212.9671816844</v>
      </c>
      <c r="Y410" s="5">
        <f t="shared" si="21"/>
        <v>0.58149999999999991</v>
      </c>
    </row>
    <row r="411" spans="1:25" x14ac:dyDescent="0.25">
      <c r="A411" s="1" t="s">
        <v>94</v>
      </c>
      <c r="B411" s="1" t="s">
        <v>46</v>
      </c>
      <c r="C411" s="1" t="s">
        <v>22</v>
      </c>
      <c r="D411" s="1">
        <v>91180433.863948688</v>
      </c>
      <c r="E411" s="1">
        <v>6023545.7748404276</v>
      </c>
      <c r="F411" s="1">
        <v>6023545.7748404276</v>
      </c>
      <c r="G411" s="1">
        <v>7529432.218550534</v>
      </c>
      <c r="H411" s="1">
        <v>7529432.218550534</v>
      </c>
      <c r="I411" s="1">
        <v>7529432.218550534</v>
      </c>
      <c r="J411" s="1">
        <v>7529432.218550534</v>
      </c>
      <c r="K411" s="1">
        <v>7529432.218550534</v>
      </c>
      <c r="L411" s="1">
        <v>7529432.218550534</v>
      </c>
      <c r="M411" s="1">
        <v>4724471.1610659715</v>
      </c>
      <c r="N411" s="1">
        <v>4724471.1610659715</v>
      </c>
      <c r="O411" s="1">
        <v>3841890.3164665722</v>
      </c>
      <c r="P411" s="1">
        <v>3841890.3164665722</v>
      </c>
      <c r="Q411" s="1">
        <v>5318858.6466370253</v>
      </c>
      <c r="R411" s="1">
        <v>5318858.6466370253</v>
      </c>
      <c r="S411" s="1">
        <v>5318858.6466370253</v>
      </c>
      <c r="T411" s="1">
        <v>5318858.6466370253</v>
      </c>
      <c r="U411" s="1">
        <v>5318858.6466370253</v>
      </c>
      <c r="V411" s="1">
        <v>5318858.6466370253</v>
      </c>
      <c r="W411" s="4">
        <f t="shared" si="19"/>
        <v>53134779.847935647</v>
      </c>
      <c r="X411" s="4">
        <f t="shared" si="20"/>
        <v>53134779.847935647</v>
      </c>
      <c r="Y411" s="5">
        <f t="shared" si="21"/>
        <v>0.58274322238056719</v>
      </c>
    </row>
    <row r="412" spans="1:25" x14ac:dyDescent="0.25">
      <c r="A412" s="1" t="s">
        <v>94</v>
      </c>
      <c r="B412" s="1" t="s">
        <v>66</v>
      </c>
      <c r="C412" s="1" t="s">
        <v>24</v>
      </c>
      <c r="D412" s="1">
        <v>288839439.17101151</v>
      </c>
      <c r="E412" s="1">
        <v>23829253.73160845</v>
      </c>
      <c r="F412" s="1">
        <v>23829253.73160845</v>
      </c>
      <c r="G412" s="1">
        <v>23829253.73160845</v>
      </c>
      <c r="H412" s="1">
        <v>23829253.73160845</v>
      </c>
      <c r="I412" s="1">
        <v>23829253.73160845</v>
      </c>
      <c r="J412" s="1">
        <v>23829253.73160845</v>
      </c>
      <c r="K412" s="1">
        <v>23829253.73160845</v>
      </c>
      <c r="L412" s="1">
        <v>23829253.73160845</v>
      </c>
      <c r="M412" s="1">
        <v>25248525.906899538</v>
      </c>
      <c r="N412" s="1">
        <v>25248525.906899538</v>
      </c>
      <c r="O412" s="1">
        <v>24113108.166666668</v>
      </c>
      <c r="P412" s="1">
        <v>24113108.166666668</v>
      </c>
      <c r="Q412" s="1">
        <v>24113108.166666668</v>
      </c>
      <c r="R412" s="1">
        <v>24113108.166666668</v>
      </c>
      <c r="S412" s="1">
        <v>24113108.166666668</v>
      </c>
      <c r="T412" s="1">
        <v>24113108.166666668</v>
      </c>
      <c r="U412" s="1">
        <v>24113108.166666668</v>
      </c>
      <c r="V412" s="1">
        <v>24113108.166666668</v>
      </c>
      <c r="W412" s="4">
        <f t="shared" si="19"/>
        <v>217017973.5</v>
      </c>
      <c r="X412" s="4">
        <f t="shared" si="20"/>
        <v>217017973.5</v>
      </c>
      <c r="Y412" s="5">
        <f t="shared" si="21"/>
        <v>0.75134467136086436</v>
      </c>
    </row>
    <row r="413" spans="1:25" x14ac:dyDescent="0.25">
      <c r="A413" s="1" t="s">
        <v>94</v>
      </c>
      <c r="B413" s="1" t="s">
        <v>67</v>
      </c>
      <c r="C413" s="1" t="s">
        <v>68</v>
      </c>
      <c r="D413" s="1">
        <v>5916750.6585043678</v>
      </c>
      <c r="E413" s="1">
        <v>390505.54346128833</v>
      </c>
      <c r="F413" s="1">
        <v>390505.54346128833</v>
      </c>
      <c r="G413" s="1">
        <v>488131.92932661035</v>
      </c>
      <c r="H413" s="1">
        <v>488131.92932661035</v>
      </c>
      <c r="I413" s="1">
        <v>488131.92932661035</v>
      </c>
      <c r="J413" s="1">
        <v>488131.92932661035</v>
      </c>
      <c r="K413" s="1">
        <v>488131.92932661035</v>
      </c>
      <c r="L413" s="1">
        <v>488131.92932661035</v>
      </c>
      <c r="M413" s="1">
        <v>307671.03424222715</v>
      </c>
      <c r="N413" s="1">
        <v>307671.03424222715</v>
      </c>
      <c r="O413" s="1">
        <v>246531.277437682</v>
      </c>
      <c r="P413" s="1">
        <v>246531.277437682</v>
      </c>
      <c r="Q413" s="1">
        <v>345143.78841275477</v>
      </c>
      <c r="R413" s="1">
        <v>345143.78841275477</v>
      </c>
      <c r="S413" s="1">
        <v>345143.78841275477</v>
      </c>
      <c r="T413" s="1">
        <v>345143.78841275477</v>
      </c>
      <c r="U413" s="1">
        <v>345143.78841275477</v>
      </c>
      <c r="V413" s="1">
        <v>345143.78841275477</v>
      </c>
      <c r="W413" s="4">
        <f t="shared" si="19"/>
        <v>3444535.0083592925</v>
      </c>
      <c r="X413" s="4">
        <f t="shared" si="20"/>
        <v>3444535.0083592925</v>
      </c>
      <c r="Y413" s="5">
        <f t="shared" si="21"/>
        <v>0.58216666666666661</v>
      </c>
    </row>
    <row r="414" spans="1:25" x14ac:dyDescent="0.25">
      <c r="A414" s="1" t="s">
        <v>94</v>
      </c>
      <c r="B414" s="1" t="s">
        <v>69</v>
      </c>
      <c r="C414" s="1" t="s">
        <v>28</v>
      </c>
      <c r="D414" s="1">
        <v>8218719.8248512559</v>
      </c>
      <c r="E414" s="1">
        <v>542435.50844018289</v>
      </c>
      <c r="F414" s="1">
        <v>542435.50844018289</v>
      </c>
      <c r="G414" s="1">
        <v>678044.38555022865</v>
      </c>
      <c r="H414" s="1">
        <v>678044.38555022865</v>
      </c>
      <c r="I414" s="1">
        <v>678044.38555022865</v>
      </c>
      <c r="J414" s="1">
        <v>678044.38555022865</v>
      </c>
      <c r="K414" s="1">
        <v>678044.38555022865</v>
      </c>
      <c r="L414" s="1">
        <v>678044.38555022865</v>
      </c>
      <c r="M414" s="1">
        <v>412990.67119877558</v>
      </c>
      <c r="N414" s="1">
        <v>412990.67119877558</v>
      </c>
      <c r="O414" s="1">
        <v>344158.89266564633</v>
      </c>
      <c r="P414" s="1">
        <v>344158.89266564633</v>
      </c>
      <c r="Q414" s="1">
        <v>481822.44973190484</v>
      </c>
      <c r="R414" s="1">
        <v>481822.44973190484</v>
      </c>
      <c r="S414" s="1">
        <v>481822.44973190484</v>
      </c>
      <c r="T414" s="1">
        <v>481822.44973190484</v>
      </c>
      <c r="U414" s="1">
        <v>481822.44973190484</v>
      </c>
      <c r="V414" s="1">
        <v>481822.44973190484</v>
      </c>
      <c r="W414" s="4">
        <f t="shared" si="19"/>
        <v>4779185.5781510053</v>
      </c>
      <c r="X414" s="4">
        <f t="shared" si="20"/>
        <v>4779185.5781510053</v>
      </c>
      <c r="Y414" s="5">
        <f t="shared" si="21"/>
        <v>0.58150000000000002</v>
      </c>
    </row>
    <row r="415" spans="1:25" x14ac:dyDescent="0.25">
      <c r="A415" s="1" t="s">
        <v>94</v>
      </c>
      <c r="B415" s="1" t="s">
        <v>70</v>
      </c>
      <c r="C415" s="1" t="s">
        <v>23</v>
      </c>
      <c r="D415" s="1">
        <v>8268750.0182812503</v>
      </c>
      <c r="E415" s="1">
        <v>545737.50120656262</v>
      </c>
      <c r="F415" s="1">
        <v>545737.50120656262</v>
      </c>
      <c r="G415" s="1">
        <v>682171.87650820322</v>
      </c>
      <c r="H415" s="1">
        <v>682171.87650820322</v>
      </c>
      <c r="I415" s="1">
        <v>682171.87650820322</v>
      </c>
      <c r="J415" s="1">
        <v>682171.87650820322</v>
      </c>
      <c r="K415" s="1">
        <v>682171.87650820322</v>
      </c>
      <c r="L415" s="1">
        <v>682171.87650820322</v>
      </c>
      <c r="M415" s="1">
        <v>415504.68841863284</v>
      </c>
      <c r="N415" s="1">
        <v>415504.68841863284</v>
      </c>
      <c r="O415" s="1">
        <v>346253.90701552737</v>
      </c>
      <c r="P415" s="1">
        <v>346253.90701552737</v>
      </c>
      <c r="Q415" s="1">
        <v>484755.46982173825</v>
      </c>
      <c r="R415" s="1">
        <v>484755.46982173825</v>
      </c>
      <c r="S415" s="1">
        <v>484755.46982173825</v>
      </c>
      <c r="T415" s="1">
        <v>484755.46982173825</v>
      </c>
      <c r="U415" s="1">
        <v>484755.46982173825</v>
      </c>
      <c r="V415" s="1">
        <v>484755.46982173825</v>
      </c>
      <c r="W415" s="4">
        <f t="shared" si="19"/>
        <v>4808278.135630548</v>
      </c>
      <c r="X415" s="4">
        <f t="shared" si="20"/>
        <v>4808278.135630548</v>
      </c>
      <c r="Y415" s="5">
        <f t="shared" si="21"/>
        <v>0.58150000000000013</v>
      </c>
    </row>
    <row r="416" spans="1:25" x14ac:dyDescent="0.25">
      <c r="A416" s="1" t="s">
        <v>94</v>
      </c>
      <c r="B416" s="1" t="s">
        <v>71</v>
      </c>
      <c r="C416" s="1" t="s">
        <v>29</v>
      </c>
      <c r="D416" s="1">
        <v>7159463.9711538423</v>
      </c>
      <c r="E416" s="1">
        <v>472524.62209615367</v>
      </c>
      <c r="F416" s="1">
        <v>472524.62209615367</v>
      </c>
      <c r="G416" s="1">
        <v>590655.77762019204</v>
      </c>
      <c r="H416" s="1">
        <v>590655.77762019204</v>
      </c>
      <c r="I416" s="1">
        <v>590655.77762019204</v>
      </c>
      <c r="J416" s="1">
        <v>590655.77762019204</v>
      </c>
      <c r="K416" s="1">
        <v>590655.77762019204</v>
      </c>
      <c r="L416" s="1">
        <v>590655.77762019204</v>
      </c>
      <c r="M416" s="1">
        <v>359763.06455048051</v>
      </c>
      <c r="N416" s="1">
        <v>359763.06455048051</v>
      </c>
      <c r="O416" s="1">
        <v>299802.5537920671</v>
      </c>
      <c r="P416" s="1">
        <v>299802.5537920671</v>
      </c>
      <c r="Q416" s="1">
        <v>419723.57530889392</v>
      </c>
      <c r="R416" s="1">
        <v>419723.57530889392</v>
      </c>
      <c r="S416" s="1">
        <v>419723.57530889392</v>
      </c>
      <c r="T416" s="1">
        <v>419723.57530889392</v>
      </c>
      <c r="U416" s="1">
        <v>419723.57530889392</v>
      </c>
      <c r="V416" s="1">
        <v>419723.57530889392</v>
      </c>
      <c r="W416" s="4">
        <f t="shared" si="19"/>
        <v>4163228.2992259599</v>
      </c>
      <c r="X416" s="4">
        <f t="shared" si="20"/>
        <v>4163228.2992259599</v>
      </c>
      <c r="Y416" s="5">
        <f t="shared" si="21"/>
        <v>0.58150000000000013</v>
      </c>
    </row>
    <row r="417" spans="1:25" x14ac:dyDescent="0.25">
      <c r="A417" s="1" t="s">
        <v>94</v>
      </c>
      <c r="B417" s="1" t="s">
        <v>72</v>
      </c>
      <c r="C417" s="1" t="s">
        <v>73</v>
      </c>
      <c r="D417" s="1">
        <v>7981928.015009556</v>
      </c>
      <c r="E417" s="1">
        <v>526807.24899063073</v>
      </c>
      <c r="F417" s="1">
        <v>526807.24899063073</v>
      </c>
      <c r="G417" s="1">
        <v>658509.06123828841</v>
      </c>
      <c r="H417" s="1">
        <v>658509.06123828841</v>
      </c>
      <c r="I417" s="1">
        <v>658509.06123828841</v>
      </c>
      <c r="J417" s="1">
        <v>658509.06123828841</v>
      </c>
      <c r="K417" s="1">
        <v>658509.06123828841</v>
      </c>
      <c r="L417" s="1">
        <v>658509.06123828841</v>
      </c>
      <c r="M417" s="1">
        <v>401091.88275423017</v>
      </c>
      <c r="N417" s="1">
        <v>401091.88275423017</v>
      </c>
      <c r="O417" s="1">
        <v>334243.23562852514</v>
      </c>
      <c r="P417" s="1">
        <v>334243.23562852514</v>
      </c>
      <c r="Q417" s="1">
        <v>467940.52987993514</v>
      </c>
      <c r="R417" s="1">
        <v>467940.52987993514</v>
      </c>
      <c r="S417" s="1">
        <v>467940.52987993514</v>
      </c>
      <c r="T417" s="1">
        <v>467940.52987993514</v>
      </c>
      <c r="U417" s="1">
        <v>467940.52987993514</v>
      </c>
      <c r="V417" s="1">
        <v>467940.52987993514</v>
      </c>
      <c r="W417" s="4">
        <f t="shared" si="19"/>
        <v>4641491.1407280564</v>
      </c>
      <c r="X417" s="4">
        <f t="shared" si="20"/>
        <v>4641491.1407280564</v>
      </c>
      <c r="Y417" s="5">
        <f t="shared" si="21"/>
        <v>0.58149999999999991</v>
      </c>
    </row>
    <row r="418" spans="1:25" x14ac:dyDescent="0.25">
      <c r="A418" s="1" t="s">
        <v>94</v>
      </c>
      <c r="B418" s="1" t="s">
        <v>48</v>
      </c>
      <c r="C418" s="1" t="s">
        <v>49</v>
      </c>
      <c r="D418" s="1">
        <v>5461302.7304711919</v>
      </c>
      <c r="E418" s="1">
        <v>360445.98021109868</v>
      </c>
      <c r="F418" s="1">
        <v>360445.98021109868</v>
      </c>
      <c r="G418" s="1">
        <v>450557.47526387335</v>
      </c>
      <c r="H418" s="1">
        <v>450557.47526387335</v>
      </c>
      <c r="I418" s="1">
        <v>450557.47526387335</v>
      </c>
      <c r="J418" s="1">
        <v>450557.47526387335</v>
      </c>
      <c r="K418" s="1">
        <v>450557.47526387335</v>
      </c>
      <c r="L418" s="1">
        <v>450557.47526387335</v>
      </c>
      <c r="M418" s="1">
        <v>274430.46220617747</v>
      </c>
      <c r="N418" s="1">
        <v>274430.46220617747</v>
      </c>
      <c r="O418" s="1">
        <v>228692.05183848122</v>
      </c>
      <c r="P418" s="1">
        <v>228692.05183848122</v>
      </c>
      <c r="Q418" s="1">
        <v>320168.87257387367</v>
      </c>
      <c r="R418" s="1">
        <v>320168.87257387367</v>
      </c>
      <c r="S418" s="1">
        <v>320168.87257387367</v>
      </c>
      <c r="T418" s="1">
        <v>320168.87257387367</v>
      </c>
      <c r="U418" s="1">
        <v>320168.87257387367</v>
      </c>
      <c r="V418" s="1">
        <v>320168.87257387367</v>
      </c>
      <c r="W418" s="4">
        <f t="shared" si="19"/>
        <v>3175747.5377689982</v>
      </c>
      <c r="X418" s="4">
        <f t="shared" si="20"/>
        <v>3175747.5377689982</v>
      </c>
      <c r="Y418" s="5">
        <f t="shared" si="21"/>
        <v>0.58150000000000002</v>
      </c>
    </row>
    <row r="419" spans="1:25" x14ac:dyDescent="0.25">
      <c r="A419" s="1" t="s">
        <v>94</v>
      </c>
      <c r="B419" s="1" t="s">
        <v>53</v>
      </c>
      <c r="C419" s="1" t="s">
        <v>30</v>
      </c>
      <c r="D419" s="1">
        <v>9688786.1158917695</v>
      </c>
      <c r="E419" s="1">
        <v>639459.88364885689</v>
      </c>
      <c r="F419" s="1">
        <v>639459.88364885689</v>
      </c>
      <c r="G419" s="1">
        <v>799324.85456107103</v>
      </c>
      <c r="H419" s="1">
        <v>799324.85456107103</v>
      </c>
      <c r="I419" s="1">
        <v>799324.85456107103</v>
      </c>
      <c r="J419" s="1">
        <v>799324.85456107103</v>
      </c>
      <c r="K419" s="1">
        <v>799324.85456107103</v>
      </c>
      <c r="L419" s="1">
        <v>799324.85456107103</v>
      </c>
      <c r="M419" s="1">
        <v>486861.50232356141</v>
      </c>
      <c r="N419" s="1">
        <v>486861.50232356141</v>
      </c>
      <c r="O419" s="1">
        <v>405717.91860296787</v>
      </c>
      <c r="P419" s="1">
        <v>405717.91860296787</v>
      </c>
      <c r="Q419" s="1">
        <v>568005.08604415494</v>
      </c>
      <c r="R419" s="1">
        <v>568005.08604415494</v>
      </c>
      <c r="S419" s="1">
        <v>568005.08604415494</v>
      </c>
      <c r="T419" s="1">
        <v>568005.08604415494</v>
      </c>
      <c r="U419" s="1">
        <v>568005.08604415494</v>
      </c>
      <c r="V419" s="1">
        <v>568005.08604415494</v>
      </c>
      <c r="W419" s="4">
        <f t="shared" si="19"/>
        <v>5634029.1263910634</v>
      </c>
      <c r="X419" s="4">
        <f t="shared" si="20"/>
        <v>5634029.1263910634</v>
      </c>
      <c r="Y419" s="5">
        <f t="shared" si="21"/>
        <v>0.58149999999999991</v>
      </c>
    </row>
    <row r="420" spans="1:25" x14ac:dyDescent="0.25">
      <c r="A420" s="1" t="s">
        <v>94</v>
      </c>
      <c r="B420" s="1" t="s">
        <v>74</v>
      </c>
      <c r="C420" s="1" t="s">
        <v>75</v>
      </c>
      <c r="D420" s="1">
        <v>5940301.0640891325</v>
      </c>
      <c r="E420" s="1">
        <v>392059.87022988277</v>
      </c>
      <c r="F420" s="1">
        <v>392059.87022988277</v>
      </c>
      <c r="G420" s="1">
        <v>490074.83778735343</v>
      </c>
      <c r="H420" s="1">
        <v>490074.83778735343</v>
      </c>
      <c r="I420" s="1">
        <v>490074.83778735343</v>
      </c>
      <c r="J420" s="1">
        <v>490074.83778735343</v>
      </c>
      <c r="K420" s="1">
        <v>490074.83778735343</v>
      </c>
      <c r="L420" s="1">
        <v>490074.83778735343</v>
      </c>
      <c r="M420" s="1">
        <v>298500.12847047887</v>
      </c>
      <c r="N420" s="1">
        <v>298500.12847047887</v>
      </c>
      <c r="O420" s="1">
        <v>248750.10705873242</v>
      </c>
      <c r="P420" s="1">
        <v>248750.10705873242</v>
      </c>
      <c r="Q420" s="1">
        <v>348250.14988222538</v>
      </c>
      <c r="R420" s="1">
        <v>348250.14988222538</v>
      </c>
      <c r="S420" s="1">
        <v>348250.14988222538</v>
      </c>
      <c r="T420" s="1">
        <v>348250.14988222538</v>
      </c>
      <c r="U420" s="1">
        <v>348250.14988222538</v>
      </c>
      <c r="V420" s="1">
        <v>348250.14988222538</v>
      </c>
      <c r="W420" s="4">
        <f t="shared" si="19"/>
        <v>3454285.0687678303</v>
      </c>
      <c r="X420" s="4">
        <f t="shared" si="20"/>
        <v>3454285.0687678303</v>
      </c>
      <c r="Y420" s="5">
        <f t="shared" si="21"/>
        <v>0.58149999999999991</v>
      </c>
    </row>
    <row r="421" spans="1:25" x14ac:dyDescent="0.25">
      <c r="A421" s="1" t="s">
        <v>94</v>
      </c>
      <c r="B421" s="1" t="s">
        <v>50</v>
      </c>
      <c r="C421" s="1" t="s">
        <v>25</v>
      </c>
      <c r="D421" s="1">
        <v>5734367.8669947507</v>
      </c>
      <c r="E421" s="1">
        <v>378468.27922165359</v>
      </c>
      <c r="F421" s="1">
        <v>378468.27922165359</v>
      </c>
      <c r="G421" s="1">
        <v>473085.34902706696</v>
      </c>
      <c r="H421" s="1">
        <v>473085.34902706696</v>
      </c>
      <c r="I421" s="1">
        <v>473085.34902706696</v>
      </c>
      <c r="J421" s="1">
        <v>473085.34902706696</v>
      </c>
      <c r="K421" s="1">
        <v>473085.34902706696</v>
      </c>
      <c r="L421" s="1">
        <v>473085.34902706696</v>
      </c>
      <c r="M421" s="1">
        <v>288151.98531648621</v>
      </c>
      <c r="N421" s="1">
        <v>288151.98531648621</v>
      </c>
      <c r="O421" s="1">
        <v>240126.65443040518</v>
      </c>
      <c r="P421" s="1">
        <v>240126.65443040518</v>
      </c>
      <c r="Q421" s="1">
        <v>336177.31620256725</v>
      </c>
      <c r="R421" s="1">
        <v>336177.31620256725</v>
      </c>
      <c r="S421" s="1">
        <v>336177.31620256725</v>
      </c>
      <c r="T421" s="1">
        <v>336177.31620256725</v>
      </c>
      <c r="U421" s="1">
        <v>336177.31620256725</v>
      </c>
      <c r="V421" s="1">
        <v>336177.31620256725</v>
      </c>
      <c r="W421" s="4">
        <f t="shared" si="19"/>
        <v>3334534.9146574475</v>
      </c>
      <c r="X421" s="4">
        <f t="shared" si="20"/>
        <v>3334534.9146574475</v>
      </c>
      <c r="Y421" s="5">
        <f t="shared" si="21"/>
        <v>0.58150000000000002</v>
      </c>
    </row>
    <row r="422" spans="1:25" x14ac:dyDescent="0.25">
      <c r="A422" s="1" t="s">
        <v>95</v>
      </c>
      <c r="B422" s="1" t="s">
        <v>59</v>
      </c>
      <c r="C422" s="1" t="s">
        <v>26</v>
      </c>
      <c r="D422" s="1">
        <v>40083728.003333338</v>
      </c>
      <c r="E422" s="1">
        <v>2645526.0586532424</v>
      </c>
      <c r="F422" s="1">
        <v>2645526.0586532424</v>
      </c>
      <c r="G422" s="1">
        <v>3306907.5733165527</v>
      </c>
      <c r="H422" s="1">
        <v>3306907.5733165527</v>
      </c>
      <c r="I422" s="1">
        <v>3306907.5733165527</v>
      </c>
      <c r="J422" s="1">
        <v>3306907.5733165527</v>
      </c>
      <c r="K422" s="1">
        <v>3306907.5733165527</v>
      </c>
      <c r="L422" s="1">
        <v>3306907.5733165527</v>
      </c>
      <c r="M422" s="1">
        <v>3357012.2137583913</v>
      </c>
      <c r="N422" s="1">
        <v>3357012.2137583913</v>
      </c>
      <c r="O422" s="1">
        <v>3357012.2137583913</v>
      </c>
      <c r="P422" s="1">
        <v>3357012.2137583913</v>
      </c>
      <c r="Q422" s="1">
        <v>7857012.2137583904</v>
      </c>
      <c r="R422" s="1">
        <v>7857012.2137583904</v>
      </c>
      <c r="S422" s="1">
        <v>7857012.2137583904</v>
      </c>
      <c r="T422" s="1">
        <v>7857012.2137583904</v>
      </c>
      <c r="U422" s="1">
        <v>3357012.2137583913</v>
      </c>
      <c r="V422" s="1">
        <v>3357012.2137583913</v>
      </c>
      <c r="W422" s="4">
        <f t="shared" si="19"/>
        <v>38351309.847394854</v>
      </c>
      <c r="X422" s="4">
        <f t="shared" si="20"/>
        <v>38351309.847394854</v>
      </c>
      <c r="Y422" s="5">
        <f t="shared" si="21"/>
        <v>0.95678001417945913</v>
      </c>
    </row>
    <row r="423" spans="1:25" x14ac:dyDescent="0.25">
      <c r="A423" s="1" t="s">
        <v>95</v>
      </c>
      <c r="B423" s="1" t="s">
        <v>59</v>
      </c>
      <c r="C423" s="1" t="s">
        <v>26</v>
      </c>
      <c r="D423" s="1">
        <v>50558675</v>
      </c>
      <c r="E423" s="1">
        <v>3336872.5419848245</v>
      </c>
      <c r="F423" s="1">
        <v>3336872.5419848245</v>
      </c>
      <c r="G423" s="1">
        <v>4171090.6774810306</v>
      </c>
      <c r="H423" s="1">
        <v>4171090.6774810306</v>
      </c>
      <c r="I423" s="1">
        <v>4171090.6774810306</v>
      </c>
      <c r="J423" s="1">
        <v>4171090.6774810306</v>
      </c>
      <c r="K423" s="1">
        <v>4171090.6774810306</v>
      </c>
      <c r="L423" s="1">
        <v>4171090.6774810306</v>
      </c>
      <c r="M423" s="1">
        <v>4234289.0362594835</v>
      </c>
      <c r="N423" s="1">
        <v>4234289.0362594835</v>
      </c>
      <c r="O423" s="1">
        <v>4234289.0362594835</v>
      </c>
      <c r="P423" s="1">
        <v>4234289.0362594835</v>
      </c>
      <c r="Q423" s="1">
        <v>9234289.0362594798</v>
      </c>
      <c r="R423" s="1">
        <v>9234289.0362594798</v>
      </c>
      <c r="S423" s="1">
        <v>9234289.0362594798</v>
      </c>
      <c r="T423" s="1">
        <v>9234289.0362594798</v>
      </c>
      <c r="U423" s="1">
        <v>4234289.0362594835</v>
      </c>
      <c r="V423" s="1">
        <v>4234289.0362594835</v>
      </c>
      <c r="W423" s="4">
        <f t="shared" si="19"/>
        <v>47021589.755725332</v>
      </c>
      <c r="X423" s="4">
        <f t="shared" si="20"/>
        <v>47021589.755725332</v>
      </c>
      <c r="Y423" s="5">
        <f t="shared" si="21"/>
        <v>0.93003999324992859</v>
      </c>
    </row>
    <row r="424" spans="1:25" x14ac:dyDescent="0.25">
      <c r="A424" s="1" t="s">
        <v>95</v>
      </c>
      <c r="B424" s="1" t="s">
        <v>33</v>
      </c>
      <c r="C424" s="1" t="s">
        <v>34</v>
      </c>
      <c r="D424" s="1">
        <v>132000000</v>
      </c>
      <c r="E424" s="1">
        <v>0</v>
      </c>
      <c r="F424" s="1">
        <v>0</v>
      </c>
      <c r="G424" s="1">
        <v>26400000</v>
      </c>
      <c r="H424" s="1">
        <v>26400000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39600000</v>
      </c>
      <c r="P424" s="1">
        <v>39600000</v>
      </c>
      <c r="Q424" s="1">
        <v>0</v>
      </c>
      <c r="R424" s="1">
        <v>0</v>
      </c>
      <c r="S424" s="1">
        <v>39600000</v>
      </c>
      <c r="T424" s="1">
        <v>39600000</v>
      </c>
      <c r="U424" s="1">
        <v>26400000</v>
      </c>
      <c r="V424" s="1">
        <v>26400000</v>
      </c>
      <c r="W424" s="4">
        <f t="shared" si="19"/>
        <v>132000000</v>
      </c>
      <c r="X424" s="4">
        <f t="shared" si="20"/>
        <v>132000000</v>
      </c>
      <c r="Y424" s="5">
        <f t="shared" si="21"/>
        <v>1</v>
      </c>
    </row>
    <row r="425" spans="1:25" x14ac:dyDescent="0.25">
      <c r="A425" s="1" t="s">
        <v>95</v>
      </c>
      <c r="B425" s="1" t="s">
        <v>35</v>
      </c>
      <c r="C425" s="1" t="s">
        <v>34</v>
      </c>
      <c r="D425" s="1">
        <v>330000000</v>
      </c>
      <c r="E425" s="1">
        <v>0</v>
      </c>
      <c r="F425" s="1">
        <v>0</v>
      </c>
      <c r="G425" s="1">
        <v>90750000</v>
      </c>
      <c r="H425" s="1">
        <v>90750000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79750000</v>
      </c>
      <c r="P425" s="1">
        <v>79750000</v>
      </c>
      <c r="Q425" s="1">
        <v>0</v>
      </c>
      <c r="R425" s="1">
        <v>0</v>
      </c>
      <c r="S425" s="1">
        <v>79750000</v>
      </c>
      <c r="T425" s="1">
        <v>79750000</v>
      </c>
      <c r="U425" s="1">
        <v>79750000</v>
      </c>
      <c r="V425" s="1">
        <v>79750000</v>
      </c>
      <c r="W425" s="4">
        <f t="shared" si="19"/>
        <v>330000000</v>
      </c>
      <c r="X425" s="4">
        <f t="shared" si="20"/>
        <v>330000000</v>
      </c>
      <c r="Y425" s="5">
        <f t="shared" si="21"/>
        <v>1</v>
      </c>
    </row>
    <row r="426" spans="1:25" x14ac:dyDescent="0.25">
      <c r="A426" s="1" t="s">
        <v>95</v>
      </c>
      <c r="B426" s="1" t="s">
        <v>38</v>
      </c>
      <c r="C426" s="1" t="s">
        <v>39</v>
      </c>
      <c r="D426" s="1">
        <v>11434502.200064346</v>
      </c>
      <c r="E426" s="1">
        <v>754677.14520424698</v>
      </c>
      <c r="F426" s="1">
        <v>754677.14520424698</v>
      </c>
      <c r="G426" s="1">
        <v>943346.4315053086</v>
      </c>
      <c r="H426" s="1">
        <v>943346.4315053086</v>
      </c>
      <c r="I426" s="1">
        <v>943346.4315053086</v>
      </c>
      <c r="J426" s="1">
        <v>943346.4315053086</v>
      </c>
      <c r="K426" s="1">
        <v>943346.4315053086</v>
      </c>
      <c r="L426" s="1">
        <v>943346.4315053086</v>
      </c>
      <c r="M426" s="1">
        <v>574583.73555323319</v>
      </c>
      <c r="N426" s="1">
        <v>574583.73555323319</v>
      </c>
      <c r="O426" s="1">
        <v>478819.77962769434</v>
      </c>
      <c r="P426" s="1">
        <v>478819.77962769434</v>
      </c>
      <c r="Q426" s="1">
        <v>670347.69147877209</v>
      </c>
      <c r="R426" s="1">
        <v>670347.69147877209</v>
      </c>
      <c r="S426" s="1">
        <v>670347.69147877209</v>
      </c>
      <c r="T426" s="1">
        <v>670347.69147877209</v>
      </c>
      <c r="U426" s="1">
        <v>670347.69147877209</v>
      </c>
      <c r="V426" s="1">
        <v>670347.69147877209</v>
      </c>
      <c r="W426" s="4">
        <f t="shared" si="19"/>
        <v>6649163.0293374164</v>
      </c>
      <c r="X426" s="4">
        <f t="shared" si="20"/>
        <v>6649163.0293374164</v>
      </c>
      <c r="Y426" s="5">
        <f t="shared" si="21"/>
        <v>0.58149999999999991</v>
      </c>
    </row>
    <row r="427" spans="1:25" x14ac:dyDescent="0.25">
      <c r="A427" s="1" t="s">
        <v>95</v>
      </c>
      <c r="B427" s="1" t="s">
        <v>61</v>
      </c>
      <c r="C427" s="1" t="s">
        <v>34</v>
      </c>
      <c r="D427" s="1">
        <v>154598927</v>
      </c>
      <c r="E427" s="1">
        <v>0</v>
      </c>
      <c r="F427" s="1">
        <v>0</v>
      </c>
      <c r="G427" s="1">
        <v>12367914.158591269</v>
      </c>
      <c r="H427" s="1">
        <v>12367914.158591269</v>
      </c>
      <c r="I427" s="1">
        <v>0</v>
      </c>
      <c r="J427" s="1">
        <v>0</v>
      </c>
      <c r="K427" s="1">
        <v>0</v>
      </c>
      <c r="L427" s="1">
        <v>0</v>
      </c>
      <c r="M427" s="1">
        <v>35557753.210352182</v>
      </c>
      <c r="N427" s="1">
        <v>35557753.210352182</v>
      </c>
      <c r="O427" s="1">
        <v>0</v>
      </c>
      <c r="P427" s="1">
        <v>0</v>
      </c>
      <c r="Q427" s="1">
        <v>0</v>
      </c>
      <c r="R427" s="1">
        <v>0</v>
      </c>
      <c r="S427" s="1">
        <v>53336629.815528274</v>
      </c>
      <c r="T427" s="1">
        <v>53336629.815528274</v>
      </c>
      <c r="U427" s="1">
        <v>0</v>
      </c>
      <c r="V427" s="1">
        <v>0</v>
      </c>
      <c r="W427" s="4">
        <f t="shared" si="19"/>
        <v>101262297.18447173</v>
      </c>
      <c r="X427" s="4">
        <f t="shared" si="20"/>
        <v>101262297.18447173</v>
      </c>
      <c r="Y427" s="5">
        <f t="shared" si="21"/>
        <v>0.65499999999658298</v>
      </c>
    </row>
    <row r="428" spans="1:25" x14ac:dyDescent="0.25">
      <c r="A428" s="1" t="s">
        <v>95</v>
      </c>
      <c r="B428" s="1" t="s">
        <v>62</v>
      </c>
      <c r="C428" s="1" t="s">
        <v>63</v>
      </c>
      <c r="D428" s="1">
        <v>44142857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3310714.2857142854</v>
      </c>
      <c r="N428" s="1">
        <v>3310714.2857142854</v>
      </c>
      <c r="O428" s="1">
        <v>2758928.5714285714</v>
      </c>
      <c r="P428" s="1">
        <v>2758928.5714285714</v>
      </c>
      <c r="Q428" s="1">
        <v>3862499.9999999995</v>
      </c>
      <c r="R428" s="1">
        <v>3862499.9999999995</v>
      </c>
      <c r="S428" s="1">
        <v>3862499.9999999995</v>
      </c>
      <c r="T428" s="1">
        <v>3862499.9999999995</v>
      </c>
      <c r="U428" s="1">
        <v>3862499.9999999995</v>
      </c>
      <c r="V428" s="1">
        <v>3862499.9999999995</v>
      </c>
      <c r="W428" s="4">
        <f t="shared" si="19"/>
        <v>17657142.857142854</v>
      </c>
      <c r="X428" s="4">
        <f t="shared" si="20"/>
        <v>17657142.857142854</v>
      </c>
      <c r="Y428" s="5">
        <f t="shared" si="21"/>
        <v>0.40000000129449831</v>
      </c>
    </row>
    <row r="429" spans="1:25" x14ac:dyDescent="0.25">
      <c r="A429" s="1" t="s">
        <v>95</v>
      </c>
      <c r="B429" s="1" t="s">
        <v>96</v>
      </c>
      <c r="C429" s="1" t="s">
        <v>27</v>
      </c>
      <c r="D429" s="1">
        <v>390282209</v>
      </c>
      <c r="E429" s="1">
        <v>32198282.216032006</v>
      </c>
      <c r="F429" s="1">
        <v>32198282.216032006</v>
      </c>
      <c r="G429" s="1">
        <v>32198282.216032006</v>
      </c>
      <c r="H429" s="1">
        <v>32198282.216032006</v>
      </c>
      <c r="I429" s="1">
        <v>32198282.216032006</v>
      </c>
      <c r="J429" s="1">
        <v>32198282.216032006</v>
      </c>
      <c r="K429" s="1">
        <v>32198282.216032006</v>
      </c>
      <c r="L429" s="1">
        <v>32198282.216032006</v>
      </c>
      <c r="M429" s="1">
        <v>60000000</v>
      </c>
      <c r="N429" s="1">
        <v>60000000</v>
      </c>
      <c r="O429" s="1">
        <v>83530209.283968002</v>
      </c>
      <c r="P429" s="1">
        <v>83530209.283968002</v>
      </c>
      <c r="Q429" s="1">
        <v>30058386.212975964</v>
      </c>
      <c r="R429" s="1">
        <v>30058386.212975964</v>
      </c>
      <c r="S429" s="1">
        <v>55217102.638927862</v>
      </c>
      <c r="T429" s="1">
        <v>55217102.638927862</v>
      </c>
      <c r="U429" s="1">
        <v>5325492</v>
      </c>
      <c r="V429" s="1">
        <v>5325492</v>
      </c>
      <c r="W429" s="4">
        <f t="shared" si="19"/>
        <v>362924318.99999988</v>
      </c>
      <c r="X429" s="4">
        <f t="shared" si="20"/>
        <v>362924318.99999988</v>
      </c>
      <c r="Y429" s="5">
        <f t="shared" si="21"/>
        <v>0.92990228770586847</v>
      </c>
    </row>
    <row r="430" spans="1:25" x14ac:dyDescent="0.25">
      <c r="A430" s="1" t="s">
        <v>95</v>
      </c>
      <c r="B430" s="1" t="s">
        <v>97</v>
      </c>
      <c r="C430" s="1" t="s">
        <v>27</v>
      </c>
      <c r="D430" s="1">
        <v>460644755</v>
      </c>
      <c r="E430" s="1">
        <v>38003192.263751768</v>
      </c>
      <c r="F430" s="1">
        <v>38003192.263751768</v>
      </c>
      <c r="G430" s="1">
        <v>38003192.263751768</v>
      </c>
      <c r="H430" s="1">
        <v>38003192.263751768</v>
      </c>
      <c r="I430" s="1">
        <v>38003192.263751768</v>
      </c>
      <c r="J430" s="1">
        <v>38003192.263751768</v>
      </c>
      <c r="K430" s="1">
        <v>38003192.263751768</v>
      </c>
      <c r="L430" s="1">
        <v>38003192.263751768</v>
      </c>
      <c r="M430" s="1">
        <v>70000000</v>
      </c>
      <c r="N430" s="1">
        <v>70000000</v>
      </c>
      <c r="O430" s="1">
        <v>133817656.23624828</v>
      </c>
      <c r="P430" s="1">
        <v>133817656.23624828</v>
      </c>
      <c r="Q430" s="1">
        <v>24906173.177186176</v>
      </c>
      <c r="R430" s="1">
        <v>24906173.177186176</v>
      </c>
      <c r="S430" s="1">
        <v>68364185.531558439</v>
      </c>
      <c r="T430" s="1">
        <v>68364185.531558439</v>
      </c>
      <c r="U430" s="1">
        <v>4987500</v>
      </c>
      <c r="V430" s="1">
        <v>4987500</v>
      </c>
      <c r="W430" s="4">
        <f t="shared" si="19"/>
        <v>454088283.99999988</v>
      </c>
      <c r="X430" s="4">
        <f t="shared" si="20"/>
        <v>454088283.99999988</v>
      </c>
      <c r="Y430" s="5">
        <f t="shared" si="21"/>
        <v>0.98576675208208953</v>
      </c>
    </row>
    <row r="431" spans="1:25" x14ac:dyDescent="0.25">
      <c r="A431" s="1" t="s">
        <v>95</v>
      </c>
      <c r="B431" s="1" t="s">
        <v>43</v>
      </c>
      <c r="C431" s="1" t="s">
        <v>31</v>
      </c>
      <c r="D431" s="1">
        <v>7102089</v>
      </c>
      <c r="E431" s="1">
        <v>412549.01498708915</v>
      </c>
      <c r="F431" s="1">
        <v>412549.01498708915</v>
      </c>
      <c r="G431" s="1">
        <v>515686.26873386139</v>
      </c>
      <c r="H431" s="1">
        <v>515686.26873386139</v>
      </c>
      <c r="I431" s="1">
        <v>515686.26873386139</v>
      </c>
      <c r="J431" s="1">
        <v>515686.26873386139</v>
      </c>
      <c r="K431" s="1">
        <v>515686.26873386139</v>
      </c>
      <c r="L431" s="1">
        <v>515686.26873386139</v>
      </c>
      <c r="M431" s="1">
        <v>383451.19766622229</v>
      </c>
      <c r="N431" s="1">
        <v>383451.19766622229</v>
      </c>
      <c r="O431" s="1">
        <v>319542.66472185194</v>
      </c>
      <c r="P431" s="1">
        <v>319542.66472185194</v>
      </c>
      <c r="Q431" s="1">
        <v>396022.63327104039</v>
      </c>
      <c r="R431" s="1">
        <v>396022.63327104039</v>
      </c>
      <c r="S431" s="1">
        <v>447359.7306105927</v>
      </c>
      <c r="T431" s="1">
        <v>447359.7306105927</v>
      </c>
      <c r="U431" s="1">
        <v>447359.7306105927</v>
      </c>
      <c r="V431" s="1">
        <v>447359.7306105927</v>
      </c>
      <c r="W431" s="4">
        <f t="shared" si="19"/>
        <v>3953343.7780689732</v>
      </c>
      <c r="X431" s="4">
        <f t="shared" si="20"/>
        <v>3953343.7780689732</v>
      </c>
      <c r="Y431" s="5">
        <f t="shared" si="21"/>
        <v>0.55664520369555681</v>
      </c>
    </row>
    <row r="432" spans="1:25" x14ac:dyDescent="0.25">
      <c r="A432" s="1" t="s">
        <v>95</v>
      </c>
      <c r="B432" s="1" t="s">
        <v>64</v>
      </c>
      <c r="C432" s="1" t="s">
        <v>23</v>
      </c>
      <c r="D432" s="1">
        <v>7145736.7195929913</v>
      </c>
      <c r="E432" s="1">
        <v>471618.62349313754</v>
      </c>
      <c r="F432" s="1">
        <v>471618.62349313754</v>
      </c>
      <c r="G432" s="1">
        <v>589523.27936642186</v>
      </c>
      <c r="H432" s="1">
        <v>589523.27936642186</v>
      </c>
      <c r="I432" s="1">
        <v>589523.27936642186</v>
      </c>
      <c r="J432" s="1">
        <v>589523.27936642186</v>
      </c>
      <c r="K432" s="1">
        <v>589523.27936642186</v>
      </c>
      <c r="L432" s="1">
        <v>589523.27936642186</v>
      </c>
      <c r="M432" s="1">
        <v>359073.2701595478</v>
      </c>
      <c r="N432" s="1">
        <v>359073.2701595478</v>
      </c>
      <c r="O432" s="1">
        <v>299227.72513295652</v>
      </c>
      <c r="P432" s="1">
        <v>299227.72513295652</v>
      </c>
      <c r="Q432" s="1">
        <v>418918.81518613908</v>
      </c>
      <c r="R432" s="1">
        <v>418918.81518613908</v>
      </c>
      <c r="S432" s="1">
        <v>418918.81518613908</v>
      </c>
      <c r="T432" s="1">
        <v>418918.81518613908</v>
      </c>
      <c r="U432" s="1">
        <v>418918.81518613908</v>
      </c>
      <c r="V432" s="1">
        <v>418918.81518613908</v>
      </c>
      <c r="W432" s="4">
        <f t="shared" si="19"/>
        <v>4155245.9024433251</v>
      </c>
      <c r="X432" s="4">
        <f t="shared" si="20"/>
        <v>4155245.9024433251</v>
      </c>
      <c r="Y432" s="5">
        <f t="shared" si="21"/>
        <v>0.58150000000000013</v>
      </c>
    </row>
    <row r="433" spans="1:25" x14ac:dyDescent="0.25">
      <c r="A433" s="1" t="s">
        <v>95</v>
      </c>
      <c r="B433" s="1" t="s">
        <v>65</v>
      </c>
      <c r="C433" s="1" t="s">
        <v>31</v>
      </c>
      <c r="D433" s="1">
        <v>12387052.413270088</v>
      </c>
      <c r="E433" s="1">
        <v>817545.45927582588</v>
      </c>
      <c r="F433" s="1">
        <v>817545.45927582588</v>
      </c>
      <c r="G433" s="1">
        <v>1021931.8240947824</v>
      </c>
      <c r="H433" s="1">
        <v>1021931.8240947824</v>
      </c>
      <c r="I433" s="1">
        <v>1021931.8240947824</v>
      </c>
      <c r="J433" s="1">
        <v>1021931.8240947824</v>
      </c>
      <c r="K433" s="1">
        <v>1021931.8240947824</v>
      </c>
      <c r="L433" s="1">
        <v>1021931.8240947824</v>
      </c>
      <c r="M433" s="1">
        <v>622449.38376682182</v>
      </c>
      <c r="N433" s="1">
        <v>622449.38376682182</v>
      </c>
      <c r="O433" s="1">
        <v>518707.81980568491</v>
      </c>
      <c r="P433" s="1">
        <v>518707.81980568491</v>
      </c>
      <c r="Q433" s="1">
        <v>726190.94772795879</v>
      </c>
      <c r="R433" s="1">
        <v>726190.94772795879</v>
      </c>
      <c r="S433" s="1">
        <v>726190.94772795879</v>
      </c>
      <c r="T433" s="1">
        <v>726190.94772795879</v>
      </c>
      <c r="U433" s="1">
        <v>726190.94772795879</v>
      </c>
      <c r="V433" s="1">
        <v>726190.94772795879</v>
      </c>
      <c r="W433" s="4">
        <f t="shared" si="19"/>
        <v>7203070.9783165567</v>
      </c>
      <c r="X433" s="4">
        <f t="shared" si="20"/>
        <v>7203070.9783165567</v>
      </c>
      <c r="Y433" s="5">
        <f t="shared" si="21"/>
        <v>0.58150000000000002</v>
      </c>
    </row>
    <row r="434" spans="1:25" x14ac:dyDescent="0.25">
      <c r="A434" s="1" t="s">
        <v>95</v>
      </c>
      <c r="B434" s="1" t="s">
        <v>44</v>
      </c>
      <c r="C434" s="1" t="s">
        <v>45</v>
      </c>
      <c r="D434" s="1">
        <v>11434502.200064346</v>
      </c>
      <c r="E434" s="1">
        <v>754677.14520424698</v>
      </c>
      <c r="F434" s="1">
        <v>754677.14520424698</v>
      </c>
      <c r="G434" s="1">
        <v>943346.4315053086</v>
      </c>
      <c r="H434" s="1">
        <v>943346.4315053086</v>
      </c>
      <c r="I434" s="1">
        <v>943346.4315053086</v>
      </c>
      <c r="J434" s="1">
        <v>943346.4315053086</v>
      </c>
      <c r="K434" s="1">
        <v>943346.4315053086</v>
      </c>
      <c r="L434" s="1">
        <v>943346.4315053086</v>
      </c>
      <c r="M434" s="1">
        <v>574583.73555323319</v>
      </c>
      <c r="N434" s="1">
        <v>574583.73555323319</v>
      </c>
      <c r="O434" s="1">
        <v>478819.77962769434</v>
      </c>
      <c r="P434" s="1">
        <v>478819.77962769434</v>
      </c>
      <c r="Q434" s="1">
        <v>670347.69147877209</v>
      </c>
      <c r="R434" s="1">
        <v>670347.69147877209</v>
      </c>
      <c r="S434" s="1">
        <v>670347.69147877209</v>
      </c>
      <c r="T434" s="1">
        <v>670347.69147877209</v>
      </c>
      <c r="U434" s="1">
        <v>670347.69147877209</v>
      </c>
      <c r="V434" s="1">
        <v>670347.69147877209</v>
      </c>
      <c r="W434" s="4">
        <f t="shared" si="19"/>
        <v>6649163.0293374164</v>
      </c>
      <c r="X434" s="4">
        <f t="shared" si="20"/>
        <v>6649163.0293374164</v>
      </c>
      <c r="Y434" s="5">
        <f t="shared" si="21"/>
        <v>0.58149999999999991</v>
      </c>
    </row>
    <row r="435" spans="1:25" x14ac:dyDescent="0.25">
      <c r="A435" s="1" t="s">
        <v>95</v>
      </c>
      <c r="B435" s="1" t="s">
        <v>46</v>
      </c>
      <c r="C435" s="1" t="s">
        <v>22</v>
      </c>
      <c r="D435" s="1">
        <v>141677849.86056554</v>
      </c>
      <c r="E435" s="1">
        <v>9359497.1832384337</v>
      </c>
      <c r="F435" s="1">
        <v>9359497.1832384337</v>
      </c>
      <c r="G435" s="1">
        <v>11699371.479048042</v>
      </c>
      <c r="H435" s="1">
        <v>11699371.479048042</v>
      </c>
      <c r="I435" s="1">
        <v>11699371.479048042</v>
      </c>
      <c r="J435" s="1">
        <v>11699371.479048042</v>
      </c>
      <c r="K435" s="1">
        <v>11699371.479048042</v>
      </c>
      <c r="L435" s="1">
        <v>11699371.479048042</v>
      </c>
      <c r="M435" s="1">
        <v>7340970.9458810547</v>
      </c>
      <c r="N435" s="1">
        <v>7340970.9458810547</v>
      </c>
      <c r="O435" s="1">
        <v>5969600.4545151005</v>
      </c>
      <c r="P435" s="1">
        <v>5969600.4545151005</v>
      </c>
      <c r="Q435" s="1">
        <v>8264541.248972482</v>
      </c>
      <c r="R435" s="1">
        <v>8264541.248972482</v>
      </c>
      <c r="S435" s="1">
        <v>8264541.248972482</v>
      </c>
      <c r="T435" s="1">
        <v>8264541.248972482</v>
      </c>
      <c r="U435" s="1">
        <v>8264541.248972482</v>
      </c>
      <c r="V435" s="1">
        <v>8264541.248972482</v>
      </c>
      <c r="W435" s="4">
        <f t="shared" si="19"/>
        <v>82561806.767696157</v>
      </c>
      <c r="X435" s="4">
        <f t="shared" si="20"/>
        <v>82561806.767696157</v>
      </c>
      <c r="Y435" s="5">
        <f t="shared" si="21"/>
        <v>0.58274322238056719</v>
      </c>
    </row>
    <row r="436" spans="1:25" x14ac:dyDescent="0.25">
      <c r="A436" s="1" t="s">
        <v>95</v>
      </c>
      <c r="B436" s="1" t="s">
        <v>98</v>
      </c>
      <c r="C436" s="1" t="s">
        <v>24</v>
      </c>
      <c r="D436" s="1">
        <v>158383072.61084571</v>
      </c>
      <c r="E436" s="1">
        <v>13066603.490394773</v>
      </c>
      <c r="F436" s="1">
        <v>13066603.490394773</v>
      </c>
      <c r="G436" s="1">
        <v>13066603.490394773</v>
      </c>
      <c r="H436" s="1">
        <v>13066603.490394773</v>
      </c>
      <c r="I436" s="1">
        <v>23066603.490394801</v>
      </c>
      <c r="J436" s="1">
        <v>23066603.490394801</v>
      </c>
      <c r="K436" s="1">
        <v>3066603.4903948</v>
      </c>
      <c r="L436" s="1">
        <v>3066603.4903948</v>
      </c>
      <c r="M436" s="1">
        <v>27408036.278420899</v>
      </c>
      <c r="N436" s="1">
        <v>27408036.278420899</v>
      </c>
      <c r="O436" s="1">
        <v>14371086.25</v>
      </c>
      <c r="P436" s="1">
        <v>14371086.25</v>
      </c>
      <c r="Q436" s="1">
        <v>12036464.58</v>
      </c>
      <c r="R436" s="1">
        <v>12036464.58</v>
      </c>
      <c r="S436" s="1">
        <v>13040649.83</v>
      </c>
      <c r="T436" s="1">
        <v>13040649.83</v>
      </c>
      <c r="U436" s="1">
        <v>12295909.08</v>
      </c>
      <c r="V436" s="1">
        <v>12295909.08</v>
      </c>
      <c r="W436" s="4">
        <f t="shared" si="19"/>
        <v>131418559.98000005</v>
      </c>
      <c r="X436" s="4">
        <f t="shared" si="20"/>
        <v>131418559.98000005</v>
      </c>
      <c r="Y436" s="5">
        <f t="shared" si="21"/>
        <v>0.82975129736813047</v>
      </c>
    </row>
    <row r="437" spans="1:25" x14ac:dyDescent="0.25">
      <c r="A437" s="1" t="s">
        <v>95</v>
      </c>
      <c r="B437" s="1" t="s">
        <v>99</v>
      </c>
      <c r="C437" s="1" t="s">
        <v>24</v>
      </c>
      <c r="D437" s="1">
        <v>310995753.07757747</v>
      </c>
      <c r="E437" s="1">
        <v>25657149.628900144</v>
      </c>
      <c r="F437" s="1">
        <v>25657149.628900144</v>
      </c>
      <c r="G437" s="1">
        <v>25657149.628900144</v>
      </c>
      <c r="H437" s="1">
        <v>25657149.628900144</v>
      </c>
      <c r="I437" s="1">
        <v>35657149.628900103</v>
      </c>
      <c r="J437" s="1">
        <v>35657149.628900103</v>
      </c>
      <c r="K437" s="1">
        <v>15657149.6289001</v>
      </c>
      <c r="L437" s="1">
        <v>15657149.6289001</v>
      </c>
      <c r="M437" s="1">
        <v>45211296.484399401</v>
      </c>
      <c r="N437" s="1">
        <v>45211296.484399401</v>
      </c>
      <c r="O437" s="1">
        <v>25350878</v>
      </c>
      <c r="P437" s="1">
        <v>25350878</v>
      </c>
      <c r="Q437" s="1">
        <v>25337080</v>
      </c>
      <c r="R437" s="1">
        <v>25337080</v>
      </c>
      <c r="S437" s="1">
        <v>26944150</v>
      </c>
      <c r="T437" s="1">
        <v>26944150</v>
      </c>
      <c r="U437" s="1">
        <v>24261750</v>
      </c>
      <c r="V437" s="1">
        <v>24261750</v>
      </c>
      <c r="W437" s="4">
        <f t="shared" si="19"/>
        <v>249733752.99999991</v>
      </c>
      <c r="X437" s="4">
        <f t="shared" si="20"/>
        <v>249733752.99999991</v>
      </c>
      <c r="Y437" s="5">
        <f t="shared" si="21"/>
        <v>0.80301338693105617</v>
      </c>
    </row>
    <row r="438" spans="1:25" x14ac:dyDescent="0.25">
      <c r="A438" s="1" t="s">
        <v>95</v>
      </c>
      <c r="B438" s="1" t="s">
        <v>67</v>
      </c>
      <c r="C438" s="1" t="s">
        <v>68</v>
      </c>
      <c r="D438" s="1">
        <v>11061752.304765295</v>
      </c>
      <c r="E438" s="1">
        <v>730075.6521145096</v>
      </c>
      <c r="F438" s="1">
        <v>730075.6521145096</v>
      </c>
      <c r="G438" s="1">
        <v>912594.56514313689</v>
      </c>
      <c r="H438" s="1">
        <v>912594.56514313689</v>
      </c>
      <c r="I438" s="1">
        <v>912594.56514313689</v>
      </c>
      <c r="J438" s="1">
        <v>912594.56514313689</v>
      </c>
      <c r="K438" s="1">
        <v>912594.56514313689</v>
      </c>
      <c r="L438" s="1">
        <v>912594.56514313689</v>
      </c>
      <c r="M438" s="1">
        <v>575211.11984779511</v>
      </c>
      <c r="N438" s="1">
        <v>575211.11984779511</v>
      </c>
      <c r="O438" s="1">
        <v>460906.34603188728</v>
      </c>
      <c r="P438" s="1">
        <v>460906.34603188728</v>
      </c>
      <c r="Q438" s="1">
        <v>645268.88444464211</v>
      </c>
      <c r="R438" s="1">
        <v>645268.88444464211</v>
      </c>
      <c r="S438" s="1">
        <v>645268.88444464211</v>
      </c>
      <c r="T438" s="1">
        <v>645268.88444464211</v>
      </c>
      <c r="U438" s="1">
        <v>645268.88444464211</v>
      </c>
      <c r="V438" s="1">
        <v>645268.88444464211</v>
      </c>
      <c r="W438" s="4">
        <f t="shared" si="19"/>
        <v>6439783.4667575294</v>
      </c>
      <c r="X438" s="4">
        <f t="shared" si="20"/>
        <v>6439783.4667575294</v>
      </c>
      <c r="Y438" s="5">
        <f t="shared" si="21"/>
        <v>0.58216666666666672</v>
      </c>
    </row>
    <row r="439" spans="1:25" x14ac:dyDescent="0.25">
      <c r="A439" s="1" t="s">
        <v>95</v>
      </c>
      <c r="B439" s="1" t="s">
        <v>69</v>
      </c>
      <c r="C439" s="1" t="s">
        <v>28</v>
      </c>
      <c r="D439" s="1">
        <v>18047887.837086983</v>
      </c>
      <c r="E439" s="1">
        <v>1191160.597247741</v>
      </c>
      <c r="F439" s="1">
        <v>1191160.597247741</v>
      </c>
      <c r="G439" s="1">
        <v>1488950.7465596762</v>
      </c>
      <c r="H439" s="1">
        <v>1488950.7465596762</v>
      </c>
      <c r="I439" s="1">
        <v>1488950.7465596762</v>
      </c>
      <c r="J439" s="1">
        <v>1488950.7465596762</v>
      </c>
      <c r="K439" s="1">
        <v>1488950.7465596762</v>
      </c>
      <c r="L439" s="1">
        <v>1488950.7465596762</v>
      </c>
      <c r="M439" s="1">
        <v>906906.36381362088</v>
      </c>
      <c r="N439" s="1">
        <v>906906.36381362088</v>
      </c>
      <c r="O439" s="1">
        <v>755755.30317801738</v>
      </c>
      <c r="P439" s="1">
        <v>755755.30317801738</v>
      </c>
      <c r="Q439" s="1">
        <v>1058057.4244492243</v>
      </c>
      <c r="R439" s="1">
        <v>1058057.4244492243</v>
      </c>
      <c r="S439" s="1">
        <v>1058057.4244492243</v>
      </c>
      <c r="T439" s="1">
        <v>1058057.4244492243</v>
      </c>
      <c r="U439" s="1">
        <v>1058057.4244492243</v>
      </c>
      <c r="V439" s="1">
        <v>1058057.4244492243</v>
      </c>
      <c r="W439" s="4">
        <f t="shared" si="19"/>
        <v>10494846.77726608</v>
      </c>
      <c r="X439" s="4">
        <f t="shared" si="20"/>
        <v>10494846.77726608</v>
      </c>
      <c r="Y439" s="5">
        <f t="shared" si="21"/>
        <v>0.58149999999999991</v>
      </c>
    </row>
    <row r="440" spans="1:25" x14ac:dyDescent="0.25">
      <c r="A440" s="1" t="s">
        <v>95</v>
      </c>
      <c r="B440" s="1" t="s">
        <v>70</v>
      </c>
      <c r="C440" s="1" t="s">
        <v>23</v>
      </c>
      <c r="D440" s="1">
        <v>8268750.0182812503</v>
      </c>
      <c r="E440" s="1">
        <v>545737.50120656262</v>
      </c>
      <c r="F440" s="1">
        <v>545737.50120656262</v>
      </c>
      <c r="G440" s="1">
        <v>682171.87650820322</v>
      </c>
      <c r="H440" s="1">
        <v>682171.87650820322</v>
      </c>
      <c r="I440" s="1">
        <v>682171.87650820322</v>
      </c>
      <c r="J440" s="1">
        <v>682171.87650820322</v>
      </c>
      <c r="K440" s="1">
        <v>682171.87650820322</v>
      </c>
      <c r="L440" s="1">
        <v>682171.87650820322</v>
      </c>
      <c r="M440" s="1">
        <v>415504.68841863284</v>
      </c>
      <c r="N440" s="1">
        <v>415504.68841863284</v>
      </c>
      <c r="O440" s="1">
        <v>346253.90701552737</v>
      </c>
      <c r="P440" s="1">
        <v>346253.90701552737</v>
      </c>
      <c r="Q440" s="1">
        <v>484755.46982173825</v>
      </c>
      <c r="R440" s="1">
        <v>484755.46982173825</v>
      </c>
      <c r="S440" s="1">
        <v>484755.46982173825</v>
      </c>
      <c r="T440" s="1">
        <v>484755.46982173825</v>
      </c>
      <c r="U440" s="1">
        <v>484755.46982173825</v>
      </c>
      <c r="V440" s="1">
        <v>484755.46982173825</v>
      </c>
      <c r="W440" s="4">
        <f t="shared" si="19"/>
        <v>4808278.135630548</v>
      </c>
      <c r="X440" s="4">
        <f t="shared" si="20"/>
        <v>4808278.135630548</v>
      </c>
      <c r="Y440" s="5">
        <f t="shared" si="21"/>
        <v>0.58150000000000013</v>
      </c>
    </row>
    <row r="441" spans="1:25" x14ac:dyDescent="0.25">
      <c r="A441" s="1" t="s">
        <v>95</v>
      </c>
      <c r="B441" s="1" t="s">
        <v>71</v>
      </c>
      <c r="C441" s="1" t="s">
        <v>29</v>
      </c>
      <c r="D441" s="1">
        <v>7923132.242307689</v>
      </c>
      <c r="E441" s="1">
        <v>522926.72799230751</v>
      </c>
      <c r="F441" s="1">
        <v>522926.72799230751</v>
      </c>
      <c r="G441" s="1">
        <v>653658.40999038436</v>
      </c>
      <c r="H441" s="1">
        <v>653658.40999038436</v>
      </c>
      <c r="I441" s="1">
        <v>653658.40999038436</v>
      </c>
      <c r="J441" s="1">
        <v>653658.40999038436</v>
      </c>
      <c r="K441" s="1">
        <v>653658.40999038436</v>
      </c>
      <c r="L441" s="1">
        <v>653658.40999038436</v>
      </c>
      <c r="M441" s="1">
        <v>398137.39517596137</v>
      </c>
      <c r="N441" s="1">
        <v>398137.39517596137</v>
      </c>
      <c r="O441" s="1">
        <v>331781.1626466345</v>
      </c>
      <c r="P441" s="1">
        <v>331781.1626466345</v>
      </c>
      <c r="Q441" s="1">
        <v>464493.62770528829</v>
      </c>
      <c r="R441" s="1">
        <v>464493.62770528829</v>
      </c>
      <c r="S441" s="1">
        <v>464493.62770528829</v>
      </c>
      <c r="T441" s="1">
        <v>464493.62770528829</v>
      </c>
      <c r="U441" s="1">
        <v>464493.62770528829</v>
      </c>
      <c r="V441" s="1">
        <v>464493.62770528829</v>
      </c>
      <c r="W441" s="4">
        <f t="shared" si="19"/>
        <v>4607301.3989019208</v>
      </c>
      <c r="X441" s="4">
        <f t="shared" si="20"/>
        <v>4607301.3989019208</v>
      </c>
      <c r="Y441" s="5">
        <f t="shared" si="21"/>
        <v>0.58149999999999991</v>
      </c>
    </row>
    <row r="442" spans="1:25" x14ac:dyDescent="0.25">
      <c r="A442" s="1" t="s">
        <v>95</v>
      </c>
      <c r="B442" s="1" t="s">
        <v>72</v>
      </c>
      <c r="C442" s="1" t="s">
        <v>73</v>
      </c>
      <c r="D442" s="1">
        <v>13980385.439206261</v>
      </c>
      <c r="E442" s="1">
        <v>922705.43898761331</v>
      </c>
      <c r="F442" s="1">
        <v>922705.43898761331</v>
      </c>
      <c r="G442" s="1">
        <v>1153381.7987345166</v>
      </c>
      <c r="H442" s="1">
        <v>1153381.7987345166</v>
      </c>
      <c r="I442" s="1">
        <v>1153381.7987345166</v>
      </c>
      <c r="J442" s="1">
        <v>1153381.7987345166</v>
      </c>
      <c r="K442" s="1">
        <v>1153381.7987345166</v>
      </c>
      <c r="L442" s="1">
        <v>1153381.7987345166</v>
      </c>
      <c r="M442" s="1">
        <v>702514.36832011456</v>
      </c>
      <c r="N442" s="1">
        <v>702514.36832011456</v>
      </c>
      <c r="O442" s="1">
        <v>585428.64026676212</v>
      </c>
      <c r="P442" s="1">
        <v>585428.64026676212</v>
      </c>
      <c r="Q442" s="1">
        <v>819600.09637346689</v>
      </c>
      <c r="R442" s="1">
        <v>819600.09637346689</v>
      </c>
      <c r="S442" s="1">
        <v>819600.09637346689</v>
      </c>
      <c r="T442" s="1">
        <v>819600.09637346689</v>
      </c>
      <c r="U442" s="1">
        <v>819600.09637346689</v>
      </c>
      <c r="V442" s="1">
        <v>819600.09637346689</v>
      </c>
      <c r="W442" s="4">
        <f t="shared" si="19"/>
        <v>8129594.1328984415</v>
      </c>
      <c r="X442" s="4">
        <f t="shared" si="20"/>
        <v>8129594.1328984415</v>
      </c>
      <c r="Y442" s="5">
        <f t="shared" si="21"/>
        <v>0.58150000000000002</v>
      </c>
    </row>
    <row r="443" spans="1:25" x14ac:dyDescent="0.25">
      <c r="A443" s="1" t="s">
        <v>95</v>
      </c>
      <c r="B443" s="1" t="s">
        <v>48</v>
      </c>
      <c r="C443" s="1" t="s">
        <v>49</v>
      </c>
      <c r="D443" s="1">
        <v>8060786.4190023541</v>
      </c>
      <c r="E443" s="1">
        <v>532011.90365415544</v>
      </c>
      <c r="F443" s="1">
        <v>532011.90365415544</v>
      </c>
      <c r="G443" s="1">
        <v>665014.87956769427</v>
      </c>
      <c r="H443" s="1">
        <v>665014.87956769427</v>
      </c>
      <c r="I443" s="1">
        <v>665014.87956769427</v>
      </c>
      <c r="J443" s="1">
        <v>665014.87956769427</v>
      </c>
      <c r="K443" s="1">
        <v>665014.87956769427</v>
      </c>
      <c r="L443" s="1">
        <v>665014.87956769427</v>
      </c>
      <c r="M443" s="1">
        <v>405054.51755486836</v>
      </c>
      <c r="N443" s="1">
        <v>405054.51755486836</v>
      </c>
      <c r="O443" s="1">
        <v>337545.43129572365</v>
      </c>
      <c r="P443" s="1">
        <v>337545.43129572365</v>
      </c>
      <c r="Q443" s="1">
        <v>472563.60381401307</v>
      </c>
      <c r="R443" s="1">
        <v>472563.60381401307</v>
      </c>
      <c r="S443" s="1">
        <v>472563.60381401307</v>
      </c>
      <c r="T443" s="1">
        <v>472563.60381401307</v>
      </c>
      <c r="U443" s="1">
        <v>472563.60381401307</v>
      </c>
      <c r="V443" s="1">
        <v>472563.60381401307</v>
      </c>
      <c r="W443" s="4">
        <f t="shared" si="19"/>
        <v>4687347.3026498696</v>
      </c>
      <c r="X443" s="4">
        <f t="shared" si="20"/>
        <v>4687347.3026498696</v>
      </c>
      <c r="Y443" s="5">
        <f t="shared" si="21"/>
        <v>0.58150000000000013</v>
      </c>
    </row>
    <row r="444" spans="1:25" x14ac:dyDescent="0.25">
      <c r="A444" s="1" t="s">
        <v>95</v>
      </c>
      <c r="B444" s="1" t="s">
        <v>53</v>
      </c>
      <c r="C444" s="1" t="s">
        <v>30</v>
      </c>
      <c r="D444" s="1">
        <v>3286014.9262045384</v>
      </c>
      <c r="E444" s="1">
        <v>216876.98512949955</v>
      </c>
      <c r="F444" s="1">
        <v>216876.98512949955</v>
      </c>
      <c r="G444" s="1">
        <v>271096.23141187441</v>
      </c>
      <c r="H444" s="1">
        <v>271096.23141187441</v>
      </c>
      <c r="I444" s="1">
        <v>271096.23141187441</v>
      </c>
      <c r="J444" s="1">
        <v>271096.23141187441</v>
      </c>
      <c r="K444" s="1">
        <v>271096.23141187441</v>
      </c>
      <c r="L444" s="1">
        <v>271096.23141187441</v>
      </c>
      <c r="M444" s="1">
        <v>165122.25004177805</v>
      </c>
      <c r="N444" s="1">
        <v>165122.25004177805</v>
      </c>
      <c r="O444" s="1">
        <v>137601.87503481505</v>
      </c>
      <c r="P444" s="1">
        <v>137601.87503481505</v>
      </c>
      <c r="Q444" s="1">
        <v>192642.62504874106</v>
      </c>
      <c r="R444" s="1">
        <v>192642.62504874106</v>
      </c>
      <c r="S444" s="1">
        <v>192642.62504874106</v>
      </c>
      <c r="T444" s="1">
        <v>192642.62504874106</v>
      </c>
      <c r="U444" s="1">
        <v>192642.62504874106</v>
      </c>
      <c r="V444" s="1">
        <v>192642.62504874106</v>
      </c>
      <c r="W444" s="4">
        <f t="shared" si="19"/>
        <v>1910817.6795879391</v>
      </c>
      <c r="X444" s="4">
        <f t="shared" si="20"/>
        <v>1910817.6795879391</v>
      </c>
      <c r="Y444" s="5">
        <f t="shared" si="21"/>
        <v>0.58150000000000002</v>
      </c>
    </row>
    <row r="445" spans="1:25" x14ac:dyDescent="0.25">
      <c r="A445" s="1" t="s">
        <v>95</v>
      </c>
      <c r="B445" s="1" t="s">
        <v>74</v>
      </c>
      <c r="C445" s="1" t="s">
        <v>75</v>
      </c>
      <c r="D445" s="1">
        <v>8324784.2064751815</v>
      </c>
      <c r="E445" s="1">
        <v>549435.75762736204</v>
      </c>
      <c r="F445" s="1">
        <v>549435.75762736204</v>
      </c>
      <c r="G445" s="1">
        <v>686794.69703420252</v>
      </c>
      <c r="H445" s="1">
        <v>686794.69703420252</v>
      </c>
      <c r="I445" s="1">
        <v>686794.69703420252</v>
      </c>
      <c r="J445" s="1">
        <v>686794.69703420252</v>
      </c>
      <c r="K445" s="1">
        <v>686794.69703420252</v>
      </c>
      <c r="L445" s="1">
        <v>686794.69703420252</v>
      </c>
      <c r="M445" s="1">
        <v>418320.40637537785</v>
      </c>
      <c r="N445" s="1">
        <v>418320.40637537785</v>
      </c>
      <c r="O445" s="1">
        <v>348600.33864614822</v>
      </c>
      <c r="P445" s="1">
        <v>348600.33864614822</v>
      </c>
      <c r="Q445" s="1">
        <v>488040.47410460748</v>
      </c>
      <c r="R445" s="1">
        <v>488040.47410460748</v>
      </c>
      <c r="S445" s="1">
        <v>488040.47410460748</v>
      </c>
      <c r="T445" s="1">
        <v>488040.47410460748</v>
      </c>
      <c r="U445" s="1">
        <v>488040.47410460748</v>
      </c>
      <c r="V445" s="1">
        <v>488040.47410460748</v>
      </c>
      <c r="W445" s="4">
        <f t="shared" si="19"/>
        <v>4840862.0160653181</v>
      </c>
      <c r="X445" s="4">
        <f t="shared" si="20"/>
        <v>4840862.0160653181</v>
      </c>
      <c r="Y445" s="5">
        <f t="shared" si="21"/>
        <v>0.58150000000000002</v>
      </c>
    </row>
    <row r="446" spans="1:25" x14ac:dyDescent="0.25">
      <c r="A446" s="1" t="s">
        <v>95</v>
      </c>
      <c r="B446" s="1" t="s">
        <v>50</v>
      </c>
      <c r="C446" s="1" t="s">
        <v>25</v>
      </c>
      <c r="D446" s="1">
        <v>8463825.7399524692</v>
      </c>
      <c r="E446" s="1">
        <v>558612.49883686309</v>
      </c>
      <c r="F446" s="1">
        <v>558612.49883686309</v>
      </c>
      <c r="G446" s="1">
        <v>698265.6235460788</v>
      </c>
      <c r="H446" s="1">
        <v>698265.6235460788</v>
      </c>
      <c r="I446" s="1">
        <v>698265.6235460788</v>
      </c>
      <c r="J446" s="1">
        <v>698265.6235460788</v>
      </c>
      <c r="K446" s="1">
        <v>698265.6235460788</v>
      </c>
      <c r="L446" s="1">
        <v>698265.6235460788</v>
      </c>
      <c r="M446" s="1">
        <v>425307.24343261152</v>
      </c>
      <c r="N446" s="1">
        <v>425307.24343261152</v>
      </c>
      <c r="O446" s="1">
        <v>354422.70286050963</v>
      </c>
      <c r="P446" s="1">
        <v>354422.70286050963</v>
      </c>
      <c r="Q446" s="1">
        <v>496191.78400471347</v>
      </c>
      <c r="R446" s="1">
        <v>496191.78400471347</v>
      </c>
      <c r="S446" s="1">
        <v>496191.78400471347</v>
      </c>
      <c r="T446" s="1">
        <v>496191.78400471347</v>
      </c>
      <c r="U446" s="1">
        <v>496191.78400471347</v>
      </c>
      <c r="V446" s="1">
        <v>496191.78400471347</v>
      </c>
      <c r="W446" s="4">
        <f t="shared" si="19"/>
        <v>4921714.6677823616</v>
      </c>
      <c r="X446" s="4">
        <f t="shared" si="20"/>
        <v>4921714.6677823616</v>
      </c>
      <c r="Y446" s="5">
        <f t="shared" si="21"/>
        <v>0.58150000000000013</v>
      </c>
    </row>
    <row r="447" spans="1:25" x14ac:dyDescent="0.25">
      <c r="A447" s="1" t="s">
        <v>100</v>
      </c>
      <c r="B447" s="1" t="s">
        <v>59</v>
      </c>
      <c r="C447" s="1" t="s">
        <v>26</v>
      </c>
      <c r="D447" s="1">
        <v>35101944.600000001</v>
      </c>
      <c r="E447" s="1">
        <v>3388898.3517532707</v>
      </c>
      <c r="F447" s="1">
        <v>3388898.3517532707</v>
      </c>
      <c r="G447" s="1">
        <v>4236122.9396915883</v>
      </c>
      <c r="H447" s="1">
        <v>4236122.9396915883</v>
      </c>
      <c r="I447" s="1">
        <v>4236122.9396915883</v>
      </c>
      <c r="J447" s="1">
        <v>4236122.9396915883</v>
      </c>
      <c r="K447" s="1">
        <v>4236122.9396915883</v>
      </c>
      <c r="L447" s="1">
        <v>4236122.9396915883</v>
      </c>
      <c r="M447" s="1">
        <v>2269681.605154206</v>
      </c>
      <c r="N447" s="1">
        <v>2269681.605154206</v>
      </c>
      <c r="O447" s="1">
        <v>2269681.605154206</v>
      </c>
      <c r="P447" s="1">
        <v>2269681.605154206</v>
      </c>
      <c r="Q447" s="1">
        <v>2269681.605154206</v>
      </c>
      <c r="R447" s="1">
        <v>2269681.605154206</v>
      </c>
      <c r="S447" s="1">
        <v>2269681.605154206</v>
      </c>
      <c r="T447" s="1">
        <v>2269681.605154206</v>
      </c>
      <c r="U447" s="1">
        <v>2269681.605154206</v>
      </c>
      <c r="V447" s="1">
        <v>2269681.605154206</v>
      </c>
      <c r="W447" s="4">
        <f t="shared" si="19"/>
        <v>27445675.196599066</v>
      </c>
      <c r="X447" s="4">
        <f t="shared" si="20"/>
        <v>27445675.196599066</v>
      </c>
      <c r="Y447" s="5">
        <f t="shared" si="21"/>
        <v>0.78188475052744133</v>
      </c>
    </row>
    <row r="448" spans="1:25" x14ac:dyDescent="0.25">
      <c r="A448" s="1" t="s">
        <v>100</v>
      </c>
      <c r="B448" s="1" t="s">
        <v>60</v>
      </c>
      <c r="C448" s="1" t="s">
        <v>26</v>
      </c>
      <c r="D448" s="1">
        <v>16245000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8122500</v>
      </c>
      <c r="N448" s="1">
        <v>8122500</v>
      </c>
      <c r="O448" s="1">
        <v>8122500</v>
      </c>
      <c r="P448" s="1">
        <v>8122500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4">
        <f t="shared" si="19"/>
        <v>16245000</v>
      </c>
      <c r="X448" s="4">
        <f t="shared" si="20"/>
        <v>16245000</v>
      </c>
      <c r="Y448" s="5">
        <f t="shared" si="21"/>
        <v>1</v>
      </c>
    </row>
    <row r="449" spans="1:25" x14ac:dyDescent="0.25">
      <c r="A449" s="1" t="s">
        <v>100</v>
      </c>
      <c r="B449" s="1" t="s">
        <v>33</v>
      </c>
      <c r="C449" s="1" t="s">
        <v>34</v>
      </c>
      <c r="D449" s="1">
        <v>108000000</v>
      </c>
      <c r="E449" s="1">
        <v>0</v>
      </c>
      <c r="F449" s="1">
        <v>0</v>
      </c>
      <c r="G449" s="1">
        <v>21600000</v>
      </c>
      <c r="H449" s="1">
        <v>21600000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32400000</v>
      </c>
      <c r="P449" s="1">
        <v>32400000</v>
      </c>
      <c r="Q449" s="1">
        <v>0</v>
      </c>
      <c r="R449" s="1">
        <v>0</v>
      </c>
      <c r="S449" s="1">
        <v>32400000</v>
      </c>
      <c r="T449" s="1">
        <v>32400000</v>
      </c>
      <c r="U449" s="1">
        <v>21600000</v>
      </c>
      <c r="V449" s="1">
        <v>21600000</v>
      </c>
      <c r="W449" s="4">
        <f t="shared" si="19"/>
        <v>108000000</v>
      </c>
      <c r="X449" s="4">
        <f t="shared" si="20"/>
        <v>108000000</v>
      </c>
      <c r="Y449" s="5">
        <f t="shared" si="21"/>
        <v>1</v>
      </c>
    </row>
    <row r="450" spans="1:25" x14ac:dyDescent="0.25">
      <c r="A450" s="1" t="s">
        <v>100</v>
      </c>
      <c r="B450" s="1" t="s">
        <v>35</v>
      </c>
      <c r="C450" s="1" t="s">
        <v>34</v>
      </c>
      <c r="D450" s="1">
        <v>270000000</v>
      </c>
      <c r="E450" s="1">
        <v>0</v>
      </c>
      <c r="F450" s="1">
        <v>0</v>
      </c>
      <c r="G450" s="1">
        <v>74250000</v>
      </c>
      <c r="H450" s="1">
        <v>74250000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65250000</v>
      </c>
      <c r="P450" s="1">
        <v>65250000</v>
      </c>
      <c r="Q450" s="1">
        <v>0</v>
      </c>
      <c r="R450" s="1">
        <v>0</v>
      </c>
      <c r="S450" s="1">
        <v>65250000</v>
      </c>
      <c r="T450" s="1">
        <v>65250000</v>
      </c>
      <c r="U450" s="1">
        <v>65250000</v>
      </c>
      <c r="V450" s="1">
        <v>65250000</v>
      </c>
      <c r="W450" s="4">
        <f t="shared" si="19"/>
        <v>270000000</v>
      </c>
      <c r="X450" s="4">
        <f t="shared" si="20"/>
        <v>270000000</v>
      </c>
      <c r="Y450" s="5">
        <f t="shared" si="21"/>
        <v>1</v>
      </c>
    </row>
    <row r="451" spans="1:25" x14ac:dyDescent="0.25">
      <c r="A451" s="1" t="s">
        <v>100</v>
      </c>
      <c r="B451" s="1" t="s">
        <v>38</v>
      </c>
      <c r="C451" s="1" t="s">
        <v>39</v>
      </c>
      <c r="D451" s="1">
        <v>9132298.4133879058</v>
      </c>
      <c r="E451" s="1">
        <v>602731.69528360188</v>
      </c>
      <c r="F451" s="1">
        <v>602731.69528360188</v>
      </c>
      <c r="G451" s="1">
        <v>753414.61910450226</v>
      </c>
      <c r="H451" s="1">
        <v>753414.61910450226</v>
      </c>
      <c r="I451" s="1">
        <v>753414.61910450226</v>
      </c>
      <c r="J451" s="1">
        <v>753414.61910450226</v>
      </c>
      <c r="K451" s="1">
        <v>753414.61910450226</v>
      </c>
      <c r="L451" s="1">
        <v>753414.61910450226</v>
      </c>
      <c r="M451" s="1">
        <v>458897.99527274212</v>
      </c>
      <c r="N451" s="1">
        <v>458897.99527274212</v>
      </c>
      <c r="O451" s="1">
        <v>382414.99606061843</v>
      </c>
      <c r="P451" s="1">
        <v>382414.99606061843</v>
      </c>
      <c r="Q451" s="1">
        <v>535380.99448486581</v>
      </c>
      <c r="R451" s="1">
        <v>535380.99448486581</v>
      </c>
      <c r="S451" s="1">
        <v>535380.99448486581</v>
      </c>
      <c r="T451" s="1">
        <v>535380.99448486581</v>
      </c>
      <c r="U451" s="1">
        <v>535380.99448486581</v>
      </c>
      <c r="V451" s="1">
        <v>535380.99448486581</v>
      </c>
      <c r="W451" s="4">
        <f t="shared" ref="W451:W514" si="22">U451+S451+Q451+O451+M451+K451+I451+G451+E451</f>
        <v>5310431.5273850663</v>
      </c>
      <c r="X451" s="4">
        <f t="shared" ref="X451:X514" si="23">V451+T451+R451+P451+N451+L451+J451+H451+F451</f>
        <v>5310431.5273850663</v>
      </c>
      <c r="Y451" s="5">
        <f t="shared" ref="Y451:Y514" si="24">X451/D451</f>
        <v>0.58149999999999991</v>
      </c>
    </row>
    <row r="452" spans="1:25" x14ac:dyDescent="0.25">
      <c r="A452" s="1" t="s">
        <v>100</v>
      </c>
      <c r="B452" s="1" t="s">
        <v>61</v>
      </c>
      <c r="C452" s="1" t="s">
        <v>34</v>
      </c>
      <c r="D452" s="1">
        <v>136455799</v>
      </c>
      <c r="E452" s="1">
        <v>0</v>
      </c>
      <c r="F452" s="1">
        <v>0</v>
      </c>
      <c r="G452" s="1">
        <v>10916463.918756593</v>
      </c>
      <c r="H452" s="1">
        <v>10916463.918756593</v>
      </c>
      <c r="I452" s="1">
        <v>0</v>
      </c>
      <c r="J452" s="1">
        <v>0</v>
      </c>
      <c r="K452" s="1">
        <v>0</v>
      </c>
      <c r="L452" s="1">
        <v>0</v>
      </c>
      <c r="M452" s="1">
        <v>31384833.770310853</v>
      </c>
      <c r="N452" s="1">
        <v>31384833.770310853</v>
      </c>
      <c r="O452" s="1">
        <v>0</v>
      </c>
      <c r="P452" s="1">
        <v>0</v>
      </c>
      <c r="Q452" s="1">
        <v>0</v>
      </c>
      <c r="R452" s="1">
        <v>0</v>
      </c>
      <c r="S452" s="1">
        <v>47077250.655466281</v>
      </c>
      <c r="T452" s="1">
        <v>47077250.655466281</v>
      </c>
      <c r="U452" s="1">
        <v>0</v>
      </c>
      <c r="V452" s="1">
        <v>0</v>
      </c>
      <c r="W452" s="4">
        <f t="shared" si="22"/>
        <v>89378548.344533727</v>
      </c>
      <c r="X452" s="4">
        <f t="shared" si="23"/>
        <v>89378548.344533727</v>
      </c>
      <c r="Y452" s="5">
        <f t="shared" si="24"/>
        <v>0.65499999999658298</v>
      </c>
    </row>
    <row r="453" spans="1:25" x14ac:dyDescent="0.25">
      <c r="A453" s="1" t="s">
        <v>100</v>
      </c>
      <c r="B453" s="1" t="s">
        <v>62</v>
      </c>
      <c r="C453" s="1" t="s">
        <v>63</v>
      </c>
      <c r="D453" s="1">
        <v>32142857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2410714.2857142854</v>
      </c>
      <c r="N453" s="1">
        <v>2410714.2857142854</v>
      </c>
      <c r="O453" s="1">
        <v>2008928.5714285714</v>
      </c>
      <c r="P453" s="1">
        <v>2008928.5714285714</v>
      </c>
      <c r="Q453" s="1">
        <v>2812499.9999999995</v>
      </c>
      <c r="R453" s="1">
        <v>2812499.9999999995</v>
      </c>
      <c r="S453" s="1">
        <v>2812499.9999999995</v>
      </c>
      <c r="T453" s="1">
        <v>2812499.9999999995</v>
      </c>
      <c r="U453" s="1">
        <v>2812499.9999999995</v>
      </c>
      <c r="V453" s="1">
        <v>2812499.9999999995</v>
      </c>
      <c r="W453" s="4">
        <f t="shared" si="22"/>
        <v>12857142.857142854</v>
      </c>
      <c r="X453" s="4">
        <f t="shared" si="23"/>
        <v>12857142.857142854</v>
      </c>
      <c r="Y453" s="5">
        <f t="shared" si="24"/>
        <v>0.40000000177777773</v>
      </c>
    </row>
    <row r="454" spans="1:25" x14ac:dyDescent="0.25">
      <c r="A454" s="1" t="s">
        <v>100</v>
      </c>
      <c r="B454" s="1" t="s">
        <v>40</v>
      </c>
      <c r="C454" s="1" t="s">
        <v>27</v>
      </c>
      <c r="D454" s="1">
        <v>151958085</v>
      </c>
      <c r="E454" s="1">
        <v>17233053.5666667</v>
      </c>
      <c r="F454" s="1">
        <v>17233053.5666667</v>
      </c>
      <c r="G454" s="1">
        <v>23346951.166666701</v>
      </c>
      <c r="H454" s="1">
        <v>23346951.166666701</v>
      </c>
      <c r="I454" s="1">
        <v>7073341.5666666627</v>
      </c>
      <c r="J454" s="1">
        <v>7073341.5666666627</v>
      </c>
      <c r="K454" s="1">
        <v>15707696.566666666</v>
      </c>
      <c r="L454" s="1">
        <v>15707696.566666666</v>
      </c>
      <c r="M454" s="1">
        <v>11999999.99999995</v>
      </c>
      <c r="N454" s="1">
        <v>11999999.99999995</v>
      </c>
      <c r="O454" s="1">
        <v>31185553.733333319</v>
      </c>
      <c r="P454" s="1">
        <v>31185553.733333319</v>
      </c>
      <c r="Q454" s="1">
        <v>6945880.5666666673</v>
      </c>
      <c r="R454" s="1">
        <v>6945880.5666666673</v>
      </c>
      <c r="S454" s="1">
        <v>11203341.566666666</v>
      </c>
      <c r="T454" s="1">
        <v>11203341.566666666</v>
      </c>
      <c r="U454" s="1">
        <v>8671124.5666666664</v>
      </c>
      <c r="V454" s="1">
        <v>8671124.5666666664</v>
      </c>
      <c r="W454" s="4">
        <f t="shared" si="22"/>
        <v>133366943.30000001</v>
      </c>
      <c r="X454" s="4">
        <f t="shared" si="23"/>
        <v>133366943.30000001</v>
      </c>
      <c r="Y454" s="5">
        <f t="shared" si="24"/>
        <v>0.87765612010706773</v>
      </c>
    </row>
    <row r="455" spans="1:25" x14ac:dyDescent="0.25">
      <c r="A455" s="1" t="s">
        <v>100</v>
      </c>
      <c r="B455" s="1" t="s">
        <v>41</v>
      </c>
      <c r="C455" s="1" t="s">
        <v>27</v>
      </c>
      <c r="D455" s="1">
        <v>45919009</v>
      </c>
      <c r="E455" s="1">
        <v>0</v>
      </c>
      <c r="F455" s="1">
        <v>0</v>
      </c>
      <c r="G455" s="1">
        <v>15635687.443828613</v>
      </c>
      <c r="H455" s="1">
        <v>15635687.443828613</v>
      </c>
      <c r="I455" s="1">
        <v>0</v>
      </c>
      <c r="J455" s="1">
        <v>0</v>
      </c>
      <c r="K455" s="1">
        <v>0</v>
      </c>
      <c r="L455" s="1">
        <v>0</v>
      </c>
      <c r="M455" s="1">
        <v>11356245.58356427</v>
      </c>
      <c r="N455" s="1">
        <v>11356245.58356427</v>
      </c>
      <c r="O455" s="1">
        <v>7570830.3890428469</v>
      </c>
      <c r="P455" s="1">
        <v>7570830.3890428469</v>
      </c>
      <c r="Q455" s="1">
        <v>11356245.58356427</v>
      </c>
      <c r="R455" s="1">
        <v>11356245.58356427</v>
      </c>
      <c r="S455" s="1">
        <v>0</v>
      </c>
      <c r="T455" s="1">
        <v>0</v>
      </c>
      <c r="U455" s="1">
        <v>0</v>
      </c>
      <c r="V455" s="1">
        <v>0</v>
      </c>
      <c r="W455" s="4">
        <f t="shared" si="22"/>
        <v>45919009</v>
      </c>
      <c r="X455" s="4">
        <f t="shared" si="23"/>
        <v>45919009</v>
      </c>
      <c r="Y455" s="5">
        <f t="shared" si="24"/>
        <v>1</v>
      </c>
    </row>
    <row r="456" spans="1:25" x14ac:dyDescent="0.25">
      <c r="A456" s="1" t="s">
        <v>100</v>
      </c>
      <c r="B456" s="1" t="s">
        <v>42</v>
      </c>
      <c r="C456" s="1" t="s">
        <v>27</v>
      </c>
      <c r="D456" s="1">
        <v>158660762.25299197</v>
      </c>
      <c r="E456" s="1">
        <v>0</v>
      </c>
      <c r="F456" s="1">
        <v>0</v>
      </c>
      <c r="G456" s="1">
        <v>4648795</v>
      </c>
      <c r="H456" s="1">
        <v>4648795</v>
      </c>
      <c r="I456" s="1">
        <v>34011967.252991997</v>
      </c>
      <c r="J456" s="1">
        <v>34011967.252991997</v>
      </c>
      <c r="K456" s="1">
        <v>0</v>
      </c>
      <c r="L456" s="1">
        <v>0</v>
      </c>
      <c r="M456" s="1">
        <v>44999999.999999985</v>
      </c>
      <c r="N456" s="1">
        <v>44999999.999999985</v>
      </c>
      <c r="O456" s="1">
        <v>29999999.999999993</v>
      </c>
      <c r="P456" s="1">
        <v>29999999.999999993</v>
      </c>
      <c r="Q456" s="1">
        <v>44999999.999999985</v>
      </c>
      <c r="R456" s="1">
        <v>44999999.999999985</v>
      </c>
      <c r="S456" s="1">
        <v>0</v>
      </c>
      <c r="T456" s="1">
        <v>0</v>
      </c>
      <c r="U456" s="1">
        <v>0</v>
      </c>
      <c r="V456" s="1">
        <v>0</v>
      </c>
      <c r="W456" s="4">
        <f t="shared" si="22"/>
        <v>158660762.25299194</v>
      </c>
      <c r="X456" s="4">
        <f t="shared" si="23"/>
        <v>158660762.25299194</v>
      </c>
      <c r="Y456" s="5">
        <f t="shared" si="24"/>
        <v>0.99999999999999978</v>
      </c>
    </row>
    <row r="457" spans="1:25" x14ac:dyDescent="0.25">
      <c r="A457" s="1" t="s">
        <v>100</v>
      </c>
      <c r="B457" s="1" t="s">
        <v>43</v>
      </c>
      <c r="C457" s="1" t="s">
        <v>31</v>
      </c>
      <c r="D457" s="1">
        <v>4626233</v>
      </c>
      <c r="E457" s="1">
        <v>268730.477439849</v>
      </c>
      <c r="F457" s="1">
        <v>268730.477439849</v>
      </c>
      <c r="G457" s="1">
        <v>335913.09679981123</v>
      </c>
      <c r="H457" s="1">
        <v>335913.09679981123</v>
      </c>
      <c r="I457" s="1">
        <v>335913.09679981123</v>
      </c>
      <c r="J457" s="1">
        <v>335913.09679981123</v>
      </c>
      <c r="K457" s="1">
        <v>335913.09679981123</v>
      </c>
      <c r="L457" s="1">
        <v>335913.09679981123</v>
      </c>
      <c r="M457" s="1">
        <v>249776.43790265894</v>
      </c>
      <c r="N457" s="1">
        <v>249776.43790265894</v>
      </c>
      <c r="O457" s="1">
        <v>208147.03158554912</v>
      </c>
      <c r="P457" s="1">
        <v>208147.03158554912</v>
      </c>
      <c r="Q457" s="1">
        <v>257965.51942214681</v>
      </c>
      <c r="R457" s="1">
        <v>257965.51942214681</v>
      </c>
      <c r="S457" s="1">
        <v>291405.84421976877</v>
      </c>
      <c r="T457" s="1">
        <v>291405.84421976877</v>
      </c>
      <c r="U457" s="1">
        <v>291405.84421976877</v>
      </c>
      <c r="V457" s="1">
        <v>291405.84421976877</v>
      </c>
      <c r="W457" s="4">
        <f t="shared" si="22"/>
        <v>2575170.4451891757</v>
      </c>
      <c r="X457" s="4">
        <f t="shared" si="23"/>
        <v>2575170.4451891757</v>
      </c>
      <c r="Y457" s="5">
        <f t="shared" si="24"/>
        <v>0.55664521116622867</v>
      </c>
    </row>
    <row r="458" spans="1:25" x14ac:dyDescent="0.25">
      <c r="A458" s="1" t="s">
        <v>100</v>
      </c>
      <c r="B458" s="1" t="s">
        <v>64</v>
      </c>
      <c r="C458" s="1" t="s">
        <v>23</v>
      </c>
      <c r="D458" s="1">
        <v>5238913.3615314132</v>
      </c>
      <c r="E458" s="1">
        <v>345768.28186107334</v>
      </c>
      <c r="F458" s="1">
        <v>345768.28186107334</v>
      </c>
      <c r="G458" s="1">
        <v>432210.35232634161</v>
      </c>
      <c r="H458" s="1">
        <v>432210.35232634161</v>
      </c>
      <c r="I458" s="1">
        <v>432210.35232634161</v>
      </c>
      <c r="J458" s="1">
        <v>432210.35232634161</v>
      </c>
      <c r="K458" s="1">
        <v>432210.35232634161</v>
      </c>
      <c r="L458" s="1">
        <v>432210.35232634161</v>
      </c>
      <c r="M458" s="1">
        <v>263255.39641695347</v>
      </c>
      <c r="N458" s="1">
        <v>263255.39641695347</v>
      </c>
      <c r="O458" s="1">
        <v>219379.4970141279</v>
      </c>
      <c r="P458" s="1">
        <v>219379.4970141279</v>
      </c>
      <c r="Q458" s="1">
        <v>307131.29581977904</v>
      </c>
      <c r="R458" s="1">
        <v>307131.29581977904</v>
      </c>
      <c r="S458" s="1">
        <v>307131.29581977904</v>
      </c>
      <c r="T458" s="1">
        <v>307131.29581977904</v>
      </c>
      <c r="U458" s="1">
        <v>307131.29581977904</v>
      </c>
      <c r="V458" s="1">
        <v>307131.29581977904</v>
      </c>
      <c r="W458" s="4">
        <f t="shared" si="22"/>
        <v>3046428.1197305163</v>
      </c>
      <c r="X458" s="4">
        <f t="shared" si="23"/>
        <v>3046428.1197305163</v>
      </c>
      <c r="Y458" s="5">
        <f t="shared" si="24"/>
        <v>0.58149999999999991</v>
      </c>
    </row>
    <row r="459" spans="1:25" x14ac:dyDescent="0.25">
      <c r="A459" s="1" t="s">
        <v>100</v>
      </c>
      <c r="B459" s="1" t="s">
        <v>65</v>
      </c>
      <c r="C459" s="1" t="s">
        <v>31</v>
      </c>
      <c r="D459" s="1">
        <v>5047121.4988431269</v>
      </c>
      <c r="E459" s="1">
        <v>333110.01892364642</v>
      </c>
      <c r="F459" s="1">
        <v>333110.01892364642</v>
      </c>
      <c r="G459" s="1">
        <v>416387.523654558</v>
      </c>
      <c r="H459" s="1">
        <v>416387.523654558</v>
      </c>
      <c r="I459" s="1">
        <v>416387.523654558</v>
      </c>
      <c r="J459" s="1">
        <v>416387.523654558</v>
      </c>
      <c r="K459" s="1">
        <v>416387.523654558</v>
      </c>
      <c r="L459" s="1">
        <v>416387.523654558</v>
      </c>
      <c r="M459" s="1">
        <v>253617.85531686712</v>
      </c>
      <c r="N459" s="1">
        <v>253617.85531686712</v>
      </c>
      <c r="O459" s="1">
        <v>211348.21276405593</v>
      </c>
      <c r="P459" s="1">
        <v>211348.21276405593</v>
      </c>
      <c r="Q459" s="1">
        <v>295887.49786967831</v>
      </c>
      <c r="R459" s="1">
        <v>295887.49786967831</v>
      </c>
      <c r="S459" s="1">
        <v>295887.49786967831</v>
      </c>
      <c r="T459" s="1">
        <v>295887.49786967831</v>
      </c>
      <c r="U459" s="1">
        <v>295887.49786967831</v>
      </c>
      <c r="V459" s="1">
        <v>295887.49786967831</v>
      </c>
      <c r="W459" s="4">
        <f t="shared" si="22"/>
        <v>2934901.1515772785</v>
      </c>
      <c r="X459" s="4">
        <f t="shared" si="23"/>
        <v>2934901.1515772785</v>
      </c>
      <c r="Y459" s="5">
        <f t="shared" si="24"/>
        <v>0.58150000000000002</v>
      </c>
    </row>
    <row r="460" spans="1:25" x14ac:dyDescent="0.25">
      <c r="A460" s="1" t="s">
        <v>100</v>
      </c>
      <c r="B460" s="1" t="s">
        <v>44</v>
      </c>
      <c r="C460" s="1" t="s">
        <v>45</v>
      </c>
      <c r="D460" s="1">
        <v>9132298.4133879058</v>
      </c>
      <c r="E460" s="1">
        <v>602731.69528360188</v>
      </c>
      <c r="F460" s="1">
        <v>602731.69528360188</v>
      </c>
      <c r="G460" s="1">
        <v>753414.61910450226</v>
      </c>
      <c r="H460" s="1">
        <v>753414.61910450226</v>
      </c>
      <c r="I460" s="1">
        <v>753414.61910450226</v>
      </c>
      <c r="J460" s="1">
        <v>753414.61910450226</v>
      </c>
      <c r="K460" s="1">
        <v>753414.61910450226</v>
      </c>
      <c r="L460" s="1">
        <v>753414.61910450226</v>
      </c>
      <c r="M460" s="1">
        <v>458897.99527274212</v>
      </c>
      <c r="N460" s="1">
        <v>458897.99527274212</v>
      </c>
      <c r="O460" s="1">
        <v>382414.99606061843</v>
      </c>
      <c r="P460" s="1">
        <v>382414.99606061843</v>
      </c>
      <c r="Q460" s="1">
        <v>535380.99448486581</v>
      </c>
      <c r="R460" s="1">
        <v>535380.99448486581</v>
      </c>
      <c r="S460" s="1">
        <v>535380.99448486581</v>
      </c>
      <c r="T460" s="1">
        <v>535380.99448486581</v>
      </c>
      <c r="U460" s="1">
        <v>535380.99448486581</v>
      </c>
      <c r="V460" s="1">
        <v>535380.99448486581</v>
      </c>
      <c r="W460" s="4">
        <f t="shared" si="22"/>
        <v>5310431.5273850663</v>
      </c>
      <c r="X460" s="4">
        <f t="shared" si="23"/>
        <v>5310431.5273850663</v>
      </c>
      <c r="Y460" s="5">
        <f t="shared" si="24"/>
        <v>0.58149999999999991</v>
      </c>
    </row>
    <row r="461" spans="1:25" x14ac:dyDescent="0.25">
      <c r="A461" s="1" t="s">
        <v>100</v>
      </c>
      <c r="B461" s="1" t="s">
        <v>46</v>
      </c>
      <c r="C461" s="1" t="s">
        <v>22</v>
      </c>
      <c r="D461" s="1">
        <v>111973873.21931852</v>
      </c>
      <c r="E461" s="1">
        <v>7397198.3060438409</v>
      </c>
      <c r="F461" s="1">
        <v>7397198.3060438409</v>
      </c>
      <c r="G461" s="1">
        <v>9246497.8825548012</v>
      </c>
      <c r="H461" s="1">
        <v>9246497.8825548012</v>
      </c>
      <c r="I461" s="1">
        <v>9246497.8825548012</v>
      </c>
      <c r="J461" s="1">
        <v>9246497.8825548012</v>
      </c>
      <c r="K461" s="1">
        <v>9246497.8825548012</v>
      </c>
      <c r="L461" s="1">
        <v>9246497.8825548012</v>
      </c>
      <c r="M461" s="1">
        <v>5801873.4107679315</v>
      </c>
      <c r="N461" s="1">
        <v>5801873.4107679315</v>
      </c>
      <c r="O461" s="1">
        <v>4718022.5075529758</v>
      </c>
      <c r="P461" s="1">
        <v>4718022.5075529758</v>
      </c>
      <c r="Q461" s="1">
        <v>6531809.2767432053</v>
      </c>
      <c r="R461" s="1">
        <v>6531809.2767432053</v>
      </c>
      <c r="S461" s="1">
        <v>6531809.2767432053</v>
      </c>
      <c r="T461" s="1">
        <v>6531809.2767432053</v>
      </c>
      <c r="U461" s="1">
        <v>6531809.2767432053</v>
      </c>
      <c r="V461" s="1">
        <v>6531809.2767432053</v>
      </c>
      <c r="W461" s="4">
        <f t="shared" si="22"/>
        <v>65252015.702258766</v>
      </c>
      <c r="X461" s="4">
        <f t="shared" si="23"/>
        <v>65252015.702258766</v>
      </c>
      <c r="Y461" s="5">
        <f t="shared" si="24"/>
        <v>0.58274322238056708</v>
      </c>
    </row>
    <row r="462" spans="1:25" x14ac:dyDescent="0.25">
      <c r="A462" s="1" t="s">
        <v>100</v>
      </c>
      <c r="B462" s="1" t="s">
        <v>66</v>
      </c>
      <c r="C462" s="1" t="s">
        <v>24</v>
      </c>
      <c r="D462" s="1">
        <v>348894655.25883234</v>
      </c>
      <c r="E462" s="1">
        <v>28783809.058853667</v>
      </c>
      <c r="F462" s="1">
        <v>28783809.058853667</v>
      </c>
      <c r="G462" s="1">
        <v>28783809.058853667</v>
      </c>
      <c r="H462" s="1">
        <v>28783809.058853667</v>
      </c>
      <c r="I462" s="1">
        <v>28783809.058853667</v>
      </c>
      <c r="J462" s="1">
        <v>28783809.058853667</v>
      </c>
      <c r="K462" s="1">
        <v>28783809.058853667</v>
      </c>
      <c r="L462" s="1">
        <v>28783809.058853667</v>
      </c>
      <c r="M462" s="1">
        <v>35590370.134585299</v>
      </c>
      <c r="N462" s="1">
        <v>35590370.134585299</v>
      </c>
      <c r="O462" s="1">
        <v>29366721.249999993</v>
      </c>
      <c r="P462" s="1">
        <v>29366721.249999993</v>
      </c>
      <c r="Q462" s="1">
        <v>28084221.249999996</v>
      </c>
      <c r="R462" s="1">
        <v>28084221.249999996</v>
      </c>
      <c r="S462" s="1">
        <v>28661721.249999996</v>
      </c>
      <c r="T462" s="1">
        <v>28661721.249999996</v>
      </c>
      <c r="U462" s="1">
        <v>27959221.248832401</v>
      </c>
      <c r="V462" s="1">
        <v>27959221.248832401</v>
      </c>
      <c r="W462" s="4">
        <f t="shared" si="22"/>
        <v>264797491.36883229</v>
      </c>
      <c r="X462" s="4">
        <f t="shared" si="23"/>
        <v>264797491.36883229</v>
      </c>
      <c r="Y462" s="5">
        <f t="shared" si="24"/>
        <v>0.75896115740835468</v>
      </c>
    </row>
    <row r="463" spans="1:25" x14ac:dyDescent="0.25">
      <c r="A463" s="1" t="s">
        <v>100</v>
      </c>
      <c r="B463" s="1" t="s">
        <v>67</v>
      </c>
      <c r="C463" s="1" t="s">
        <v>68</v>
      </c>
      <c r="D463" s="1">
        <v>5916750.6585043678</v>
      </c>
      <c r="E463" s="1">
        <v>390505.54346128833</v>
      </c>
      <c r="F463" s="1">
        <v>390505.54346128833</v>
      </c>
      <c r="G463" s="1">
        <v>488131.92932661035</v>
      </c>
      <c r="H463" s="1">
        <v>488131.92932661035</v>
      </c>
      <c r="I463" s="1">
        <v>488131.92932661035</v>
      </c>
      <c r="J463" s="1">
        <v>488131.92932661035</v>
      </c>
      <c r="K463" s="1">
        <v>488131.92932661035</v>
      </c>
      <c r="L463" s="1">
        <v>488131.92932661035</v>
      </c>
      <c r="M463" s="1">
        <v>307671.03424222715</v>
      </c>
      <c r="N463" s="1">
        <v>307671.03424222715</v>
      </c>
      <c r="O463" s="1">
        <v>246531.277437682</v>
      </c>
      <c r="P463" s="1">
        <v>246531.277437682</v>
      </c>
      <c r="Q463" s="1">
        <v>345143.78841275477</v>
      </c>
      <c r="R463" s="1">
        <v>345143.78841275477</v>
      </c>
      <c r="S463" s="1">
        <v>345143.78841275477</v>
      </c>
      <c r="T463" s="1">
        <v>345143.78841275477</v>
      </c>
      <c r="U463" s="1">
        <v>345143.78841275477</v>
      </c>
      <c r="V463" s="1">
        <v>345143.78841275477</v>
      </c>
      <c r="W463" s="4">
        <f t="shared" si="22"/>
        <v>3444535.0083592925</v>
      </c>
      <c r="X463" s="4">
        <f t="shared" si="23"/>
        <v>3444535.0083592925</v>
      </c>
      <c r="Y463" s="5">
        <f t="shared" si="24"/>
        <v>0.58216666666666661</v>
      </c>
    </row>
    <row r="464" spans="1:25" x14ac:dyDescent="0.25">
      <c r="A464" s="1" t="s">
        <v>100</v>
      </c>
      <c r="B464" s="1" t="s">
        <v>69</v>
      </c>
      <c r="C464" s="1" t="s">
        <v>28</v>
      </c>
      <c r="D464" s="1">
        <v>7417303.5764385499</v>
      </c>
      <c r="E464" s="1">
        <v>489542.03604494437</v>
      </c>
      <c r="F464" s="1">
        <v>489542.03604494437</v>
      </c>
      <c r="G464" s="1">
        <v>611927.54505618045</v>
      </c>
      <c r="H464" s="1">
        <v>611927.54505618045</v>
      </c>
      <c r="I464" s="1">
        <v>611927.54505618045</v>
      </c>
      <c r="J464" s="1">
        <v>611927.54505618045</v>
      </c>
      <c r="K464" s="1">
        <v>611927.54505618045</v>
      </c>
      <c r="L464" s="1">
        <v>611927.54505618045</v>
      </c>
      <c r="M464" s="1">
        <v>372719.50471603707</v>
      </c>
      <c r="N464" s="1">
        <v>372719.50471603707</v>
      </c>
      <c r="O464" s="1">
        <v>310599.58726336423</v>
      </c>
      <c r="P464" s="1">
        <v>310599.58726336423</v>
      </c>
      <c r="Q464" s="1">
        <v>434839.42216870992</v>
      </c>
      <c r="R464" s="1">
        <v>434839.42216870992</v>
      </c>
      <c r="S464" s="1">
        <v>434839.42216870992</v>
      </c>
      <c r="T464" s="1">
        <v>434839.42216870992</v>
      </c>
      <c r="U464" s="1">
        <v>434839.42216870992</v>
      </c>
      <c r="V464" s="1">
        <v>434839.42216870992</v>
      </c>
      <c r="W464" s="4">
        <f t="shared" si="22"/>
        <v>4313162.0296990173</v>
      </c>
      <c r="X464" s="4">
        <f t="shared" si="23"/>
        <v>4313162.0296990173</v>
      </c>
      <c r="Y464" s="5">
        <f t="shared" si="24"/>
        <v>0.58150000000000002</v>
      </c>
    </row>
    <row r="465" spans="1:25" x14ac:dyDescent="0.25">
      <c r="A465" s="1" t="s">
        <v>100</v>
      </c>
      <c r="B465" s="1" t="s">
        <v>70</v>
      </c>
      <c r="C465" s="1" t="s">
        <v>23</v>
      </c>
      <c r="D465" s="1">
        <v>9646874.9064843766</v>
      </c>
      <c r="E465" s="1">
        <v>636693.74382796895</v>
      </c>
      <c r="F465" s="1">
        <v>636693.74382796895</v>
      </c>
      <c r="G465" s="1">
        <v>795867.17978496116</v>
      </c>
      <c r="H465" s="1">
        <v>795867.17978496116</v>
      </c>
      <c r="I465" s="1">
        <v>795867.17978496116</v>
      </c>
      <c r="J465" s="1">
        <v>795867.17978496116</v>
      </c>
      <c r="K465" s="1">
        <v>795867.17978496116</v>
      </c>
      <c r="L465" s="1">
        <v>795867.17978496116</v>
      </c>
      <c r="M465" s="1">
        <v>484755.46405083989</v>
      </c>
      <c r="N465" s="1">
        <v>484755.46405083989</v>
      </c>
      <c r="O465" s="1">
        <v>403962.88670903328</v>
      </c>
      <c r="P465" s="1">
        <v>403962.88670903328</v>
      </c>
      <c r="Q465" s="1">
        <v>565548.0413926465</v>
      </c>
      <c r="R465" s="1">
        <v>565548.0413926465</v>
      </c>
      <c r="S465" s="1">
        <v>565548.0413926465</v>
      </c>
      <c r="T465" s="1">
        <v>565548.0413926465</v>
      </c>
      <c r="U465" s="1">
        <v>565548.0413926465</v>
      </c>
      <c r="V465" s="1">
        <v>565548.0413926465</v>
      </c>
      <c r="W465" s="4">
        <f t="shared" si="22"/>
        <v>5609657.7581206644</v>
      </c>
      <c r="X465" s="4">
        <f t="shared" si="23"/>
        <v>5609657.7581206644</v>
      </c>
      <c r="Y465" s="5">
        <f t="shared" si="24"/>
        <v>0.58149999999999991</v>
      </c>
    </row>
    <row r="466" spans="1:25" x14ac:dyDescent="0.25">
      <c r="A466" s="1" t="s">
        <v>100</v>
      </c>
      <c r="B466" s="1" t="s">
        <v>71</v>
      </c>
      <c r="C466" s="1" t="s">
        <v>29</v>
      </c>
      <c r="D466" s="1">
        <v>7294051.9211538434</v>
      </c>
      <c r="E466" s="1">
        <v>481407.42679615365</v>
      </c>
      <c r="F466" s="1">
        <v>481407.42679615365</v>
      </c>
      <c r="G466" s="1">
        <v>601759.28349519207</v>
      </c>
      <c r="H466" s="1">
        <v>601759.28349519207</v>
      </c>
      <c r="I466" s="1">
        <v>601759.28349519207</v>
      </c>
      <c r="J466" s="1">
        <v>601759.28349519207</v>
      </c>
      <c r="K466" s="1">
        <v>601759.28349519207</v>
      </c>
      <c r="L466" s="1">
        <v>601759.28349519207</v>
      </c>
      <c r="M466" s="1">
        <v>366526.10903798067</v>
      </c>
      <c r="N466" s="1">
        <v>366526.10903798067</v>
      </c>
      <c r="O466" s="1">
        <v>305438.42419831723</v>
      </c>
      <c r="P466" s="1">
        <v>305438.42419831723</v>
      </c>
      <c r="Q466" s="1">
        <v>427613.79387764412</v>
      </c>
      <c r="R466" s="1">
        <v>427613.79387764412</v>
      </c>
      <c r="S466" s="1">
        <v>427613.79387764412</v>
      </c>
      <c r="T466" s="1">
        <v>427613.79387764412</v>
      </c>
      <c r="U466" s="1">
        <v>427613.79387764412</v>
      </c>
      <c r="V466" s="1">
        <v>427613.79387764412</v>
      </c>
      <c r="W466" s="4">
        <f t="shared" si="22"/>
        <v>4241491.1921509597</v>
      </c>
      <c r="X466" s="4">
        <f t="shared" si="23"/>
        <v>4241491.1921509597</v>
      </c>
      <c r="Y466" s="5">
        <f t="shared" si="24"/>
        <v>0.58150000000000002</v>
      </c>
    </row>
    <row r="467" spans="1:25" x14ac:dyDescent="0.25">
      <c r="A467" s="1" t="s">
        <v>100</v>
      </c>
      <c r="B467" s="1" t="s">
        <v>72</v>
      </c>
      <c r="C467" s="1" t="s">
        <v>73</v>
      </c>
      <c r="D467" s="1">
        <v>8750800.6731646769</v>
      </c>
      <c r="E467" s="1">
        <v>577552.84442886873</v>
      </c>
      <c r="F467" s="1">
        <v>577552.84442886873</v>
      </c>
      <c r="G467" s="1">
        <v>721941.05553608586</v>
      </c>
      <c r="H467" s="1">
        <v>721941.05553608586</v>
      </c>
      <c r="I467" s="1">
        <v>721941.05553608586</v>
      </c>
      <c r="J467" s="1">
        <v>721941.05553608586</v>
      </c>
      <c r="K467" s="1">
        <v>721941.05553608586</v>
      </c>
      <c r="L467" s="1">
        <v>721941.05553608586</v>
      </c>
      <c r="M467" s="1">
        <v>439727.73382652504</v>
      </c>
      <c r="N467" s="1">
        <v>439727.73382652504</v>
      </c>
      <c r="O467" s="1">
        <v>366439.77818877087</v>
      </c>
      <c r="P467" s="1">
        <v>366439.77818877087</v>
      </c>
      <c r="Q467" s="1">
        <v>513015.68946427916</v>
      </c>
      <c r="R467" s="1">
        <v>513015.68946427916</v>
      </c>
      <c r="S467" s="1">
        <v>513015.68946427916</v>
      </c>
      <c r="T467" s="1">
        <v>513015.68946427916</v>
      </c>
      <c r="U467" s="1">
        <v>513015.68946427916</v>
      </c>
      <c r="V467" s="1">
        <v>513015.68946427916</v>
      </c>
      <c r="W467" s="4">
        <f t="shared" si="22"/>
        <v>5088590.5914452597</v>
      </c>
      <c r="X467" s="4">
        <f t="shared" si="23"/>
        <v>5088590.5914452597</v>
      </c>
      <c r="Y467" s="5">
        <f t="shared" si="24"/>
        <v>0.58150000000000002</v>
      </c>
    </row>
    <row r="468" spans="1:25" x14ac:dyDescent="0.25">
      <c r="A468" s="1" t="s">
        <v>100</v>
      </c>
      <c r="B468" s="1" t="s">
        <v>48</v>
      </c>
      <c r="C468" s="1" t="s">
        <v>49</v>
      </c>
      <c r="D468" s="1">
        <v>5559222.0792183829</v>
      </c>
      <c r="E468" s="1">
        <v>366908.65722841327</v>
      </c>
      <c r="F468" s="1">
        <v>366908.65722841327</v>
      </c>
      <c r="G468" s="1">
        <v>458635.82153551659</v>
      </c>
      <c r="H468" s="1">
        <v>458635.82153551659</v>
      </c>
      <c r="I468" s="1">
        <v>458635.82153551659</v>
      </c>
      <c r="J468" s="1">
        <v>458635.82153551659</v>
      </c>
      <c r="K468" s="1">
        <v>458635.82153551659</v>
      </c>
      <c r="L468" s="1">
        <v>458635.82153551659</v>
      </c>
      <c r="M468" s="1">
        <v>279350.90948072373</v>
      </c>
      <c r="N468" s="1">
        <v>279350.90948072373</v>
      </c>
      <c r="O468" s="1">
        <v>232792.4245672698</v>
      </c>
      <c r="P468" s="1">
        <v>232792.4245672698</v>
      </c>
      <c r="Q468" s="1">
        <v>325909.39439417771</v>
      </c>
      <c r="R468" s="1">
        <v>325909.39439417771</v>
      </c>
      <c r="S468" s="1">
        <v>325909.39439417771</v>
      </c>
      <c r="T468" s="1">
        <v>325909.39439417771</v>
      </c>
      <c r="U468" s="1">
        <v>325909.39439417771</v>
      </c>
      <c r="V468" s="1">
        <v>325909.39439417771</v>
      </c>
      <c r="W468" s="4">
        <f t="shared" si="22"/>
        <v>3232687.6390654901</v>
      </c>
      <c r="X468" s="4">
        <f t="shared" si="23"/>
        <v>3232687.6390654901</v>
      </c>
      <c r="Y468" s="5">
        <f t="shared" si="24"/>
        <v>0.58150000000000013</v>
      </c>
    </row>
    <row r="469" spans="1:25" x14ac:dyDescent="0.25">
      <c r="A469" s="1" t="s">
        <v>100</v>
      </c>
      <c r="B469" s="1" t="s">
        <v>53</v>
      </c>
      <c r="C469" s="1" t="s">
        <v>30</v>
      </c>
      <c r="D469" s="1">
        <v>9688786.1158917695</v>
      </c>
      <c r="E469" s="1">
        <v>639459.88364885689</v>
      </c>
      <c r="F469" s="1">
        <v>639459.88364885689</v>
      </c>
      <c r="G469" s="1">
        <v>799324.85456107103</v>
      </c>
      <c r="H469" s="1">
        <v>799324.85456107103</v>
      </c>
      <c r="I469" s="1">
        <v>799324.85456107103</v>
      </c>
      <c r="J469" s="1">
        <v>799324.85456107103</v>
      </c>
      <c r="K469" s="1">
        <v>799324.85456107103</v>
      </c>
      <c r="L469" s="1">
        <v>799324.85456107103</v>
      </c>
      <c r="M469" s="1">
        <v>486861.50232356141</v>
      </c>
      <c r="N469" s="1">
        <v>486861.50232356141</v>
      </c>
      <c r="O469" s="1">
        <v>405717.91860296787</v>
      </c>
      <c r="P469" s="1">
        <v>405717.91860296787</v>
      </c>
      <c r="Q469" s="1">
        <v>568005.08604415494</v>
      </c>
      <c r="R469" s="1">
        <v>568005.08604415494</v>
      </c>
      <c r="S469" s="1">
        <v>568005.08604415494</v>
      </c>
      <c r="T469" s="1">
        <v>568005.08604415494</v>
      </c>
      <c r="U469" s="1">
        <v>568005.08604415494</v>
      </c>
      <c r="V469" s="1">
        <v>568005.08604415494</v>
      </c>
      <c r="W469" s="4">
        <f t="shared" si="22"/>
        <v>5634029.1263910634</v>
      </c>
      <c r="X469" s="4">
        <f t="shared" si="23"/>
        <v>5634029.1263910634</v>
      </c>
      <c r="Y469" s="5">
        <f t="shared" si="24"/>
        <v>0.58149999999999991</v>
      </c>
    </row>
    <row r="470" spans="1:25" x14ac:dyDescent="0.25">
      <c r="A470" s="1" t="s">
        <v>100</v>
      </c>
      <c r="B470" s="1" t="s">
        <v>74</v>
      </c>
      <c r="C470" s="1" t="s">
        <v>75</v>
      </c>
      <c r="D470" s="1">
        <v>8254809.9826160539</v>
      </c>
      <c r="E470" s="1">
        <v>544817.45885265956</v>
      </c>
      <c r="F470" s="1">
        <v>544817.45885265956</v>
      </c>
      <c r="G470" s="1">
        <v>681021.82356582442</v>
      </c>
      <c r="H470" s="1">
        <v>681021.82356582442</v>
      </c>
      <c r="I470" s="1">
        <v>681021.82356582442</v>
      </c>
      <c r="J470" s="1">
        <v>681021.82356582442</v>
      </c>
      <c r="K470" s="1">
        <v>681021.82356582442</v>
      </c>
      <c r="L470" s="1">
        <v>681021.82356582442</v>
      </c>
      <c r="M470" s="1">
        <v>414804.20162645669</v>
      </c>
      <c r="N470" s="1">
        <v>414804.20162645669</v>
      </c>
      <c r="O470" s="1">
        <v>345670.16802204726</v>
      </c>
      <c r="P470" s="1">
        <v>345670.16802204726</v>
      </c>
      <c r="Q470" s="1">
        <v>483938.23523086612</v>
      </c>
      <c r="R470" s="1">
        <v>483938.23523086612</v>
      </c>
      <c r="S470" s="1">
        <v>483938.23523086612</v>
      </c>
      <c r="T470" s="1">
        <v>483938.23523086612</v>
      </c>
      <c r="U470" s="1">
        <v>483938.23523086612</v>
      </c>
      <c r="V470" s="1">
        <v>483938.23523086612</v>
      </c>
      <c r="W470" s="4">
        <f t="shared" si="22"/>
        <v>4800172.0048912354</v>
      </c>
      <c r="X470" s="4">
        <f t="shared" si="23"/>
        <v>4800172.0048912354</v>
      </c>
      <c r="Y470" s="5">
        <f t="shared" si="24"/>
        <v>0.58150000000000002</v>
      </c>
    </row>
    <row r="471" spans="1:25" x14ac:dyDescent="0.25">
      <c r="A471" s="1" t="s">
        <v>100</v>
      </c>
      <c r="B471" s="1" t="s">
        <v>50</v>
      </c>
      <c r="C471" s="1" t="s">
        <v>25</v>
      </c>
      <c r="D471" s="1">
        <v>5837183.1831793012</v>
      </c>
      <c r="E471" s="1">
        <v>385254.09008983389</v>
      </c>
      <c r="F471" s="1">
        <v>385254.09008983389</v>
      </c>
      <c r="G471" s="1">
        <v>481567.61261229235</v>
      </c>
      <c r="H471" s="1">
        <v>481567.61261229235</v>
      </c>
      <c r="I471" s="1">
        <v>481567.61261229235</v>
      </c>
      <c r="J471" s="1">
        <v>481567.61261229235</v>
      </c>
      <c r="K471" s="1">
        <v>481567.61261229235</v>
      </c>
      <c r="L471" s="1">
        <v>481567.61261229235</v>
      </c>
      <c r="M471" s="1">
        <v>293318.45495475986</v>
      </c>
      <c r="N471" s="1">
        <v>293318.45495475986</v>
      </c>
      <c r="O471" s="1">
        <v>244432.04579563322</v>
      </c>
      <c r="P471" s="1">
        <v>244432.04579563322</v>
      </c>
      <c r="Q471" s="1">
        <v>342204.86411388649</v>
      </c>
      <c r="R471" s="1">
        <v>342204.86411388649</v>
      </c>
      <c r="S471" s="1">
        <v>342204.86411388649</v>
      </c>
      <c r="T471" s="1">
        <v>342204.86411388649</v>
      </c>
      <c r="U471" s="1">
        <v>342204.86411388649</v>
      </c>
      <c r="V471" s="1">
        <v>342204.86411388649</v>
      </c>
      <c r="W471" s="4">
        <f t="shared" si="22"/>
        <v>3394322.0210187631</v>
      </c>
      <c r="X471" s="4">
        <f t="shared" si="23"/>
        <v>3394322.0210187631</v>
      </c>
      <c r="Y471" s="5">
        <f t="shared" si="24"/>
        <v>0.58149999999999991</v>
      </c>
    </row>
    <row r="472" spans="1:25" x14ac:dyDescent="0.25">
      <c r="A472" s="1" t="s">
        <v>101</v>
      </c>
      <c r="B472" s="1" t="s">
        <v>59</v>
      </c>
      <c r="C472" s="1" t="s">
        <v>26</v>
      </c>
      <c r="D472" s="1">
        <v>31440432.579455975</v>
      </c>
      <c r="E472" s="1">
        <v>2577254.3292840943</v>
      </c>
      <c r="F472" s="1">
        <v>2577254.3292840943</v>
      </c>
      <c r="G472" s="1">
        <v>3221567.9116051178</v>
      </c>
      <c r="H472" s="1">
        <v>3221567.9116051178</v>
      </c>
      <c r="I472" s="1">
        <v>3221567.9116051178</v>
      </c>
      <c r="J472" s="1">
        <v>3221567.9116051178</v>
      </c>
      <c r="K472" s="1">
        <v>3221567.9116051178</v>
      </c>
      <c r="L472" s="1">
        <v>3221567.9116051178</v>
      </c>
      <c r="M472" s="1">
        <v>2319270.1166294375</v>
      </c>
      <c r="N472" s="1">
        <v>2319270.1166294375</v>
      </c>
      <c r="O472" s="1">
        <v>2319270.1166294375</v>
      </c>
      <c r="P472" s="1">
        <v>2319270.1166294375</v>
      </c>
      <c r="Q472" s="1">
        <v>2319270.1166294375</v>
      </c>
      <c r="R472" s="1">
        <v>2319270.1166294375</v>
      </c>
      <c r="S472" s="1">
        <v>2319270.1166294375</v>
      </c>
      <c r="T472" s="1">
        <v>2319270.1166294375</v>
      </c>
      <c r="U472" s="1">
        <v>2319270.1166294375</v>
      </c>
      <c r="V472" s="1">
        <v>2319270.1166294375</v>
      </c>
      <c r="W472" s="4">
        <f t="shared" si="22"/>
        <v>23838308.647246636</v>
      </c>
      <c r="X472" s="4">
        <f t="shared" si="23"/>
        <v>23838308.647246636</v>
      </c>
      <c r="Y472" s="5">
        <f t="shared" si="24"/>
        <v>0.75820549182975394</v>
      </c>
    </row>
    <row r="473" spans="1:25" x14ac:dyDescent="0.25">
      <c r="A473" s="1" t="s">
        <v>101</v>
      </c>
      <c r="B473" s="1" t="s">
        <v>60</v>
      </c>
      <c r="C473" s="1" t="s">
        <v>26</v>
      </c>
      <c r="D473" s="1">
        <v>7608875.4400000004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3804437.72</v>
      </c>
      <c r="N473" s="1">
        <v>3804437.72</v>
      </c>
      <c r="O473" s="1">
        <v>3804437.72</v>
      </c>
      <c r="P473" s="1">
        <v>3804437.72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4">
        <f t="shared" si="22"/>
        <v>7608875.4400000004</v>
      </c>
      <c r="X473" s="4">
        <f t="shared" si="23"/>
        <v>7608875.4400000004</v>
      </c>
      <c r="Y473" s="5">
        <f t="shared" si="24"/>
        <v>1</v>
      </c>
    </row>
    <row r="474" spans="1:25" x14ac:dyDescent="0.25">
      <c r="A474" s="1" t="s">
        <v>101</v>
      </c>
      <c r="B474" s="1" t="s">
        <v>33</v>
      </c>
      <c r="C474" s="1" t="s">
        <v>34</v>
      </c>
      <c r="D474" s="1">
        <v>24000000</v>
      </c>
      <c r="E474" s="1">
        <v>0</v>
      </c>
      <c r="F474" s="1">
        <v>0</v>
      </c>
      <c r="G474" s="1">
        <v>4800000</v>
      </c>
      <c r="H474" s="1">
        <v>4800000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7200000</v>
      </c>
      <c r="P474" s="1">
        <v>7200000</v>
      </c>
      <c r="Q474" s="1">
        <v>0</v>
      </c>
      <c r="R474" s="1">
        <v>0</v>
      </c>
      <c r="S474" s="1">
        <v>7200000</v>
      </c>
      <c r="T474" s="1">
        <v>7200000</v>
      </c>
      <c r="U474" s="1">
        <v>4800000</v>
      </c>
      <c r="V474" s="1">
        <v>4800000</v>
      </c>
      <c r="W474" s="4">
        <f t="shared" si="22"/>
        <v>24000000</v>
      </c>
      <c r="X474" s="4">
        <f t="shared" si="23"/>
        <v>24000000</v>
      </c>
      <c r="Y474" s="5">
        <f t="shared" si="24"/>
        <v>1</v>
      </c>
    </row>
    <row r="475" spans="1:25" x14ac:dyDescent="0.25">
      <c r="A475" s="1" t="s">
        <v>101</v>
      </c>
      <c r="B475" s="1" t="s">
        <v>35</v>
      </c>
      <c r="C475" s="1" t="s">
        <v>34</v>
      </c>
      <c r="D475" s="1">
        <v>60000000</v>
      </c>
      <c r="E475" s="1">
        <v>0</v>
      </c>
      <c r="F475" s="1">
        <v>0</v>
      </c>
      <c r="G475" s="1">
        <v>16500000</v>
      </c>
      <c r="H475" s="1">
        <v>16500000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14500000</v>
      </c>
      <c r="P475" s="1">
        <v>14500000</v>
      </c>
      <c r="Q475" s="1">
        <v>0</v>
      </c>
      <c r="R475" s="1">
        <v>0</v>
      </c>
      <c r="S475" s="1">
        <v>14500000</v>
      </c>
      <c r="T475" s="1">
        <v>14500000</v>
      </c>
      <c r="U475" s="1">
        <v>14500000</v>
      </c>
      <c r="V475" s="1">
        <v>14500000</v>
      </c>
      <c r="W475" s="4">
        <f t="shared" si="22"/>
        <v>60000000</v>
      </c>
      <c r="X475" s="4">
        <f t="shared" si="23"/>
        <v>60000000</v>
      </c>
      <c r="Y475" s="5">
        <f t="shared" si="24"/>
        <v>1</v>
      </c>
    </row>
    <row r="476" spans="1:25" x14ac:dyDescent="0.25">
      <c r="A476" s="1" t="s">
        <v>101</v>
      </c>
      <c r="B476" s="1" t="s">
        <v>38</v>
      </c>
      <c r="C476" s="1" t="s">
        <v>39</v>
      </c>
      <c r="D476" s="1">
        <v>6299513.2448365418</v>
      </c>
      <c r="E476" s="1">
        <v>415767.87415921176</v>
      </c>
      <c r="F476" s="1">
        <v>415767.87415921176</v>
      </c>
      <c r="G476" s="1">
        <v>519709.8426990147</v>
      </c>
      <c r="H476" s="1">
        <v>519709.8426990147</v>
      </c>
      <c r="I476" s="1">
        <v>519709.8426990147</v>
      </c>
      <c r="J476" s="1">
        <v>519709.8426990147</v>
      </c>
      <c r="K476" s="1">
        <v>519709.8426990147</v>
      </c>
      <c r="L476" s="1">
        <v>519709.8426990147</v>
      </c>
      <c r="M476" s="1">
        <v>316550.54055303626</v>
      </c>
      <c r="N476" s="1">
        <v>316550.54055303626</v>
      </c>
      <c r="O476" s="1">
        <v>263792.11712753022</v>
      </c>
      <c r="P476" s="1">
        <v>263792.11712753022</v>
      </c>
      <c r="Q476" s="1">
        <v>369308.96397854231</v>
      </c>
      <c r="R476" s="1">
        <v>369308.96397854231</v>
      </c>
      <c r="S476" s="1">
        <v>369308.96397854231</v>
      </c>
      <c r="T476" s="1">
        <v>369308.96397854231</v>
      </c>
      <c r="U476" s="1">
        <v>369308.96397854231</v>
      </c>
      <c r="V476" s="1">
        <v>369308.96397854231</v>
      </c>
      <c r="W476" s="4">
        <f t="shared" si="22"/>
        <v>3663166.9518724489</v>
      </c>
      <c r="X476" s="4">
        <f t="shared" si="23"/>
        <v>3663166.9518724489</v>
      </c>
      <c r="Y476" s="5">
        <f t="shared" si="24"/>
        <v>0.58150000000000002</v>
      </c>
    </row>
    <row r="477" spans="1:25" x14ac:dyDescent="0.25">
      <c r="A477" s="1" t="s">
        <v>101</v>
      </c>
      <c r="B477" s="1" t="s">
        <v>61</v>
      </c>
      <c r="C477" s="1" t="s">
        <v>34</v>
      </c>
      <c r="D477" s="1">
        <v>80895287</v>
      </c>
      <c r="E477" s="1">
        <v>0</v>
      </c>
      <c r="F477" s="1">
        <v>0</v>
      </c>
      <c r="G477" s="1">
        <v>6471622.9592628693</v>
      </c>
      <c r="H477" s="1">
        <v>6471622.9592628693</v>
      </c>
      <c r="I477" s="1">
        <v>0</v>
      </c>
      <c r="J477" s="1">
        <v>0</v>
      </c>
      <c r="K477" s="1">
        <v>0</v>
      </c>
      <c r="L477" s="1">
        <v>0</v>
      </c>
      <c r="M477" s="1">
        <v>18605916.010184284</v>
      </c>
      <c r="N477" s="1">
        <v>18605916.010184284</v>
      </c>
      <c r="O477" s="1">
        <v>0</v>
      </c>
      <c r="P477" s="1">
        <v>0</v>
      </c>
      <c r="Q477" s="1">
        <v>0</v>
      </c>
      <c r="R477" s="1">
        <v>0</v>
      </c>
      <c r="S477" s="1">
        <v>27908874.015276425</v>
      </c>
      <c r="T477" s="1">
        <v>27908874.015276425</v>
      </c>
      <c r="U477" s="1">
        <v>0</v>
      </c>
      <c r="V477" s="1">
        <v>0</v>
      </c>
      <c r="W477" s="4">
        <f t="shared" si="22"/>
        <v>52986412.984723575</v>
      </c>
      <c r="X477" s="4">
        <f t="shared" si="23"/>
        <v>52986412.984723575</v>
      </c>
      <c r="Y477" s="5">
        <f t="shared" si="24"/>
        <v>0.65499999999658298</v>
      </c>
    </row>
    <row r="478" spans="1:25" x14ac:dyDescent="0.25">
      <c r="A478" s="1" t="s">
        <v>101</v>
      </c>
      <c r="B478" s="1" t="s">
        <v>62</v>
      </c>
      <c r="C478" s="1" t="s">
        <v>63</v>
      </c>
      <c r="D478" s="1">
        <v>22142857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1660714.2857142857</v>
      </c>
      <c r="N478" s="1">
        <v>1660714.2857142857</v>
      </c>
      <c r="O478" s="1">
        <v>1383928.5714285714</v>
      </c>
      <c r="P478" s="1">
        <v>1383928.5714285714</v>
      </c>
      <c r="Q478" s="1">
        <v>1937499.9999999998</v>
      </c>
      <c r="R478" s="1">
        <v>1937499.9999999998</v>
      </c>
      <c r="S478" s="1">
        <v>1937499.9999999998</v>
      </c>
      <c r="T478" s="1">
        <v>1937499.9999999998</v>
      </c>
      <c r="U478" s="1">
        <v>1937499.9999999998</v>
      </c>
      <c r="V478" s="1">
        <v>1937499.9999999998</v>
      </c>
      <c r="W478" s="4">
        <f t="shared" si="22"/>
        <v>8857142.8571428563</v>
      </c>
      <c r="X478" s="4">
        <f t="shared" si="23"/>
        <v>8857142.8571428563</v>
      </c>
      <c r="Y478" s="5">
        <f t="shared" si="24"/>
        <v>0.40000000258064516</v>
      </c>
    </row>
    <row r="479" spans="1:25" x14ac:dyDescent="0.25">
      <c r="A479" s="1" t="s">
        <v>101</v>
      </c>
      <c r="B479" s="1" t="s">
        <v>40</v>
      </c>
      <c r="C479" s="1" t="s">
        <v>27</v>
      </c>
      <c r="D479" s="1">
        <v>36953904</v>
      </c>
      <c r="E479" s="1">
        <v>1889000</v>
      </c>
      <c r="F479" s="1">
        <v>1889000</v>
      </c>
      <c r="G479" s="1">
        <v>9956874</v>
      </c>
      <c r="H479" s="1">
        <v>9956874</v>
      </c>
      <c r="I479" s="1">
        <v>3222262</v>
      </c>
      <c r="J479" s="1">
        <v>3222262</v>
      </c>
      <c r="K479" s="1">
        <v>2690884</v>
      </c>
      <c r="L479" s="1">
        <v>2690884</v>
      </c>
      <c r="M479" s="1">
        <v>0</v>
      </c>
      <c r="N479" s="1">
        <v>0</v>
      </c>
      <c r="O479" s="1">
        <v>7363335</v>
      </c>
      <c r="P479" s="1">
        <v>7363335</v>
      </c>
      <c r="Q479" s="1">
        <v>1566457</v>
      </c>
      <c r="R479" s="1">
        <v>1566457</v>
      </c>
      <c r="S479" s="1">
        <v>3912370</v>
      </c>
      <c r="T479" s="1">
        <v>3912370</v>
      </c>
      <c r="U479" s="1">
        <v>3081025</v>
      </c>
      <c r="V479" s="1">
        <v>3081025</v>
      </c>
      <c r="W479" s="4">
        <f t="shared" si="22"/>
        <v>33682207</v>
      </c>
      <c r="X479" s="4">
        <f t="shared" si="23"/>
        <v>33682207</v>
      </c>
      <c r="Y479" s="5">
        <f t="shared" si="24"/>
        <v>0.91146545707322291</v>
      </c>
    </row>
    <row r="480" spans="1:25" x14ac:dyDescent="0.25">
      <c r="A480" s="1" t="s">
        <v>101</v>
      </c>
      <c r="B480" s="1" t="s">
        <v>41</v>
      </c>
      <c r="C480" s="1" t="s">
        <v>27</v>
      </c>
      <c r="D480" s="1">
        <v>47369339</v>
      </c>
      <c r="E480" s="1">
        <v>0</v>
      </c>
      <c r="F480" s="1">
        <v>0</v>
      </c>
      <c r="G480" s="1">
        <v>0</v>
      </c>
      <c r="H480" s="1">
        <v>0</v>
      </c>
      <c r="I480" s="1">
        <v>10115850.677937254</v>
      </c>
      <c r="J480" s="1">
        <v>10115850.677937254</v>
      </c>
      <c r="K480" s="1">
        <v>0</v>
      </c>
      <c r="L480" s="1">
        <v>0</v>
      </c>
      <c r="M480" s="1">
        <v>12865968.12077353</v>
      </c>
      <c r="N480" s="1">
        <v>12865968.12077353</v>
      </c>
      <c r="O480" s="1">
        <v>10049432.080515686</v>
      </c>
      <c r="P480" s="1">
        <v>10049432.080515686</v>
      </c>
      <c r="Q480" s="1">
        <v>12865968.12077353</v>
      </c>
      <c r="R480" s="1">
        <v>12865968.12077353</v>
      </c>
      <c r="S480" s="1">
        <v>1472120</v>
      </c>
      <c r="T480" s="1">
        <v>1472120</v>
      </c>
      <c r="U480" s="1">
        <v>0</v>
      </c>
      <c r="V480" s="1">
        <v>0</v>
      </c>
      <c r="W480" s="4">
        <f t="shared" si="22"/>
        <v>47369339</v>
      </c>
      <c r="X480" s="4">
        <f t="shared" si="23"/>
        <v>47369339</v>
      </c>
      <c r="Y480" s="5">
        <f t="shared" si="24"/>
        <v>1</v>
      </c>
    </row>
    <row r="481" spans="1:25" x14ac:dyDescent="0.25">
      <c r="A481" s="1" t="s">
        <v>101</v>
      </c>
      <c r="B481" s="1" t="s">
        <v>42</v>
      </c>
      <c r="C481" s="1" t="s">
        <v>27</v>
      </c>
      <c r="D481" s="1">
        <v>9236971</v>
      </c>
      <c r="E481" s="1">
        <v>0</v>
      </c>
      <c r="F481" s="1">
        <v>0</v>
      </c>
      <c r="G481" s="1">
        <v>3000000</v>
      </c>
      <c r="H481" s="1">
        <v>3000000</v>
      </c>
      <c r="I481" s="1">
        <v>0</v>
      </c>
      <c r="J481" s="1">
        <v>0</v>
      </c>
      <c r="K481" s="1">
        <v>0</v>
      </c>
      <c r="L481" s="1">
        <v>0</v>
      </c>
      <c r="M481" s="1">
        <v>2338864.125</v>
      </c>
      <c r="N481" s="1">
        <v>2338864.125</v>
      </c>
      <c r="O481" s="1">
        <v>1559242.75</v>
      </c>
      <c r="P481" s="1">
        <v>1559242.75</v>
      </c>
      <c r="Q481" s="1">
        <v>2338864.125</v>
      </c>
      <c r="R481" s="1">
        <v>2338864.125</v>
      </c>
      <c r="S481" s="1">
        <v>0</v>
      </c>
      <c r="T481" s="1">
        <v>0</v>
      </c>
      <c r="U481" s="1">
        <v>0</v>
      </c>
      <c r="V481" s="1">
        <v>0</v>
      </c>
      <c r="W481" s="4">
        <f t="shared" si="22"/>
        <v>9236971</v>
      </c>
      <c r="X481" s="4">
        <f t="shared" si="23"/>
        <v>9236971</v>
      </c>
      <c r="Y481" s="5">
        <f t="shared" si="24"/>
        <v>1</v>
      </c>
    </row>
    <row r="482" spans="1:25" x14ac:dyDescent="0.25">
      <c r="A482" s="1" t="s">
        <v>101</v>
      </c>
      <c r="B482" s="1" t="s">
        <v>43</v>
      </c>
      <c r="C482" s="1" t="s">
        <v>31</v>
      </c>
      <c r="D482" s="1">
        <v>4580499</v>
      </c>
      <c r="E482" s="1">
        <v>266073.87959672045</v>
      </c>
      <c r="F482" s="1">
        <v>266073.87959672045</v>
      </c>
      <c r="G482" s="1">
        <v>332592.34949590056</v>
      </c>
      <c r="H482" s="1">
        <v>332592.34949590056</v>
      </c>
      <c r="I482" s="1">
        <v>332592.34949590056</v>
      </c>
      <c r="J482" s="1">
        <v>332592.34949590056</v>
      </c>
      <c r="K482" s="1">
        <v>332592.34949590056</v>
      </c>
      <c r="L482" s="1">
        <v>332592.34949590056</v>
      </c>
      <c r="M482" s="1">
        <v>247307.2146403103</v>
      </c>
      <c r="N482" s="1">
        <v>247307.2146403103</v>
      </c>
      <c r="O482" s="1">
        <v>206089.34553359193</v>
      </c>
      <c r="P482" s="1">
        <v>206089.34553359193</v>
      </c>
      <c r="Q482" s="1">
        <v>255415.13518227686</v>
      </c>
      <c r="R482" s="1">
        <v>255415.13518227686</v>
      </c>
      <c r="S482" s="1">
        <v>288525.08374702866</v>
      </c>
      <c r="T482" s="1">
        <v>288525.08374702866</v>
      </c>
      <c r="U482" s="1">
        <v>288525.08374702866</v>
      </c>
      <c r="V482" s="1">
        <v>288525.08374702866</v>
      </c>
      <c r="W482" s="4">
        <f t="shared" si="22"/>
        <v>2549712.7909346586</v>
      </c>
      <c r="X482" s="4">
        <f t="shared" si="23"/>
        <v>2549712.7909346586</v>
      </c>
      <c r="Y482" s="5">
        <f t="shared" si="24"/>
        <v>0.55664520196045419</v>
      </c>
    </row>
    <row r="483" spans="1:25" x14ac:dyDescent="0.25">
      <c r="A483" s="1" t="s">
        <v>101</v>
      </c>
      <c r="B483" s="1" t="s">
        <v>64</v>
      </c>
      <c r="C483" s="1" t="s">
        <v>23</v>
      </c>
      <c r="D483" s="1">
        <v>4069662.2087626597</v>
      </c>
      <c r="E483" s="1">
        <v>268597.70577833557</v>
      </c>
      <c r="F483" s="1">
        <v>268597.70577833557</v>
      </c>
      <c r="G483" s="1">
        <v>335747.13222291943</v>
      </c>
      <c r="H483" s="1">
        <v>335747.13222291943</v>
      </c>
      <c r="I483" s="1">
        <v>335747.13222291943</v>
      </c>
      <c r="J483" s="1">
        <v>335747.13222291943</v>
      </c>
      <c r="K483" s="1">
        <v>335747.13222291943</v>
      </c>
      <c r="L483" s="1">
        <v>335747.13222291943</v>
      </c>
      <c r="M483" s="1">
        <v>204500.52599032363</v>
      </c>
      <c r="N483" s="1">
        <v>204500.52599032363</v>
      </c>
      <c r="O483" s="1">
        <v>170417.10499193636</v>
      </c>
      <c r="P483" s="1">
        <v>170417.10499193636</v>
      </c>
      <c r="Q483" s="1">
        <v>238583.94698871087</v>
      </c>
      <c r="R483" s="1">
        <v>238583.94698871087</v>
      </c>
      <c r="S483" s="1">
        <v>238583.94698871087</v>
      </c>
      <c r="T483" s="1">
        <v>238583.94698871087</v>
      </c>
      <c r="U483" s="1">
        <v>238583.94698871087</v>
      </c>
      <c r="V483" s="1">
        <v>238583.94698871087</v>
      </c>
      <c r="W483" s="4">
        <f t="shared" si="22"/>
        <v>2366508.5743954866</v>
      </c>
      <c r="X483" s="4">
        <f t="shared" si="23"/>
        <v>2366508.5743954866</v>
      </c>
      <c r="Y483" s="5">
        <f t="shared" si="24"/>
        <v>0.58150000000000002</v>
      </c>
    </row>
    <row r="484" spans="1:25" x14ac:dyDescent="0.25">
      <c r="A484" s="1" t="s">
        <v>101</v>
      </c>
      <c r="B484" s="1" t="s">
        <v>65</v>
      </c>
      <c r="C484" s="1" t="s">
        <v>31</v>
      </c>
      <c r="D484" s="1">
        <v>2730241.2898628335</v>
      </c>
      <c r="E484" s="1">
        <v>180195.92513094703</v>
      </c>
      <c r="F484" s="1">
        <v>180195.92513094703</v>
      </c>
      <c r="G484" s="1">
        <v>225244.90641368378</v>
      </c>
      <c r="H484" s="1">
        <v>225244.90641368378</v>
      </c>
      <c r="I484" s="1">
        <v>225244.90641368378</v>
      </c>
      <c r="J484" s="1">
        <v>225244.90641368378</v>
      </c>
      <c r="K484" s="1">
        <v>225244.90641368378</v>
      </c>
      <c r="L484" s="1">
        <v>225244.90641368378</v>
      </c>
      <c r="M484" s="1">
        <v>137194.62481560736</v>
      </c>
      <c r="N484" s="1">
        <v>137194.62481560736</v>
      </c>
      <c r="O484" s="1">
        <v>114328.85401300614</v>
      </c>
      <c r="P484" s="1">
        <v>114328.85401300614</v>
      </c>
      <c r="Q484" s="1">
        <v>160060.3956182086</v>
      </c>
      <c r="R484" s="1">
        <v>160060.3956182086</v>
      </c>
      <c r="S484" s="1">
        <v>160060.3956182086</v>
      </c>
      <c r="T484" s="1">
        <v>160060.3956182086</v>
      </c>
      <c r="U484" s="1">
        <v>160060.3956182086</v>
      </c>
      <c r="V484" s="1">
        <v>160060.3956182086</v>
      </c>
      <c r="W484" s="4">
        <f t="shared" si="22"/>
        <v>1587635.3100552377</v>
      </c>
      <c r="X484" s="4">
        <f t="shared" si="23"/>
        <v>1587635.3100552377</v>
      </c>
      <c r="Y484" s="5">
        <f t="shared" si="24"/>
        <v>0.58150000000000002</v>
      </c>
    </row>
    <row r="485" spans="1:25" x14ac:dyDescent="0.25">
      <c r="A485" s="1" t="s">
        <v>101</v>
      </c>
      <c r="B485" s="1" t="s">
        <v>44</v>
      </c>
      <c r="C485" s="1" t="s">
        <v>45</v>
      </c>
      <c r="D485" s="1">
        <v>6299513.2448365418</v>
      </c>
      <c r="E485" s="1">
        <v>415767.87415921176</v>
      </c>
      <c r="F485" s="1">
        <v>415767.87415921176</v>
      </c>
      <c r="G485" s="1">
        <v>519709.8426990147</v>
      </c>
      <c r="H485" s="1">
        <v>519709.8426990147</v>
      </c>
      <c r="I485" s="1">
        <v>519709.8426990147</v>
      </c>
      <c r="J485" s="1">
        <v>519709.8426990147</v>
      </c>
      <c r="K485" s="1">
        <v>519709.8426990147</v>
      </c>
      <c r="L485" s="1">
        <v>519709.8426990147</v>
      </c>
      <c r="M485" s="1">
        <v>316550.54055303626</v>
      </c>
      <c r="N485" s="1">
        <v>316550.54055303626</v>
      </c>
      <c r="O485" s="1">
        <v>263792.11712753022</v>
      </c>
      <c r="P485" s="1">
        <v>263792.11712753022</v>
      </c>
      <c r="Q485" s="1">
        <v>369308.96397854231</v>
      </c>
      <c r="R485" s="1">
        <v>369308.96397854231</v>
      </c>
      <c r="S485" s="1">
        <v>369308.96397854231</v>
      </c>
      <c r="T485" s="1">
        <v>369308.96397854231</v>
      </c>
      <c r="U485" s="1">
        <v>369308.96397854231</v>
      </c>
      <c r="V485" s="1">
        <v>369308.96397854231</v>
      </c>
      <c r="W485" s="4">
        <f t="shared" si="22"/>
        <v>3663166.9518724489</v>
      </c>
      <c r="X485" s="4">
        <f t="shared" si="23"/>
        <v>3663166.9518724489</v>
      </c>
      <c r="Y485" s="5">
        <f t="shared" si="24"/>
        <v>0.58150000000000002</v>
      </c>
    </row>
    <row r="486" spans="1:25" x14ac:dyDescent="0.25">
      <c r="A486" s="1" t="s">
        <v>101</v>
      </c>
      <c r="B486" s="1" t="s">
        <v>46</v>
      </c>
      <c r="C486" s="1" t="s">
        <v>22</v>
      </c>
      <c r="D486" s="1">
        <v>32468869.423103288</v>
      </c>
      <c r="E486" s="1">
        <v>2144952.7375489674</v>
      </c>
      <c r="F486" s="1">
        <v>2144952.7375489674</v>
      </c>
      <c r="G486" s="1">
        <v>2681190.9219362093</v>
      </c>
      <c r="H486" s="1">
        <v>2681190.9219362093</v>
      </c>
      <c r="I486" s="1">
        <v>2681190.9219362093</v>
      </c>
      <c r="J486" s="1">
        <v>2681190.9219362093</v>
      </c>
      <c r="K486" s="1">
        <v>2681190.9219362093</v>
      </c>
      <c r="L486" s="1">
        <v>2681190.9219362093</v>
      </c>
      <c r="M486" s="1">
        <v>1682359.1501084042</v>
      </c>
      <c r="N486" s="1">
        <v>1682359.1501084042</v>
      </c>
      <c r="O486" s="1">
        <v>1368076.7872783605</v>
      </c>
      <c r="P486" s="1">
        <v>1368076.7872783605</v>
      </c>
      <c r="Q486" s="1">
        <v>1894017.3846429046</v>
      </c>
      <c r="R486" s="1">
        <v>1894017.3846429046</v>
      </c>
      <c r="S486" s="1">
        <v>1894017.3846429046</v>
      </c>
      <c r="T486" s="1">
        <v>1894017.3846429046</v>
      </c>
      <c r="U486" s="1">
        <v>1894017.3846429046</v>
      </c>
      <c r="V486" s="1">
        <v>1894017.3846429046</v>
      </c>
      <c r="W486" s="4">
        <f t="shared" si="22"/>
        <v>18921013.594673075</v>
      </c>
      <c r="X486" s="4">
        <f t="shared" si="23"/>
        <v>18921013.594673075</v>
      </c>
      <c r="Y486" s="5">
        <f t="shared" si="24"/>
        <v>0.58274322238056708</v>
      </c>
    </row>
    <row r="487" spans="1:25" x14ac:dyDescent="0.25">
      <c r="A487" s="1" t="s">
        <v>101</v>
      </c>
      <c r="B487" s="1" t="s">
        <v>66</v>
      </c>
      <c r="C487" s="1" t="s">
        <v>24</v>
      </c>
      <c r="D487" s="1">
        <v>163755521.13893533</v>
      </c>
      <c r="E487" s="1">
        <v>13509830.493962165</v>
      </c>
      <c r="F487" s="1">
        <v>13509830.493962165</v>
      </c>
      <c r="G487" s="1">
        <v>13509830.493962165</v>
      </c>
      <c r="H487" s="1">
        <v>13509830.493962165</v>
      </c>
      <c r="I487" s="1">
        <v>13509830.493962165</v>
      </c>
      <c r="J487" s="1">
        <v>13509830.493962165</v>
      </c>
      <c r="K487" s="1">
        <v>13509830.493962165</v>
      </c>
      <c r="L487" s="1">
        <v>13509830.493962165</v>
      </c>
      <c r="M487" s="1">
        <v>15460678.02415134</v>
      </c>
      <c r="N487" s="1">
        <v>15460678.02415134</v>
      </c>
      <c r="O487" s="1">
        <v>14000000</v>
      </c>
      <c r="P487" s="1">
        <v>14000000</v>
      </c>
      <c r="Q487" s="1">
        <v>14000000</v>
      </c>
      <c r="R487" s="1">
        <v>14000000</v>
      </c>
      <c r="S487" s="1">
        <v>13375920</v>
      </c>
      <c r="T487" s="1">
        <v>13375920</v>
      </c>
      <c r="U487" s="1">
        <v>13375920</v>
      </c>
      <c r="V487" s="1">
        <v>13375920</v>
      </c>
      <c r="W487" s="4">
        <f t="shared" si="22"/>
        <v>124251840.00000001</v>
      </c>
      <c r="X487" s="4">
        <f t="shared" si="23"/>
        <v>124251840.00000001</v>
      </c>
      <c r="Y487" s="5">
        <f t="shared" si="24"/>
        <v>0.75876427943202507</v>
      </c>
    </row>
    <row r="488" spans="1:25" x14ac:dyDescent="0.25">
      <c r="A488" s="1" t="s">
        <v>101</v>
      </c>
      <c r="B488" s="1" t="s">
        <v>67</v>
      </c>
      <c r="C488" s="1" t="s">
        <v>68</v>
      </c>
      <c r="D488" s="1">
        <v>5916750.6585043678</v>
      </c>
      <c r="E488" s="1">
        <v>390505.54346128833</v>
      </c>
      <c r="F488" s="1">
        <v>390505.54346128833</v>
      </c>
      <c r="G488" s="1">
        <v>488131.92932661035</v>
      </c>
      <c r="H488" s="1">
        <v>488131.92932661035</v>
      </c>
      <c r="I488" s="1">
        <v>488131.92932661035</v>
      </c>
      <c r="J488" s="1">
        <v>488131.92932661035</v>
      </c>
      <c r="K488" s="1">
        <v>488131.92932661035</v>
      </c>
      <c r="L488" s="1">
        <v>488131.92932661035</v>
      </c>
      <c r="M488" s="1">
        <v>307671.03424222715</v>
      </c>
      <c r="N488" s="1">
        <v>307671.03424222715</v>
      </c>
      <c r="O488" s="1">
        <v>246531.277437682</v>
      </c>
      <c r="P488" s="1">
        <v>246531.277437682</v>
      </c>
      <c r="Q488" s="1">
        <v>345143.78841275477</v>
      </c>
      <c r="R488" s="1">
        <v>345143.78841275477</v>
      </c>
      <c r="S488" s="1">
        <v>345143.78841275477</v>
      </c>
      <c r="T488" s="1">
        <v>345143.78841275477</v>
      </c>
      <c r="U488" s="1">
        <v>345143.78841275477</v>
      </c>
      <c r="V488" s="1">
        <v>345143.78841275477</v>
      </c>
      <c r="W488" s="4">
        <f t="shared" si="22"/>
        <v>3444535.0083592925</v>
      </c>
      <c r="X488" s="4">
        <f t="shared" si="23"/>
        <v>3444535.0083592925</v>
      </c>
      <c r="Y488" s="5">
        <f t="shared" si="24"/>
        <v>0.58216666666666661</v>
      </c>
    </row>
    <row r="489" spans="1:25" x14ac:dyDescent="0.25">
      <c r="A489" s="1" t="s">
        <v>101</v>
      </c>
      <c r="B489" s="1" t="s">
        <v>69</v>
      </c>
      <c r="C489" s="1" t="s">
        <v>28</v>
      </c>
      <c r="D489" s="1">
        <v>3142728.1783098094</v>
      </c>
      <c r="E489" s="1">
        <v>207420.05976844742</v>
      </c>
      <c r="F489" s="1">
        <v>207420.05976844742</v>
      </c>
      <c r="G489" s="1">
        <v>259275.07471055927</v>
      </c>
      <c r="H489" s="1">
        <v>259275.07471055927</v>
      </c>
      <c r="I489" s="1">
        <v>259275.07471055927</v>
      </c>
      <c r="J489" s="1">
        <v>259275.07471055927</v>
      </c>
      <c r="K489" s="1">
        <v>259275.07471055927</v>
      </c>
      <c r="L489" s="1">
        <v>259275.07471055927</v>
      </c>
      <c r="M489" s="1">
        <v>157922.0909600679</v>
      </c>
      <c r="N489" s="1">
        <v>157922.0909600679</v>
      </c>
      <c r="O489" s="1">
        <v>131601.74246672326</v>
      </c>
      <c r="P489" s="1">
        <v>131601.74246672326</v>
      </c>
      <c r="Q489" s="1">
        <v>184242.43945341255</v>
      </c>
      <c r="R489" s="1">
        <v>184242.43945341255</v>
      </c>
      <c r="S489" s="1">
        <v>184242.43945341255</v>
      </c>
      <c r="T489" s="1">
        <v>184242.43945341255</v>
      </c>
      <c r="U489" s="1">
        <v>184242.43945341255</v>
      </c>
      <c r="V489" s="1">
        <v>184242.43945341255</v>
      </c>
      <c r="W489" s="4">
        <f t="shared" si="22"/>
        <v>1827496.4356871543</v>
      </c>
      <c r="X489" s="4">
        <f t="shared" si="23"/>
        <v>1827496.4356871543</v>
      </c>
      <c r="Y489" s="5">
        <f t="shared" si="24"/>
        <v>0.58150000000000002</v>
      </c>
    </row>
    <row r="490" spans="1:25" x14ac:dyDescent="0.25">
      <c r="A490" s="1" t="s">
        <v>101</v>
      </c>
      <c r="B490" s="1" t="s">
        <v>70</v>
      </c>
      <c r="C490" s="1" t="s">
        <v>23</v>
      </c>
      <c r="D490" s="1">
        <v>6890625.0152343744</v>
      </c>
      <c r="E490" s="1">
        <v>454781.25100546872</v>
      </c>
      <c r="F490" s="1">
        <v>454781.25100546872</v>
      </c>
      <c r="G490" s="1">
        <v>568476.56375683588</v>
      </c>
      <c r="H490" s="1">
        <v>568476.56375683588</v>
      </c>
      <c r="I490" s="1">
        <v>568476.56375683588</v>
      </c>
      <c r="J490" s="1">
        <v>568476.56375683588</v>
      </c>
      <c r="K490" s="1">
        <v>568476.56375683588</v>
      </c>
      <c r="L490" s="1">
        <v>568476.56375683588</v>
      </c>
      <c r="M490" s="1">
        <v>346253.90701552731</v>
      </c>
      <c r="N490" s="1">
        <v>346253.90701552731</v>
      </c>
      <c r="O490" s="1">
        <v>288544.92251293943</v>
      </c>
      <c r="P490" s="1">
        <v>288544.92251293943</v>
      </c>
      <c r="Q490" s="1">
        <v>403962.89151811518</v>
      </c>
      <c r="R490" s="1">
        <v>403962.89151811518</v>
      </c>
      <c r="S490" s="1">
        <v>403962.89151811518</v>
      </c>
      <c r="T490" s="1">
        <v>403962.89151811518</v>
      </c>
      <c r="U490" s="1">
        <v>403962.89151811518</v>
      </c>
      <c r="V490" s="1">
        <v>403962.89151811518</v>
      </c>
      <c r="W490" s="4">
        <f t="shared" si="22"/>
        <v>4006898.4463587888</v>
      </c>
      <c r="X490" s="4">
        <f t="shared" si="23"/>
        <v>4006898.4463587888</v>
      </c>
      <c r="Y490" s="5">
        <f t="shared" si="24"/>
        <v>0.58150000000000002</v>
      </c>
    </row>
    <row r="491" spans="1:25" x14ac:dyDescent="0.25">
      <c r="A491" s="1" t="s">
        <v>101</v>
      </c>
      <c r="B491" s="1" t="s">
        <v>71</v>
      </c>
      <c r="C491" s="1" t="s">
        <v>29</v>
      </c>
      <c r="D491" s="1">
        <v>7024559.9711538432</v>
      </c>
      <c r="E491" s="1">
        <v>463620.95809615368</v>
      </c>
      <c r="F491" s="1">
        <v>463620.95809615368</v>
      </c>
      <c r="G491" s="1">
        <v>579526.19762019208</v>
      </c>
      <c r="H491" s="1">
        <v>579526.19762019208</v>
      </c>
      <c r="I491" s="1">
        <v>579526.19762019208</v>
      </c>
      <c r="J491" s="1">
        <v>579526.19762019208</v>
      </c>
      <c r="K491" s="1">
        <v>579526.19762019208</v>
      </c>
      <c r="L491" s="1">
        <v>579526.19762019208</v>
      </c>
      <c r="M491" s="1">
        <v>352984.13855048059</v>
      </c>
      <c r="N491" s="1">
        <v>352984.13855048059</v>
      </c>
      <c r="O491" s="1">
        <v>294153.44879206718</v>
      </c>
      <c r="P491" s="1">
        <v>294153.44879206718</v>
      </c>
      <c r="Q491" s="1">
        <v>411814.82830889401</v>
      </c>
      <c r="R491" s="1">
        <v>411814.82830889401</v>
      </c>
      <c r="S491" s="1">
        <v>411814.82830889401</v>
      </c>
      <c r="T491" s="1">
        <v>411814.82830889401</v>
      </c>
      <c r="U491" s="1">
        <v>411814.82830889401</v>
      </c>
      <c r="V491" s="1">
        <v>411814.82830889401</v>
      </c>
      <c r="W491" s="4">
        <f t="shared" si="22"/>
        <v>4084781.6232259595</v>
      </c>
      <c r="X491" s="4">
        <f t="shared" si="23"/>
        <v>4084781.6232259595</v>
      </c>
      <c r="Y491" s="5">
        <f t="shared" si="24"/>
        <v>0.58149999999999991</v>
      </c>
    </row>
    <row r="492" spans="1:25" x14ac:dyDescent="0.25">
      <c r="A492" s="1" t="s">
        <v>101</v>
      </c>
      <c r="B492" s="1" t="s">
        <v>72</v>
      </c>
      <c r="C492" s="1" t="s">
        <v>73</v>
      </c>
      <c r="D492" s="1">
        <v>3121371.0027940893</v>
      </c>
      <c r="E492" s="1">
        <v>206010.48618440991</v>
      </c>
      <c r="F492" s="1">
        <v>206010.48618440991</v>
      </c>
      <c r="G492" s="1">
        <v>257513.10773051236</v>
      </c>
      <c r="H492" s="1">
        <v>257513.10773051236</v>
      </c>
      <c r="I492" s="1">
        <v>257513.10773051236</v>
      </c>
      <c r="J492" s="1">
        <v>257513.10773051236</v>
      </c>
      <c r="K492" s="1">
        <v>257513.10773051236</v>
      </c>
      <c r="L492" s="1">
        <v>257513.10773051236</v>
      </c>
      <c r="M492" s="1">
        <v>156848.89289040296</v>
      </c>
      <c r="N492" s="1">
        <v>156848.89289040296</v>
      </c>
      <c r="O492" s="1">
        <v>130707.41074200248</v>
      </c>
      <c r="P492" s="1">
        <v>130707.41074200248</v>
      </c>
      <c r="Q492" s="1">
        <v>182990.37503880347</v>
      </c>
      <c r="R492" s="1">
        <v>182990.37503880347</v>
      </c>
      <c r="S492" s="1">
        <v>182990.37503880347</v>
      </c>
      <c r="T492" s="1">
        <v>182990.37503880347</v>
      </c>
      <c r="U492" s="1">
        <v>182990.37503880347</v>
      </c>
      <c r="V492" s="1">
        <v>182990.37503880347</v>
      </c>
      <c r="W492" s="4">
        <f t="shared" si="22"/>
        <v>1815077.2381247627</v>
      </c>
      <c r="X492" s="4">
        <f t="shared" si="23"/>
        <v>1815077.2381247627</v>
      </c>
      <c r="Y492" s="5">
        <f t="shared" si="24"/>
        <v>0.58149999999999991</v>
      </c>
    </row>
    <row r="493" spans="1:25" x14ac:dyDescent="0.25">
      <c r="A493" s="1" t="s">
        <v>101</v>
      </c>
      <c r="B493" s="1" t="s">
        <v>48</v>
      </c>
      <c r="C493" s="1" t="s">
        <v>49</v>
      </c>
      <c r="D493" s="1">
        <v>3194784.8504143921</v>
      </c>
      <c r="E493" s="1">
        <v>210855.80012734991</v>
      </c>
      <c r="F493" s="1">
        <v>210855.80012734991</v>
      </c>
      <c r="G493" s="1">
        <v>263569.75015918736</v>
      </c>
      <c r="H493" s="1">
        <v>263569.75015918736</v>
      </c>
      <c r="I493" s="1">
        <v>263569.75015918736</v>
      </c>
      <c r="J493" s="1">
        <v>263569.75015918736</v>
      </c>
      <c r="K493" s="1">
        <v>263569.75015918736</v>
      </c>
      <c r="L493" s="1">
        <v>263569.75015918736</v>
      </c>
      <c r="M493" s="1">
        <v>160537.93873332322</v>
      </c>
      <c r="N493" s="1">
        <v>160537.93873332322</v>
      </c>
      <c r="O493" s="1">
        <v>133781.61561110269</v>
      </c>
      <c r="P493" s="1">
        <v>133781.61561110269</v>
      </c>
      <c r="Q493" s="1">
        <v>187294.26185554377</v>
      </c>
      <c r="R493" s="1">
        <v>187294.26185554377</v>
      </c>
      <c r="S493" s="1">
        <v>187294.26185554377</v>
      </c>
      <c r="T493" s="1">
        <v>187294.26185554377</v>
      </c>
      <c r="U493" s="1">
        <v>187294.26185554377</v>
      </c>
      <c r="V493" s="1">
        <v>187294.26185554377</v>
      </c>
      <c r="W493" s="4">
        <f t="shared" si="22"/>
        <v>1857767.3905159687</v>
      </c>
      <c r="X493" s="4">
        <f t="shared" si="23"/>
        <v>1857767.3905159687</v>
      </c>
      <c r="Y493" s="5">
        <f t="shared" si="24"/>
        <v>0.58149999999999991</v>
      </c>
    </row>
    <row r="494" spans="1:25" x14ac:dyDescent="0.25">
      <c r="A494" s="1" t="s">
        <v>101</v>
      </c>
      <c r="B494" s="1" t="s">
        <v>53</v>
      </c>
      <c r="C494" s="1" t="s">
        <v>30</v>
      </c>
      <c r="D494" s="1">
        <v>9688786.1158917695</v>
      </c>
      <c r="E494" s="1">
        <v>639459.88364885689</v>
      </c>
      <c r="F494" s="1">
        <v>639459.88364885689</v>
      </c>
      <c r="G494" s="1">
        <v>799324.85456107103</v>
      </c>
      <c r="H494" s="1">
        <v>799324.85456107103</v>
      </c>
      <c r="I494" s="1">
        <v>799324.85456107103</v>
      </c>
      <c r="J494" s="1">
        <v>799324.85456107103</v>
      </c>
      <c r="K494" s="1">
        <v>799324.85456107103</v>
      </c>
      <c r="L494" s="1">
        <v>799324.85456107103</v>
      </c>
      <c r="M494" s="1">
        <v>486861.50232356141</v>
      </c>
      <c r="N494" s="1">
        <v>486861.50232356141</v>
      </c>
      <c r="O494" s="1">
        <v>405717.91860296787</v>
      </c>
      <c r="P494" s="1">
        <v>405717.91860296787</v>
      </c>
      <c r="Q494" s="1">
        <v>568005.08604415494</v>
      </c>
      <c r="R494" s="1">
        <v>568005.08604415494</v>
      </c>
      <c r="S494" s="1">
        <v>568005.08604415494</v>
      </c>
      <c r="T494" s="1">
        <v>568005.08604415494</v>
      </c>
      <c r="U494" s="1">
        <v>568005.08604415494</v>
      </c>
      <c r="V494" s="1">
        <v>568005.08604415494</v>
      </c>
      <c r="W494" s="4">
        <f t="shared" si="22"/>
        <v>5634029.1263910634</v>
      </c>
      <c r="X494" s="4">
        <f t="shared" si="23"/>
        <v>5634029.1263910634</v>
      </c>
      <c r="Y494" s="5">
        <f t="shared" si="24"/>
        <v>0.58149999999999991</v>
      </c>
    </row>
    <row r="495" spans="1:25" x14ac:dyDescent="0.25">
      <c r="A495" s="1" t="s">
        <v>101</v>
      </c>
      <c r="B495" s="1" t="s">
        <v>74</v>
      </c>
      <c r="C495" s="1" t="s">
        <v>75</v>
      </c>
      <c r="D495" s="1">
        <v>7986648.6123432843</v>
      </c>
      <c r="E495" s="1">
        <v>527118.80841465679</v>
      </c>
      <c r="F495" s="1">
        <v>527118.80841465679</v>
      </c>
      <c r="G495" s="1">
        <v>658898.51051832095</v>
      </c>
      <c r="H495" s="1">
        <v>658898.51051832095</v>
      </c>
      <c r="I495" s="1">
        <v>658898.51051832095</v>
      </c>
      <c r="J495" s="1">
        <v>658898.51051832095</v>
      </c>
      <c r="K495" s="1">
        <v>658898.51051832095</v>
      </c>
      <c r="L495" s="1">
        <v>658898.51051832095</v>
      </c>
      <c r="M495" s="1">
        <v>401329.09277024999</v>
      </c>
      <c r="N495" s="1">
        <v>401329.09277024999</v>
      </c>
      <c r="O495" s="1">
        <v>334440.910641875</v>
      </c>
      <c r="P495" s="1">
        <v>334440.910641875</v>
      </c>
      <c r="Q495" s="1">
        <v>468217.27489862498</v>
      </c>
      <c r="R495" s="1">
        <v>468217.27489862498</v>
      </c>
      <c r="S495" s="1">
        <v>468217.27489862498</v>
      </c>
      <c r="T495" s="1">
        <v>468217.27489862498</v>
      </c>
      <c r="U495" s="1">
        <v>468217.27489862498</v>
      </c>
      <c r="V495" s="1">
        <v>468217.27489862498</v>
      </c>
      <c r="W495" s="4">
        <f t="shared" si="22"/>
        <v>4644236.1680776197</v>
      </c>
      <c r="X495" s="4">
        <f t="shared" si="23"/>
        <v>4644236.1680776197</v>
      </c>
      <c r="Y495" s="5">
        <f t="shared" si="24"/>
        <v>0.58150000000000002</v>
      </c>
    </row>
    <row r="496" spans="1:25" x14ac:dyDescent="0.25">
      <c r="A496" s="1" t="s">
        <v>101</v>
      </c>
      <c r="B496" s="1" t="s">
        <v>50</v>
      </c>
      <c r="C496" s="1" t="s">
        <v>25</v>
      </c>
      <c r="D496" s="1">
        <v>3354524.0929351109</v>
      </c>
      <c r="E496" s="1">
        <v>221398.59013371734</v>
      </c>
      <c r="F496" s="1">
        <v>221398.59013371734</v>
      </c>
      <c r="G496" s="1">
        <v>276748.23766714666</v>
      </c>
      <c r="H496" s="1">
        <v>276748.23766714666</v>
      </c>
      <c r="I496" s="1">
        <v>276748.23766714666</v>
      </c>
      <c r="J496" s="1">
        <v>276748.23766714666</v>
      </c>
      <c r="K496" s="1">
        <v>276748.23766714666</v>
      </c>
      <c r="L496" s="1">
        <v>276748.23766714666</v>
      </c>
      <c r="M496" s="1">
        <v>168564.83566998929</v>
      </c>
      <c r="N496" s="1">
        <v>168564.83566998929</v>
      </c>
      <c r="O496" s="1">
        <v>140470.69639165775</v>
      </c>
      <c r="P496" s="1">
        <v>140470.69639165775</v>
      </c>
      <c r="Q496" s="1">
        <v>196658.97494832083</v>
      </c>
      <c r="R496" s="1">
        <v>196658.97494832083</v>
      </c>
      <c r="S496" s="1">
        <v>196658.97494832083</v>
      </c>
      <c r="T496" s="1">
        <v>196658.97494832083</v>
      </c>
      <c r="U496" s="1">
        <v>196658.97494832083</v>
      </c>
      <c r="V496" s="1">
        <v>196658.97494832083</v>
      </c>
      <c r="W496" s="4">
        <f t="shared" si="22"/>
        <v>1950655.7600417666</v>
      </c>
      <c r="X496" s="4">
        <f t="shared" si="23"/>
        <v>1950655.7600417666</v>
      </c>
      <c r="Y496" s="5">
        <f t="shared" si="24"/>
        <v>0.58149999999999991</v>
      </c>
    </row>
    <row r="497" spans="1:25" x14ac:dyDescent="0.25">
      <c r="A497" s="1" t="s">
        <v>102</v>
      </c>
      <c r="B497" s="1" t="s">
        <v>59</v>
      </c>
      <c r="C497" s="1" t="s">
        <v>26</v>
      </c>
      <c r="D497" s="1">
        <v>35113563.308771722</v>
      </c>
      <c r="E497" s="1">
        <v>2834966.726378934</v>
      </c>
      <c r="F497" s="1">
        <v>2834966.726378934</v>
      </c>
      <c r="G497" s="1">
        <v>3543708.4079736671</v>
      </c>
      <c r="H497" s="1">
        <v>3543708.4079736671</v>
      </c>
      <c r="I497" s="1">
        <v>3543708.4079736671</v>
      </c>
      <c r="J497" s="1">
        <v>3543708.4079736671</v>
      </c>
      <c r="K497" s="1">
        <v>3543708.4079736671</v>
      </c>
      <c r="L497" s="1">
        <v>3543708.4079736671</v>
      </c>
      <c r="M497" s="1">
        <v>2617341.2096096324</v>
      </c>
      <c r="N497" s="1">
        <v>2617341.2096096324</v>
      </c>
      <c r="O497" s="1">
        <v>2617341.2096096324</v>
      </c>
      <c r="P497" s="1">
        <v>2617341.2096096324</v>
      </c>
      <c r="Q497" s="1">
        <v>2617341.2096096324</v>
      </c>
      <c r="R497" s="1">
        <v>2617341.2096096324</v>
      </c>
      <c r="S497" s="1">
        <v>2617341.2096096324</v>
      </c>
      <c r="T497" s="1">
        <v>2617341.2096096324</v>
      </c>
      <c r="U497" s="1">
        <v>2617341.2096096324</v>
      </c>
      <c r="V497" s="1">
        <v>2617341.2096096324</v>
      </c>
      <c r="W497" s="4">
        <f t="shared" si="22"/>
        <v>26552797.998348095</v>
      </c>
      <c r="X497" s="4">
        <f t="shared" si="23"/>
        <v>26552797.998348095</v>
      </c>
      <c r="Y497" s="5">
        <f t="shared" si="24"/>
        <v>0.75619776223949731</v>
      </c>
    </row>
    <row r="498" spans="1:25" x14ac:dyDescent="0.25">
      <c r="A498" s="1" t="s">
        <v>102</v>
      </c>
      <c r="B498" s="1" t="s">
        <v>60</v>
      </c>
      <c r="C498" s="1" t="s">
        <v>26</v>
      </c>
      <c r="D498" s="1">
        <v>7840478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3920239</v>
      </c>
      <c r="N498" s="1">
        <v>3920239</v>
      </c>
      <c r="O498" s="1">
        <v>3920239</v>
      </c>
      <c r="P498" s="1">
        <v>3920239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4">
        <f t="shared" si="22"/>
        <v>7840478</v>
      </c>
      <c r="X498" s="4">
        <f t="shared" si="23"/>
        <v>7840478</v>
      </c>
      <c r="Y498" s="5">
        <f t="shared" si="24"/>
        <v>1</v>
      </c>
    </row>
    <row r="499" spans="1:25" x14ac:dyDescent="0.25">
      <c r="A499" s="1" t="s">
        <v>102</v>
      </c>
      <c r="B499" s="1" t="s">
        <v>33</v>
      </c>
      <c r="C499" s="1" t="s">
        <v>34</v>
      </c>
      <c r="D499" s="1">
        <v>24000000</v>
      </c>
      <c r="E499" s="1">
        <v>0</v>
      </c>
      <c r="F499" s="1">
        <v>0</v>
      </c>
      <c r="G499" s="1">
        <v>4800000</v>
      </c>
      <c r="H499" s="1">
        <v>4800000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7200000</v>
      </c>
      <c r="P499" s="1">
        <v>7200000</v>
      </c>
      <c r="Q499" s="1">
        <v>0</v>
      </c>
      <c r="R499" s="1">
        <v>0</v>
      </c>
      <c r="S499" s="1">
        <v>7200000</v>
      </c>
      <c r="T499" s="1">
        <v>7200000</v>
      </c>
      <c r="U499" s="1">
        <v>4800000</v>
      </c>
      <c r="V499" s="1">
        <v>4800000</v>
      </c>
      <c r="W499" s="4">
        <f t="shared" si="22"/>
        <v>24000000</v>
      </c>
      <c r="X499" s="4">
        <f t="shared" si="23"/>
        <v>24000000</v>
      </c>
      <c r="Y499" s="5">
        <f t="shared" si="24"/>
        <v>1</v>
      </c>
    </row>
    <row r="500" spans="1:25" x14ac:dyDescent="0.25">
      <c r="A500" s="1" t="s">
        <v>102</v>
      </c>
      <c r="B500" s="1" t="s">
        <v>35</v>
      </c>
      <c r="C500" s="1" t="s">
        <v>34</v>
      </c>
      <c r="D500" s="1">
        <v>60000000</v>
      </c>
      <c r="E500" s="1">
        <v>0</v>
      </c>
      <c r="F500" s="1">
        <v>0</v>
      </c>
      <c r="G500" s="1">
        <v>16500000</v>
      </c>
      <c r="H500" s="1">
        <v>16500000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14500000</v>
      </c>
      <c r="P500" s="1">
        <v>14500000</v>
      </c>
      <c r="Q500" s="1">
        <v>0</v>
      </c>
      <c r="R500" s="1">
        <v>0</v>
      </c>
      <c r="S500" s="1">
        <v>14500000</v>
      </c>
      <c r="T500" s="1">
        <v>14500000</v>
      </c>
      <c r="U500" s="1">
        <v>14500000</v>
      </c>
      <c r="V500" s="1">
        <v>14500000</v>
      </c>
      <c r="W500" s="4">
        <f t="shared" si="22"/>
        <v>60000000</v>
      </c>
      <c r="X500" s="4">
        <f t="shared" si="23"/>
        <v>60000000</v>
      </c>
      <c r="Y500" s="5">
        <f t="shared" si="24"/>
        <v>1</v>
      </c>
    </row>
    <row r="501" spans="1:25" x14ac:dyDescent="0.25">
      <c r="A501" s="1" t="s">
        <v>102</v>
      </c>
      <c r="B501" s="1" t="s">
        <v>38</v>
      </c>
      <c r="C501" s="1" t="s">
        <v>39</v>
      </c>
      <c r="D501" s="1">
        <v>6075658.9166306909</v>
      </c>
      <c r="E501" s="1">
        <v>400993.48849762563</v>
      </c>
      <c r="F501" s="1">
        <v>400993.48849762563</v>
      </c>
      <c r="G501" s="1">
        <v>501241.86062203202</v>
      </c>
      <c r="H501" s="1">
        <v>501241.86062203202</v>
      </c>
      <c r="I501" s="1">
        <v>501241.86062203202</v>
      </c>
      <c r="J501" s="1">
        <v>501241.86062203202</v>
      </c>
      <c r="K501" s="1">
        <v>501241.86062203202</v>
      </c>
      <c r="L501" s="1">
        <v>501241.86062203202</v>
      </c>
      <c r="M501" s="1">
        <v>305301.86056069226</v>
      </c>
      <c r="N501" s="1">
        <v>305301.86056069226</v>
      </c>
      <c r="O501" s="1">
        <v>254418.21713391025</v>
      </c>
      <c r="P501" s="1">
        <v>254418.21713391025</v>
      </c>
      <c r="Q501" s="1">
        <v>356185.50398747431</v>
      </c>
      <c r="R501" s="1">
        <v>356185.50398747431</v>
      </c>
      <c r="S501" s="1">
        <v>356185.50398747431</v>
      </c>
      <c r="T501" s="1">
        <v>356185.50398747431</v>
      </c>
      <c r="U501" s="1">
        <v>356185.50398747431</v>
      </c>
      <c r="V501" s="1">
        <v>356185.50398747431</v>
      </c>
      <c r="W501" s="4">
        <f t="shared" si="22"/>
        <v>3532995.6600207472</v>
      </c>
      <c r="X501" s="4">
        <f t="shared" si="23"/>
        <v>3532995.6600207472</v>
      </c>
      <c r="Y501" s="5">
        <f t="shared" si="24"/>
        <v>0.58150000000000013</v>
      </c>
    </row>
    <row r="502" spans="1:25" x14ac:dyDescent="0.25">
      <c r="A502" s="1" t="s">
        <v>102</v>
      </c>
      <c r="B502" s="1" t="s">
        <v>61</v>
      </c>
      <c r="C502" s="1" t="s">
        <v>34</v>
      </c>
      <c r="D502" s="1">
        <v>102408094</v>
      </c>
      <c r="E502" s="1">
        <v>0</v>
      </c>
      <c r="F502" s="1">
        <v>0</v>
      </c>
      <c r="G502" s="1">
        <v>8192647.5190668404</v>
      </c>
      <c r="H502" s="1">
        <v>8192647.5190668404</v>
      </c>
      <c r="I502" s="1">
        <v>0</v>
      </c>
      <c r="J502" s="1">
        <v>0</v>
      </c>
      <c r="K502" s="1">
        <v>0</v>
      </c>
      <c r="L502" s="1">
        <v>0</v>
      </c>
      <c r="M502" s="1">
        <v>23553861.62023329</v>
      </c>
      <c r="N502" s="1">
        <v>23553861.62023329</v>
      </c>
      <c r="O502" s="1">
        <v>0</v>
      </c>
      <c r="P502" s="1">
        <v>0</v>
      </c>
      <c r="Q502" s="1">
        <v>0</v>
      </c>
      <c r="R502" s="1">
        <v>0</v>
      </c>
      <c r="S502" s="1">
        <v>35330792.430349931</v>
      </c>
      <c r="T502" s="1">
        <v>35330792.430349931</v>
      </c>
      <c r="U502" s="1">
        <v>0</v>
      </c>
      <c r="V502" s="1">
        <v>0</v>
      </c>
      <c r="W502" s="4">
        <f t="shared" si="22"/>
        <v>67077301.569650061</v>
      </c>
      <c r="X502" s="4">
        <f t="shared" si="23"/>
        <v>67077301.569650061</v>
      </c>
      <c r="Y502" s="5">
        <f t="shared" si="24"/>
        <v>0.65499999999658287</v>
      </c>
    </row>
    <row r="503" spans="1:25" x14ac:dyDescent="0.25">
      <c r="A503" s="1" t="s">
        <v>102</v>
      </c>
      <c r="B503" s="1" t="s">
        <v>62</v>
      </c>
      <c r="C503" s="1" t="s">
        <v>63</v>
      </c>
      <c r="D503" s="1">
        <v>18142857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1360714.2857142857</v>
      </c>
      <c r="N503" s="1">
        <v>1360714.2857142857</v>
      </c>
      <c r="O503" s="1">
        <v>1133928.5714285714</v>
      </c>
      <c r="P503" s="1">
        <v>1133928.5714285714</v>
      </c>
      <c r="Q503" s="1">
        <v>1587499.9999999998</v>
      </c>
      <c r="R503" s="1">
        <v>1587499.9999999998</v>
      </c>
      <c r="S503" s="1">
        <v>1587499.9999999998</v>
      </c>
      <c r="T503" s="1">
        <v>1587499.9999999998</v>
      </c>
      <c r="U503" s="1">
        <v>1587499.9999999998</v>
      </c>
      <c r="V503" s="1">
        <v>1587499.9999999998</v>
      </c>
      <c r="W503" s="4">
        <f t="shared" si="22"/>
        <v>7257142.8571428563</v>
      </c>
      <c r="X503" s="4">
        <f t="shared" si="23"/>
        <v>7257142.8571428563</v>
      </c>
      <c r="Y503" s="5">
        <f t="shared" si="24"/>
        <v>0.40000000314960626</v>
      </c>
    </row>
    <row r="504" spans="1:25" x14ac:dyDescent="0.25">
      <c r="A504" s="1" t="s">
        <v>102</v>
      </c>
      <c r="B504" s="1" t="s">
        <v>40</v>
      </c>
      <c r="C504" s="1" t="s">
        <v>27</v>
      </c>
      <c r="D504" s="1">
        <v>47424310</v>
      </c>
      <c r="E504" s="1">
        <v>9189446.8333333004</v>
      </c>
      <c r="F504" s="1">
        <v>9189446.8333333004</v>
      </c>
      <c r="G504" s="1">
        <v>5854999.8333333004</v>
      </c>
      <c r="H504" s="1">
        <v>5854999.8333333004</v>
      </c>
      <c r="I504" s="1">
        <v>4170516.5</v>
      </c>
      <c r="J504" s="1">
        <v>4170516.5</v>
      </c>
      <c r="K504" s="1">
        <v>4140228</v>
      </c>
      <c r="L504" s="1">
        <v>4140228</v>
      </c>
      <c r="M504" s="1">
        <v>0</v>
      </c>
      <c r="N504" s="1">
        <v>0</v>
      </c>
      <c r="O504" s="1">
        <v>7691034</v>
      </c>
      <c r="P504" s="1">
        <v>7691034</v>
      </c>
      <c r="Q504" s="1">
        <v>3284198.5</v>
      </c>
      <c r="R504" s="1">
        <v>3284198.5</v>
      </c>
      <c r="S504" s="1">
        <v>4520981.833333334</v>
      </c>
      <c r="T504" s="1">
        <v>4520981.833333334</v>
      </c>
      <c r="U504" s="1">
        <v>2695189.9966666698</v>
      </c>
      <c r="V504" s="1">
        <v>2695189.9966666698</v>
      </c>
      <c r="W504" s="4">
        <f t="shared" si="22"/>
        <v>41546595.496666603</v>
      </c>
      <c r="X504" s="4">
        <f t="shared" si="23"/>
        <v>41546595.496666603</v>
      </c>
      <c r="Y504" s="5">
        <f t="shared" si="24"/>
        <v>0.87606114873714769</v>
      </c>
    </row>
    <row r="505" spans="1:25" x14ac:dyDescent="0.25">
      <c r="A505" s="1" t="s">
        <v>102</v>
      </c>
      <c r="B505" s="1" t="s">
        <v>41</v>
      </c>
      <c r="C505" s="1" t="s">
        <v>27</v>
      </c>
      <c r="D505" s="1">
        <v>65552102</v>
      </c>
      <c r="E505" s="1">
        <v>0</v>
      </c>
      <c r="F505" s="1">
        <v>0</v>
      </c>
      <c r="G505" s="1">
        <v>0</v>
      </c>
      <c r="H505" s="1">
        <v>0</v>
      </c>
      <c r="I505" s="1">
        <v>14673178.387767218</v>
      </c>
      <c r="J505" s="1">
        <v>14673178.387767218</v>
      </c>
      <c r="K505" s="1">
        <v>0</v>
      </c>
      <c r="L505" s="1">
        <v>0</v>
      </c>
      <c r="M505" s="1">
        <v>19079596.354587294</v>
      </c>
      <c r="N505" s="1">
        <v>19079596.354587294</v>
      </c>
      <c r="O505" s="1">
        <v>12719730.903058195</v>
      </c>
      <c r="P505" s="1">
        <v>12719730.903058195</v>
      </c>
      <c r="Q505" s="1">
        <v>19079596.354587294</v>
      </c>
      <c r="R505" s="1">
        <v>19079596.354587294</v>
      </c>
      <c r="S505" s="1">
        <v>0</v>
      </c>
      <c r="T505" s="1">
        <v>0</v>
      </c>
      <c r="U505" s="1">
        <v>0</v>
      </c>
      <c r="V505" s="1">
        <v>0</v>
      </c>
      <c r="W505" s="4">
        <f t="shared" si="22"/>
        <v>65552102</v>
      </c>
      <c r="X505" s="4">
        <f t="shared" si="23"/>
        <v>65552102</v>
      </c>
      <c r="Y505" s="5">
        <f t="shared" si="24"/>
        <v>1</v>
      </c>
    </row>
    <row r="506" spans="1:25" x14ac:dyDescent="0.25">
      <c r="A506" s="1" t="s">
        <v>102</v>
      </c>
      <c r="B506" s="1" t="s">
        <v>42</v>
      </c>
      <c r="C506" s="1" t="s">
        <v>27</v>
      </c>
      <c r="D506" s="1">
        <v>9334099</v>
      </c>
      <c r="E506" s="1">
        <v>0</v>
      </c>
      <c r="F506" s="1">
        <v>0</v>
      </c>
      <c r="G506" s="1">
        <v>2334099</v>
      </c>
      <c r="H506" s="1">
        <v>2334099</v>
      </c>
      <c r="I506" s="1">
        <v>0</v>
      </c>
      <c r="J506" s="1">
        <v>0</v>
      </c>
      <c r="K506" s="1">
        <v>0</v>
      </c>
      <c r="L506" s="1">
        <v>0</v>
      </c>
      <c r="M506" s="1">
        <v>2625000</v>
      </c>
      <c r="N506" s="1">
        <v>2625000</v>
      </c>
      <c r="O506" s="1">
        <v>1750000</v>
      </c>
      <c r="P506" s="1">
        <v>1750000</v>
      </c>
      <c r="Q506" s="1">
        <v>2625000</v>
      </c>
      <c r="R506" s="1">
        <v>2625000</v>
      </c>
      <c r="S506" s="1">
        <v>0</v>
      </c>
      <c r="T506" s="1">
        <v>0</v>
      </c>
      <c r="U506" s="1">
        <v>0</v>
      </c>
      <c r="V506" s="1">
        <v>0</v>
      </c>
      <c r="W506" s="4">
        <f t="shared" si="22"/>
        <v>9334099</v>
      </c>
      <c r="X506" s="4">
        <f t="shared" si="23"/>
        <v>9334099</v>
      </c>
      <c r="Y506" s="5">
        <f t="shared" si="24"/>
        <v>1</v>
      </c>
    </row>
    <row r="507" spans="1:25" x14ac:dyDescent="0.25">
      <c r="A507" s="1" t="s">
        <v>102</v>
      </c>
      <c r="B507" s="1" t="s">
        <v>43</v>
      </c>
      <c r="C507" s="1" t="s">
        <v>31</v>
      </c>
      <c r="D507" s="1">
        <v>7683590</v>
      </c>
      <c r="E507" s="1">
        <v>446327.45861505787</v>
      </c>
      <c r="F507" s="1">
        <v>446327.45861505787</v>
      </c>
      <c r="G507" s="1">
        <v>557909.32326882228</v>
      </c>
      <c r="H507" s="1">
        <v>557909.32326882228</v>
      </c>
      <c r="I507" s="1">
        <v>557909.32326882228</v>
      </c>
      <c r="J507" s="1">
        <v>557909.32326882228</v>
      </c>
      <c r="K507" s="1">
        <v>557909.32326882228</v>
      </c>
      <c r="L507" s="1">
        <v>557909.32326882228</v>
      </c>
      <c r="M507" s="1">
        <v>414847.1874611582</v>
      </c>
      <c r="N507" s="1">
        <v>414847.1874611582</v>
      </c>
      <c r="O507" s="1">
        <v>345705.9895509652</v>
      </c>
      <c r="P507" s="1">
        <v>345705.9895509652</v>
      </c>
      <c r="Q507" s="1">
        <v>428448.19724783831</v>
      </c>
      <c r="R507" s="1">
        <v>428448.19724783831</v>
      </c>
      <c r="S507" s="1">
        <v>483988.38537135127</v>
      </c>
      <c r="T507" s="1">
        <v>483988.38537135127</v>
      </c>
      <c r="U507" s="1">
        <v>483988.38537135127</v>
      </c>
      <c r="V507" s="1">
        <v>483988.38537135127</v>
      </c>
      <c r="W507" s="4">
        <f t="shared" si="22"/>
        <v>4277033.5734241894</v>
      </c>
      <c r="X507" s="4">
        <f t="shared" si="23"/>
        <v>4277033.5734241894</v>
      </c>
      <c r="Y507" s="5">
        <f t="shared" si="24"/>
        <v>0.55664521056227489</v>
      </c>
    </row>
    <row r="508" spans="1:25" x14ac:dyDescent="0.25">
      <c r="A508" s="1" t="s">
        <v>102</v>
      </c>
      <c r="B508" s="1" t="s">
        <v>64</v>
      </c>
      <c r="C508" s="1" t="s">
        <v>23</v>
      </c>
      <c r="D508" s="1">
        <v>3999818.0300128879</v>
      </c>
      <c r="E508" s="1">
        <v>263987.9899808506</v>
      </c>
      <c r="F508" s="1">
        <v>263987.9899808506</v>
      </c>
      <c r="G508" s="1">
        <v>329984.98747606325</v>
      </c>
      <c r="H508" s="1">
        <v>329984.98747606325</v>
      </c>
      <c r="I508" s="1">
        <v>329984.98747606325</v>
      </c>
      <c r="J508" s="1">
        <v>329984.98747606325</v>
      </c>
      <c r="K508" s="1">
        <v>329984.98747606325</v>
      </c>
      <c r="L508" s="1">
        <v>329984.98747606325</v>
      </c>
      <c r="M508" s="1">
        <v>200990.85600814762</v>
      </c>
      <c r="N508" s="1">
        <v>200990.85600814762</v>
      </c>
      <c r="O508" s="1">
        <v>167492.3800067897</v>
      </c>
      <c r="P508" s="1">
        <v>167492.3800067897</v>
      </c>
      <c r="Q508" s="1">
        <v>234489.33200950557</v>
      </c>
      <c r="R508" s="1">
        <v>234489.33200950557</v>
      </c>
      <c r="S508" s="1">
        <v>234489.33200950557</v>
      </c>
      <c r="T508" s="1">
        <v>234489.33200950557</v>
      </c>
      <c r="U508" s="1">
        <v>234489.33200950557</v>
      </c>
      <c r="V508" s="1">
        <v>234489.33200950557</v>
      </c>
      <c r="W508" s="4">
        <f t="shared" si="22"/>
        <v>2325894.1844524941</v>
      </c>
      <c r="X508" s="4">
        <f t="shared" si="23"/>
        <v>2325894.1844524941</v>
      </c>
      <c r="Y508" s="5">
        <f t="shared" si="24"/>
        <v>0.58149999999999991</v>
      </c>
    </row>
    <row r="509" spans="1:25" x14ac:dyDescent="0.25">
      <c r="A509" s="1" t="s">
        <v>102</v>
      </c>
      <c r="B509" s="1" t="s">
        <v>65</v>
      </c>
      <c r="C509" s="1" t="s">
        <v>31</v>
      </c>
      <c r="D509" s="1">
        <v>4953664.1125588492</v>
      </c>
      <c r="E509" s="1">
        <v>326941.83142888406</v>
      </c>
      <c r="F509" s="1">
        <v>326941.83142888406</v>
      </c>
      <c r="G509" s="1">
        <v>408677.28928610508</v>
      </c>
      <c r="H509" s="1">
        <v>408677.28928610508</v>
      </c>
      <c r="I509" s="1">
        <v>408677.28928610508</v>
      </c>
      <c r="J509" s="1">
        <v>408677.28928610508</v>
      </c>
      <c r="K509" s="1">
        <v>408677.28928610508</v>
      </c>
      <c r="L509" s="1">
        <v>408677.28928610508</v>
      </c>
      <c r="M509" s="1">
        <v>248921.62165608216</v>
      </c>
      <c r="N509" s="1">
        <v>248921.62165608216</v>
      </c>
      <c r="O509" s="1">
        <v>207434.6847134018</v>
      </c>
      <c r="P509" s="1">
        <v>207434.6847134018</v>
      </c>
      <c r="Q509" s="1">
        <v>290408.55859876249</v>
      </c>
      <c r="R509" s="1">
        <v>290408.55859876249</v>
      </c>
      <c r="S509" s="1">
        <v>290408.55859876249</v>
      </c>
      <c r="T509" s="1">
        <v>290408.55859876249</v>
      </c>
      <c r="U509" s="1">
        <v>290408.55859876249</v>
      </c>
      <c r="V509" s="1">
        <v>290408.55859876249</v>
      </c>
      <c r="W509" s="4">
        <f t="shared" si="22"/>
        <v>2880555.6814529705</v>
      </c>
      <c r="X509" s="4">
        <f t="shared" si="23"/>
        <v>2880555.6814529705</v>
      </c>
      <c r="Y509" s="5">
        <f t="shared" si="24"/>
        <v>0.58149999999999991</v>
      </c>
    </row>
    <row r="510" spans="1:25" x14ac:dyDescent="0.25">
      <c r="A510" s="1" t="s">
        <v>102</v>
      </c>
      <c r="B510" s="1" t="s">
        <v>44</v>
      </c>
      <c r="C510" s="1" t="s">
        <v>45</v>
      </c>
      <c r="D510" s="1">
        <v>6075658.9166306909</v>
      </c>
      <c r="E510" s="1">
        <v>400993.48849762563</v>
      </c>
      <c r="F510" s="1">
        <v>400993.48849762563</v>
      </c>
      <c r="G510" s="1">
        <v>501241.86062203202</v>
      </c>
      <c r="H510" s="1">
        <v>501241.86062203202</v>
      </c>
      <c r="I510" s="1">
        <v>501241.86062203202</v>
      </c>
      <c r="J510" s="1">
        <v>501241.86062203202</v>
      </c>
      <c r="K510" s="1">
        <v>501241.86062203202</v>
      </c>
      <c r="L510" s="1">
        <v>501241.86062203202</v>
      </c>
      <c r="M510" s="1">
        <v>305301.86056069226</v>
      </c>
      <c r="N510" s="1">
        <v>305301.86056069226</v>
      </c>
      <c r="O510" s="1">
        <v>254418.21713391025</v>
      </c>
      <c r="P510" s="1">
        <v>254418.21713391025</v>
      </c>
      <c r="Q510" s="1">
        <v>356185.50398747431</v>
      </c>
      <c r="R510" s="1">
        <v>356185.50398747431</v>
      </c>
      <c r="S510" s="1">
        <v>356185.50398747431</v>
      </c>
      <c r="T510" s="1">
        <v>356185.50398747431</v>
      </c>
      <c r="U510" s="1">
        <v>356185.50398747431</v>
      </c>
      <c r="V510" s="1">
        <v>356185.50398747431</v>
      </c>
      <c r="W510" s="4">
        <f t="shared" si="22"/>
        <v>3532995.6600207472</v>
      </c>
      <c r="X510" s="4">
        <f t="shared" si="23"/>
        <v>3532995.6600207472</v>
      </c>
      <c r="Y510" s="5">
        <f t="shared" si="24"/>
        <v>0.58150000000000013</v>
      </c>
    </row>
    <row r="511" spans="1:25" x14ac:dyDescent="0.25">
      <c r="A511" s="1" t="s">
        <v>102</v>
      </c>
      <c r="B511" s="1" t="s">
        <v>46</v>
      </c>
      <c r="C511" s="1" t="s">
        <v>22</v>
      </c>
      <c r="D511" s="1">
        <v>34638863.897797018</v>
      </c>
      <c r="E511" s="1">
        <v>2288306.5306332605</v>
      </c>
      <c r="F511" s="1">
        <v>2288306.5306332605</v>
      </c>
      <c r="G511" s="1">
        <v>2860383.1632915754</v>
      </c>
      <c r="H511" s="1">
        <v>2860383.1632915754</v>
      </c>
      <c r="I511" s="1">
        <v>2860383.1632915754</v>
      </c>
      <c r="J511" s="1">
        <v>2860383.1632915754</v>
      </c>
      <c r="K511" s="1">
        <v>2860383.1632915754</v>
      </c>
      <c r="L511" s="1">
        <v>2860383.1632915754</v>
      </c>
      <c r="M511" s="1">
        <v>1794796.3899954199</v>
      </c>
      <c r="N511" s="1">
        <v>1794796.3899954199</v>
      </c>
      <c r="O511" s="1">
        <v>1459509.5695740841</v>
      </c>
      <c r="P511" s="1">
        <v>1459509.5695740841</v>
      </c>
      <c r="Q511" s="1">
        <v>2020600.3957755468</v>
      </c>
      <c r="R511" s="1">
        <v>2020600.3957755468</v>
      </c>
      <c r="S511" s="1">
        <v>2020600.3957755468</v>
      </c>
      <c r="T511" s="1">
        <v>2020600.3957755468</v>
      </c>
      <c r="U511" s="1">
        <v>2020600.3957755468</v>
      </c>
      <c r="V511" s="1">
        <v>2020600.3957755468</v>
      </c>
      <c r="W511" s="4">
        <f t="shared" si="22"/>
        <v>20185563.16740413</v>
      </c>
      <c r="X511" s="4">
        <f t="shared" si="23"/>
        <v>20185563.16740413</v>
      </c>
      <c r="Y511" s="5">
        <f t="shared" si="24"/>
        <v>0.58274322238056719</v>
      </c>
    </row>
    <row r="512" spans="1:25" x14ac:dyDescent="0.25">
      <c r="A512" s="1" t="s">
        <v>102</v>
      </c>
      <c r="B512" s="1" t="s">
        <v>66</v>
      </c>
      <c r="C512" s="1" t="s">
        <v>24</v>
      </c>
      <c r="D512" s="1">
        <v>189561349.15439266</v>
      </c>
      <c r="E512" s="1">
        <v>15638811.305237396</v>
      </c>
      <c r="F512" s="1">
        <v>15638811.305237396</v>
      </c>
      <c r="G512" s="1">
        <v>15638811.305237396</v>
      </c>
      <c r="H512" s="1">
        <v>15638811.305237396</v>
      </c>
      <c r="I512" s="1">
        <v>15638811.305237396</v>
      </c>
      <c r="J512" s="1">
        <v>15638811.305237396</v>
      </c>
      <c r="K512" s="1">
        <v>15638811.305237396</v>
      </c>
      <c r="L512" s="1">
        <v>15638811.305237396</v>
      </c>
      <c r="M512" s="1">
        <v>22558105.779050417</v>
      </c>
      <c r="N512" s="1">
        <v>22558105.779050417</v>
      </c>
      <c r="O512" s="1">
        <v>14678000</v>
      </c>
      <c r="P512" s="1">
        <v>14678000</v>
      </c>
      <c r="Q512" s="1">
        <v>17458000</v>
      </c>
      <c r="R512" s="1">
        <v>17458000</v>
      </c>
      <c r="S512" s="1">
        <v>16086996</v>
      </c>
      <c r="T512" s="1">
        <v>16086996</v>
      </c>
      <c r="U512" s="1">
        <v>16353000</v>
      </c>
      <c r="V512" s="1">
        <v>16353000</v>
      </c>
      <c r="W512" s="4">
        <f t="shared" si="22"/>
        <v>149689347</v>
      </c>
      <c r="X512" s="4">
        <f t="shared" si="23"/>
        <v>149689347</v>
      </c>
      <c r="Y512" s="5">
        <f t="shared" si="24"/>
        <v>0.78966175155296037</v>
      </c>
    </row>
    <row r="513" spans="1:25" x14ac:dyDescent="0.25">
      <c r="A513" s="1" t="s">
        <v>102</v>
      </c>
      <c r="B513" s="1" t="s">
        <v>67</v>
      </c>
      <c r="C513" s="1" t="s">
        <v>68</v>
      </c>
      <c r="D513" s="1">
        <v>1972248.5732405321</v>
      </c>
      <c r="E513" s="1">
        <v>130168.40583387513</v>
      </c>
      <c r="F513" s="1">
        <v>130168.40583387513</v>
      </c>
      <c r="G513" s="1">
        <v>162710.50729234391</v>
      </c>
      <c r="H513" s="1">
        <v>162710.50729234391</v>
      </c>
      <c r="I513" s="1">
        <v>162710.50729234391</v>
      </c>
      <c r="J513" s="1">
        <v>162710.50729234391</v>
      </c>
      <c r="K513" s="1">
        <v>162710.50729234391</v>
      </c>
      <c r="L513" s="1">
        <v>162710.50729234391</v>
      </c>
      <c r="M513" s="1">
        <v>102556.92580850759</v>
      </c>
      <c r="N513" s="1">
        <v>102556.92580850759</v>
      </c>
      <c r="O513" s="1">
        <v>82177.023885022165</v>
      </c>
      <c r="P513" s="1">
        <v>82177.023885022165</v>
      </c>
      <c r="Q513" s="1">
        <v>115047.83343903102</v>
      </c>
      <c r="R513" s="1">
        <v>115047.83343903102</v>
      </c>
      <c r="S513" s="1">
        <v>115047.83343903102</v>
      </c>
      <c r="T513" s="1">
        <v>115047.83343903102</v>
      </c>
      <c r="U513" s="1">
        <v>115047.83343903102</v>
      </c>
      <c r="V513" s="1">
        <v>115047.83343903102</v>
      </c>
      <c r="W513" s="4">
        <f t="shared" si="22"/>
        <v>1148177.3777215295</v>
      </c>
      <c r="X513" s="4">
        <f t="shared" si="23"/>
        <v>1148177.3777215295</v>
      </c>
      <c r="Y513" s="5">
        <f t="shared" si="24"/>
        <v>0.5821666666666665</v>
      </c>
    </row>
    <row r="514" spans="1:25" x14ac:dyDescent="0.25">
      <c r="A514" s="1" t="s">
        <v>102</v>
      </c>
      <c r="B514" s="1" t="s">
        <v>69</v>
      </c>
      <c r="C514" s="1" t="s">
        <v>28</v>
      </c>
      <c r="D514" s="1">
        <v>3882772.1895227386</v>
      </c>
      <c r="E514" s="1">
        <v>256262.96450850077</v>
      </c>
      <c r="F514" s="1">
        <v>256262.96450850077</v>
      </c>
      <c r="G514" s="1">
        <v>320328.70563562593</v>
      </c>
      <c r="H514" s="1">
        <v>320328.70563562593</v>
      </c>
      <c r="I514" s="1">
        <v>320328.70563562593</v>
      </c>
      <c r="J514" s="1">
        <v>320328.70563562593</v>
      </c>
      <c r="K514" s="1">
        <v>320328.70563562593</v>
      </c>
      <c r="L514" s="1">
        <v>320328.70563562593</v>
      </c>
      <c r="M514" s="1">
        <v>195109.30252351763</v>
      </c>
      <c r="N514" s="1">
        <v>195109.30252351763</v>
      </c>
      <c r="O514" s="1">
        <v>162591.08543626469</v>
      </c>
      <c r="P514" s="1">
        <v>162591.08543626469</v>
      </c>
      <c r="Q514" s="1">
        <v>227627.51961077057</v>
      </c>
      <c r="R514" s="1">
        <v>227627.51961077057</v>
      </c>
      <c r="S514" s="1">
        <v>227627.51961077057</v>
      </c>
      <c r="T514" s="1">
        <v>227627.51961077057</v>
      </c>
      <c r="U514" s="1">
        <v>227627.51961077057</v>
      </c>
      <c r="V514" s="1">
        <v>227627.51961077057</v>
      </c>
      <c r="W514" s="4">
        <f t="shared" si="22"/>
        <v>2257832.0282074725</v>
      </c>
      <c r="X514" s="4">
        <f t="shared" si="23"/>
        <v>2257832.0282074725</v>
      </c>
      <c r="Y514" s="5">
        <f t="shared" si="24"/>
        <v>0.58150000000000002</v>
      </c>
    </row>
    <row r="515" spans="1:25" x14ac:dyDescent="0.25">
      <c r="A515" s="1" t="s">
        <v>102</v>
      </c>
      <c r="B515" s="1" t="s">
        <v>70</v>
      </c>
      <c r="C515" s="1" t="s">
        <v>23</v>
      </c>
      <c r="D515" s="1">
        <v>6890625.0152343744</v>
      </c>
      <c r="E515" s="1">
        <v>454781.25100546872</v>
      </c>
      <c r="F515" s="1">
        <v>454781.25100546872</v>
      </c>
      <c r="G515" s="1">
        <v>568476.56375683588</v>
      </c>
      <c r="H515" s="1">
        <v>568476.56375683588</v>
      </c>
      <c r="I515" s="1">
        <v>568476.56375683588</v>
      </c>
      <c r="J515" s="1">
        <v>568476.56375683588</v>
      </c>
      <c r="K515" s="1">
        <v>568476.56375683588</v>
      </c>
      <c r="L515" s="1">
        <v>568476.56375683588</v>
      </c>
      <c r="M515" s="1">
        <v>346253.90701552731</v>
      </c>
      <c r="N515" s="1">
        <v>346253.90701552731</v>
      </c>
      <c r="O515" s="1">
        <v>288544.92251293943</v>
      </c>
      <c r="P515" s="1">
        <v>288544.92251293943</v>
      </c>
      <c r="Q515" s="1">
        <v>403962.89151811518</v>
      </c>
      <c r="R515" s="1">
        <v>403962.89151811518</v>
      </c>
      <c r="S515" s="1">
        <v>403962.89151811518</v>
      </c>
      <c r="T515" s="1">
        <v>403962.89151811518</v>
      </c>
      <c r="U515" s="1">
        <v>403962.89151811518</v>
      </c>
      <c r="V515" s="1">
        <v>403962.89151811518</v>
      </c>
      <c r="W515" s="4">
        <f t="shared" ref="W515:W578" si="25">U515+S515+Q515+O515+M515+K515+I515+G515+E515</f>
        <v>4006898.4463587888</v>
      </c>
      <c r="X515" s="4">
        <f t="shared" ref="X515:X578" si="26">V515+T515+R515+P515+N515+L515+J515+H515+F515</f>
        <v>4006898.4463587888</v>
      </c>
      <c r="Y515" s="5">
        <f t="shared" ref="Y515:Y578" si="27">X515/D515</f>
        <v>0.58150000000000002</v>
      </c>
    </row>
    <row r="516" spans="1:25" x14ac:dyDescent="0.25">
      <c r="A516" s="1" t="s">
        <v>102</v>
      </c>
      <c r="B516" s="1" t="s">
        <v>71</v>
      </c>
      <c r="C516" s="1" t="s">
        <v>29</v>
      </c>
      <c r="D516" s="1">
        <v>5650303.171153849</v>
      </c>
      <c r="E516" s="1">
        <v>372920.00929615408</v>
      </c>
      <c r="F516" s="1">
        <v>372920.00929615408</v>
      </c>
      <c r="G516" s="1">
        <v>466150.01162019256</v>
      </c>
      <c r="H516" s="1">
        <v>466150.01162019256</v>
      </c>
      <c r="I516" s="1">
        <v>466150.01162019256</v>
      </c>
      <c r="J516" s="1">
        <v>466150.01162019256</v>
      </c>
      <c r="K516" s="1">
        <v>466150.01162019256</v>
      </c>
      <c r="L516" s="1">
        <v>466150.01162019256</v>
      </c>
      <c r="M516" s="1">
        <v>283927.7343504809</v>
      </c>
      <c r="N516" s="1">
        <v>283927.7343504809</v>
      </c>
      <c r="O516" s="1">
        <v>236606.44529206742</v>
      </c>
      <c r="P516" s="1">
        <v>236606.44529206742</v>
      </c>
      <c r="Q516" s="1">
        <v>331249.02340889437</v>
      </c>
      <c r="R516" s="1">
        <v>331249.02340889437</v>
      </c>
      <c r="S516" s="1">
        <v>331249.02340889437</v>
      </c>
      <c r="T516" s="1">
        <v>331249.02340889437</v>
      </c>
      <c r="U516" s="1">
        <v>331249.02340889437</v>
      </c>
      <c r="V516" s="1">
        <v>331249.02340889437</v>
      </c>
      <c r="W516" s="4">
        <f t="shared" si="25"/>
        <v>3285651.2940259636</v>
      </c>
      <c r="X516" s="4">
        <f t="shared" si="26"/>
        <v>3285651.2940259636</v>
      </c>
      <c r="Y516" s="5">
        <f t="shared" si="27"/>
        <v>0.58150000000000013</v>
      </c>
    </row>
    <row r="517" spans="1:25" x14ac:dyDescent="0.25">
      <c r="A517" s="1" t="s">
        <v>102</v>
      </c>
      <c r="B517" s="1" t="s">
        <v>72</v>
      </c>
      <c r="C517" s="1" t="s">
        <v>73</v>
      </c>
      <c r="D517" s="1">
        <v>3347532.0662567806</v>
      </c>
      <c r="E517" s="1">
        <v>220937.11637294755</v>
      </c>
      <c r="F517" s="1">
        <v>220937.11637294755</v>
      </c>
      <c r="G517" s="1">
        <v>276171.39546618442</v>
      </c>
      <c r="H517" s="1">
        <v>276171.39546618442</v>
      </c>
      <c r="I517" s="1">
        <v>276171.39546618442</v>
      </c>
      <c r="J517" s="1">
        <v>276171.39546618442</v>
      </c>
      <c r="K517" s="1">
        <v>276171.39546618442</v>
      </c>
      <c r="L517" s="1">
        <v>276171.39546618442</v>
      </c>
      <c r="M517" s="1">
        <v>168213.48632940324</v>
      </c>
      <c r="N517" s="1">
        <v>168213.48632940324</v>
      </c>
      <c r="O517" s="1">
        <v>140177.9052745027</v>
      </c>
      <c r="P517" s="1">
        <v>140177.9052745027</v>
      </c>
      <c r="Q517" s="1">
        <v>196249.06738430378</v>
      </c>
      <c r="R517" s="1">
        <v>196249.06738430378</v>
      </c>
      <c r="S517" s="1">
        <v>196249.06738430378</v>
      </c>
      <c r="T517" s="1">
        <v>196249.06738430378</v>
      </c>
      <c r="U517" s="1">
        <v>196249.06738430378</v>
      </c>
      <c r="V517" s="1">
        <v>196249.06738430378</v>
      </c>
      <c r="W517" s="4">
        <f t="shared" si="25"/>
        <v>1946589.8965283183</v>
      </c>
      <c r="X517" s="4">
        <f t="shared" si="26"/>
        <v>1946589.8965283183</v>
      </c>
      <c r="Y517" s="5">
        <f t="shared" si="27"/>
        <v>0.58150000000000013</v>
      </c>
    </row>
    <row r="518" spans="1:25" x14ac:dyDescent="0.25">
      <c r="A518" s="1" t="s">
        <v>102</v>
      </c>
      <c r="B518" s="1" t="s">
        <v>48</v>
      </c>
      <c r="C518" s="1" t="s">
        <v>49</v>
      </c>
      <c r="D518" s="1">
        <v>3379397.8345841826</v>
      </c>
      <c r="E518" s="1">
        <v>223040.25708255605</v>
      </c>
      <c r="F518" s="1">
        <v>223040.25708255605</v>
      </c>
      <c r="G518" s="1">
        <v>278800.32135319506</v>
      </c>
      <c r="H518" s="1">
        <v>278800.32135319506</v>
      </c>
      <c r="I518" s="1">
        <v>278800.32135319506</v>
      </c>
      <c r="J518" s="1">
        <v>278800.32135319506</v>
      </c>
      <c r="K518" s="1">
        <v>278800.32135319506</v>
      </c>
      <c r="L518" s="1">
        <v>278800.32135319506</v>
      </c>
      <c r="M518" s="1">
        <v>169814.74118785511</v>
      </c>
      <c r="N518" s="1">
        <v>169814.74118785511</v>
      </c>
      <c r="O518" s="1">
        <v>141512.2843232126</v>
      </c>
      <c r="P518" s="1">
        <v>141512.2843232126</v>
      </c>
      <c r="Q518" s="1">
        <v>198117.19805249764</v>
      </c>
      <c r="R518" s="1">
        <v>198117.19805249764</v>
      </c>
      <c r="S518" s="1">
        <v>198117.19805249764</v>
      </c>
      <c r="T518" s="1">
        <v>198117.19805249764</v>
      </c>
      <c r="U518" s="1">
        <v>198117.19805249764</v>
      </c>
      <c r="V518" s="1">
        <v>198117.19805249764</v>
      </c>
      <c r="W518" s="4">
        <f t="shared" si="25"/>
        <v>1965119.8408107019</v>
      </c>
      <c r="X518" s="4">
        <f t="shared" si="26"/>
        <v>1965119.8408107019</v>
      </c>
      <c r="Y518" s="5">
        <f t="shared" si="27"/>
        <v>0.58149999999999991</v>
      </c>
    </row>
    <row r="519" spans="1:25" x14ac:dyDescent="0.25">
      <c r="A519" s="1" t="s">
        <v>102</v>
      </c>
      <c r="B519" s="1" t="s">
        <v>53</v>
      </c>
      <c r="C519" s="1" t="s">
        <v>30</v>
      </c>
      <c r="D519" s="1">
        <v>3286014.9262045384</v>
      </c>
      <c r="E519" s="1">
        <v>216876.98512949955</v>
      </c>
      <c r="F519" s="1">
        <v>216876.98512949955</v>
      </c>
      <c r="G519" s="1">
        <v>271096.23141187441</v>
      </c>
      <c r="H519" s="1">
        <v>271096.23141187441</v>
      </c>
      <c r="I519" s="1">
        <v>271096.23141187441</v>
      </c>
      <c r="J519" s="1">
        <v>271096.23141187441</v>
      </c>
      <c r="K519" s="1">
        <v>271096.23141187441</v>
      </c>
      <c r="L519" s="1">
        <v>271096.23141187441</v>
      </c>
      <c r="M519" s="1">
        <v>165122.25004177805</v>
      </c>
      <c r="N519" s="1">
        <v>165122.25004177805</v>
      </c>
      <c r="O519" s="1">
        <v>137601.87503481505</v>
      </c>
      <c r="P519" s="1">
        <v>137601.87503481505</v>
      </c>
      <c r="Q519" s="1">
        <v>192642.62504874106</v>
      </c>
      <c r="R519" s="1">
        <v>192642.62504874106</v>
      </c>
      <c r="S519" s="1">
        <v>192642.62504874106</v>
      </c>
      <c r="T519" s="1">
        <v>192642.62504874106</v>
      </c>
      <c r="U519" s="1">
        <v>192642.62504874106</v>
      </c>
      <c r="V519" s="1">
        <v>192642.62504874106</v>
      </c>
      <c r="W519" s="4">
        <f t="shared" si="25"/>
        <v>1910817.6795879391</v>
      </c>
      <c r="X519" s="4">
        <f t="shared" si="26"/>
        <v>1910817.6795879391</v>
      </c>
      <c r="Y519" s="5">
        <f t="shared" si="27"/>
        <v>0.58150000000000002</v>
      </c>
    </row>
    <row r="520" spans="1:25" x14ac:dyDescent="0.25">
      <c r="A520" s="1" t="s">
        <v>102</v>
      </c>
      <c r="B520" s="1" t="s">
        <v>74</v>
      </c>
      <c r="C520" s="1" t="s">
        <v>75</v>
      </c>
      <c r="D520" s="1">
        <v>8099799.4041761942</v>
      </c>
      <c r="E520" s="1">
        <v>534586.7606756289</v>
      </c>
      <c r="F520" s="1">
        <v>534586.7606756289</v>
      </c>
      <c r="G520" s="1">
        <v>668233.45084453607</v>
      </c>
      <c r="H520" s="1">
        <v>668233.45084453607</v>
      </c>
      <c r="I520" s="1">
        <v>668233.45084453607</v>
      </c>
      <c r="J520" s="1">
        <v>668233.45084453607</v>
      </c>
      <c r="K520" s="1">
        <v>668233.45084453607</v>
      </c>
      <c r="L520" s="1">
        <v>668233.45084453607</v>
      </c>
      <c r="M520" s="1">
        <v>407014.92005985376</v>
      </c>
      <c r="N520" s="1">
        <v>407014.92005985376</v>
      </c>
      <c r="O520" s="1">
        <v>339179.10004987812</v>
      </c>
      <c r="P520" s="1">
        <v>339179.10004987812</v>
      </c>
      <c r="Q520" s="1">
        <v>474850.74006982933</v>
      </c>
      <c r="R520" s="1">
        <v>474850.74006982933</v>
      </c>
      <c r="S520" s="1">
        <v>474850.74006982933</v>
      </c>
      <c r="T520" s="1">
        <v>474850.74006982933</v>
      </c>
      <c r="U520" s="1">
        <v>474850.74006982933</v>
      </c>
      <c r="V520" s="1">
        <v>474850.74006982933</v>
      </c>
      <c r="W520" s="4">
        <f t="shared" si="25"/>
        <v>4710033.3535284568</v>
      </c>
      <c r="X520" s="4">
        <f t="shared" si="26"/>
        <v>4710033.3535284568</v>
      </c>
      <c r="Y520" s="5">
        <f t="shared" si="27"/>
        <v>0.58150000000000002</v>
      </c>
    </row>
    <row r="521" spans="1:25" x14ac:dyDescent="0.25">
      <c r="A521" s="1" t="s">
        <v>102</v>
      </c>
      <c r="B521" s="1" t="s">
        <v>50</v>
      </c>
      <c r="C521" s="1" t="s">
        <v>25</v>
      </c>
      <c r="D521" s="1">
        <v>3548367.7263133903</v>
      </c>
      <c r="E521" s="1">
        <v>234192.26993668379</v>
      </c>
      <c r="F521" s="1">
        <v>234192.26993668379</v>
      </c>
      <c r="G521" s="1">
        <v>292740.33742085472</v>
      </c>
      <c r="H521" s="1">
        <v>292740.33742085472</v>
      </c>
      <c r="I521" s="1">
        <v>292740.33742085472</v>
      </c>
      <c r="J521" s="1">
        <v>292740.33742085472</v>
      </c>
      <c r="K521" s="1">
        <v>292740.33742085472</v>
      </c>
      <c r="L521" s="1">
        <v>292740.33742085472</v>
      </c>
      <c r="M521" s="1">
        <v>178305.47824724784</v>
      </c>
      <c r="N521" s="1">
        <v>178305.47824724784</v>
      </c>
      <c r="O521" s="1">
        <v>148587.89853937321</v>
      </c>
      <c r="P521" s="1">
        <v>148587.89853937321</v>
      </c>
      <c r="Q521" s="1">
        <v>208023.05795512249</v>
      </c>
      <c r="R521" s="1">
        <v>208023.05795512249</v>
      </c>
      <c r="S521" s="1">
        <v>208023.05795512249</v>
      </c>
      <c r="T521" s="1">
        <v>208023.05795512249</v>
      </c>
      <c r="U521" s="1">
        <v>208023.05795512249</v>
      </c>
      <c r="V521" s="1">
        <v>208023.05795512249</v>
      </c>
      <c r="W521" s="4">
        <f t="shared" si="25"/>
        <v>2063375.8328512365</v>
      </c>
      <c r="X521" s="4">
        <f t="shared" si="26"/>
        <v>2063375.8328512365</v>
      </c>
      <c r="Y521" s="5">
        <f t="shared" si="27"/>
        <v>0.58150000000000002</v>
      </c>
    </row>
    <row r="522" spans="1:25" x14ac:dyDescent="0.25">
      <c r="A522" s="1" t="s">
        <v>103</v>
      </c>
      <c r="B522" s="1" t="s">
        <v>59</v>
      </c>
      <c r="C522" s="1" t="s">
        <v>26</v>
      </c>
      <c r="D522" s="1">
        <v>35575124.00333333</v>
      </c>
      <c r="E522" s="1">
        <v>3315305.9937398229</v>
      </c>
      <c r="F522" s="1">
        <v>3315305.9937398229</v>
      </c>
      <c r="G522" s="1">
        <v>4144132.4921747786</v>
      </c>
      <c r="H522" s="1">
        <v>4144132.4921747786</v>
      </c>
      <c r="I522" s="1">
        <v>4144132.4921747786</v>
      </c>
      <c r="J522" s="1">
        <v>4144132.4921747786</v>
      </c>
      <c r="K522" s="1">
        <v>4144132.4921747786</v>
      </c>
      <c r="L522" s="1">
        <v>4144132.4921747786</v>
      </c>
      <c r="M522" s="1">
        <v>2374824.2543292772</v>
      </c>
      <c r="N522" s="1">
        <v>2374824.2543292772</v>
      </c>
      <c r="O522" s="1">
        <v>2374824.2543292772</v>
      </c>
      <c r="P522" s="1">
        <v>2374824.2543292772</v>
      </c>
      <c r="Q522" s="1">
        <v>2374824.2543292772</v>
      </c>
      <c r="R522" s="1">
        <v>2374824.2543292772</v>
      </c>
      <c r="S522" s="1">
        <v>2374824.2543292772</v>
      </c>
      <c r="T522" s="1">
        <v>2374824.2543292772</v>
      </c>
      <c r="U522" s="1">
        <v>2374824.2543292772</v>
      </c>
      <c r="V522" s="1">
        <v>2374824.2543292772</v>
      </c>
      <c r="W522" s="4">
        <f t="shared" si="25"/>
        <v>27621824.741910547</v>
      </c>
      <c r="X522" s="4">
        <f t="shared" si="26"/>
        <v>27621824.741910547</v>
      </c>
      <c r="Y522" s="5">
        <f t="shared" si="27"/>
        <v>0.77643649926061897</v>
      </c>
    </row>
    <row r="523" spans="1:25" x14ac:dyDescent="0.25">
      <c r="A523" s="1" t="s">
        <v>103</v>
      </c>
      <c r="B523" s="1" t="s">
        <v>60</v>
      </c>
      <c r="C523" s="1" t="s">
        <v>26</v>
      </c>
      <c r="D523" s="1">
        <v>14656784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7328392</v>
      </c>
      <c r="N523" s="1">
        <v>7328392</v>
      </c>
      <c r="O523" s="1">
        <v>7328392</v>
      </c>
      <c r="P523" s="1">
        <v>7328392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4">
        <f t="shared" si="25"/>
        <v>14656784</v>
      </c>
      <c r="X523" s="4">
        <f t="shared" si="26"/>
        <v>14656784</v>
      </c>
      <c r="Y523" s="5">
        <f t="shared" si="27"/>
        <v>1</v>
      </c>
    </row>
    <row r="524" spans="1:25" x14ac:dyDescent="0.25">
      <c r="A524" s="1" t="s">
        <v>103</v>
      </c>
      <c r="B524" s="1" t="s">
        <v>33</v>
      </c>
      <c r="C524" s="1" t="s">
        <v>34</v>
      </c>
      <c r="D524" s="1">
        <v>72000000</v>
      </c>
      <c r="E524" s="1">
        <v>0</v>
      </c>
      <c r="F524" s="1">
        <v>0</v>
      </c>
      <c r="G524" s="1">
        <v>14400000</v>
      </c>
      <c r="H524" s="1">
        <v>14400000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21600000</v>
      </c>
      <c r="P524" s="1">
        <v>21600000</v>
      </c>
      <c r="Q524" s="1">
        <v>0</v>
      </c>
      <c r="R524" s="1">
        <v>0</v>
      </c>
      <c r="S524" s="1">
        <v>21600000</v>
      </c>
      <c r="T524" s="1">
        <v>21600000</v>
      </c>
      <c r="U524" s="1">
        <v>14400000</v>
      </c>
      <c r="V524" s="1">
        <v>14400000</v>
      </c>
      <c r="W524" s="4">
        <f t="shared" si="25"/>
        <v>72000000</v>
      </c>
      <c r="X524" s="4">
        <f t="shared" si="26"/>
        <v>72000000</v>
      </c>
      <c r="Y524" s="5">
        <f t="shared" si="27"/>
        <v>1</v>
      </c>
    </row>
    <row r="525" spans="1:25" x14ac:dyDescent="0.25">
      <c r="A525" s="1" t="s">
        <v>103</v>
      </c>
      <c r="B525" s="1" t="s">
        <v>35</v>
      </c>
      <c r="C525" s="1" t="s">
        <v>34</v>
      </c>
      <c r="D525" s="1">
        <v>180000000</v>
      </c>
      <c r="E525" s="1">
        <v>0</v>
      </c>
      <c r="F525" s="1">
        <v>0</v>
      </c>
      <c r="G525" s="1">
        <v>49500000</v>
      </c>
      <c r="H525" s="1">
        <v>49500000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43500000</v>
      </c>
      <c r="P525" s="1">
        <v>43500000</v>
      </c>
      <c r="Q525" s="1">
        <v>0</v>
      </c>
      <c r="R525" s="1">
        <v>0</v>
      </c>
      <c r="S525" s="1">
        <v>43500000</v>
      </c>
      <c r="T525" s="1">
        <v>43500000</v>
      </c>
      <c r="U525" s="1">
        <v>43500000</v>
      </c>
      <c r="V525" s="1">
        <v>43500000</v>
      </c>
      <c r="W525" s="4">
        <f t="shared" si="25"/>
        <v>180000000</v>
      </c>
      <c r="X525" s="4">
        <f t="shared" si="26"/>
        <v>180000000</v>
      </c>
      <c r="Y525" s="5">
        <f t="shared" si="27"/>
        <v>1</v>
      </c>
    </row>
    <row r="526" spans="1:25" x14ac:dyDescent="0.25">
      <c r="A526" s="1" t="s">
        <v>103</v>
      </c>
      <c r="B526" s="1" t="s">
        <v>38</v>
      </c>
      <c r="C526" s="1" t="s">
        <v>39</v>
      </c>
      <c r="D526" s="1">
        <v>8217546.83985529</v>
      </c>
      <c r="E526" s="1">
        <v>542358.09143044928</v>
      </c>
      <c r="F526" s="1">
        <v>542358.09143044928</v>
      </c>
      <c r="G526" s="1">
        <v>677947.61428806151</v>
      </c>
      <c r="H526" s="1">
        <v>677947.61428806151</v>
      </c>
      <c r="I526" s="1">
        <v>677947.61428806151</v>
      </c>
      <c r="J526" s="1">
        <v>677947.61428806151</v>
      </c>
      <c r="K526" s="1">
        <v>677947.61428806151</v>
      </c>
      <c r="L526" s="1">
        <v>677947.61428806151</v>
      </c>
      <c r="M526" s="1">
        <v>412931.72870272817</v>
      </c>
      <c r="N526" s="1">
        <v>412931.72870272817</v>
      </c>
      <c r="O526" s="1">
        <v>344109.77391894016</v>
      </c>
      <c r="P526" s="1">
        <v>344109.77391894016</v>
      </c>
      <c r="Q526" s="1">
        <v>481753.68348651618</v>
      </c>
      <c r="R526" s="1">
        <v>481753.68348651618</v>
      </c>
      <c r="S526" s="1">
        <v>481753.68348651618</v>
      </c>
      <c r="T526" s="1">
        <v>481753.68348651618</v>
      </c>
      <c r="U526" s="1">
        <v>481753.68348651618</v>
      </c>
      <c r="V526" s="1">
        <v>481753.68348651618</v>
      </c>
      <c r="W526" s="4">
        <f t="shared" si="25"/>
        <v>4778503.4873758508</v>
      </c>
      <c r="X526" s="4">
        <f t="shared" si="26"/>
        <v>4778503.4873758508</v>
      </c>
      <c r="Y526" s="5">
        <f t="shared" si="27"/>
        <v>0.58149999999999991</v>
      </c>
    </row>
    <row r="527" spans="1:25" x14ac:dyDescent="0.25">
      <c r="A527" s="1" t="s">
        <v>103</v>
      </c>
      <c r="B527" s="1" t="s">
        <v>61</v>
      </c>
      <c r="C527" s="1" t="s">
        <v>34</v>
      </c>
      <c r="D527" s="1">
        <v>75053025</v>
      </c>
      <c r="E527" s="1">
        <v>0</v>
      </c>
      <c r="F527" s="1">
        <v>0</v>
      </c>
      <c r="G527" s="1">
        <v>6004241.9993161038</v>
      </c>
      <c r="H527" s="1">
        <v>6004241.9993161038</v>
      </c>
      <c r="I527" s="1">
        <v>0</v>
      </c>
      <c r="J527" s="1">
        <v>0</v>
      </c>
      <c r="K527" s="1">
        <v>0</v>
      </c>
      <c r="L527" s="1">
        <v>0</v>
      </c>
      <c r="M527" s="1">
        <v>17262195.750170976</v>
      </c>
      <c r="N527" s="1">
        <v>17262195.750170976</v>
      </c>
      <c r="O527" s="1">
        <v>0</v>
      </c>
      <c r="P527" s="1">
        <v>0</v>
      </c>
      <c r="Q527" s="1">
        <v>0</v>
      </c>
      <c r="R527" s="1">
        <v>0</v>
      </c>
      <c r="S527" s="1">
        <v>25893293.625256464</v>
      </c>
      <c r="T527" s="1">
        <v>25893293.625256464</v>
      </c>
      <c r="U527" s="1">
        <v>0</v>
      </c>
      <c r="V527" s="1">
        <v>0</v>
      </c>
      <c r="W527" s="4">
        <f t="shared" si="25"/>
        <v>49159731.374743544</v>
      </c>
      <c r="X527" s="4">
        <f t="shared" si="26"/>
        <v>49159731.374743544</v>
      </c>
      <c r="Y527" s="5">
        <f t="shared" si="27"/>
        <v>0.65499999999658298</v>
      </c>
    </row>
    <row r="528" spans="1:25" x14ac:dyDescent="0.25">
      <c r="A528" s="1" t="s">
        <v>103</v>
      </c>
      <c r="B528" s="1" t="s">
        <v>62</v>
      </c>
      <c r="C528" s="1" t="s">
        <v>63</v>
      </c>
      <c r="D528" s="1">
        <v>26142857</v>
      </c>
      <c r="E528" s="1">
        <v>14079999.999120001</v>
      </c>
      <c r="F528" s="1">
        <v>14079999.999120001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640714.28579678561</v>
      </c>
      <c r="N528" s="1">
        <v>640714.28579678561</v>
      </c>
      <c r="O528" s="1">
        <v>533928.57149732136</v>
      </c>
      <c r="P528" s="1">
        <v>533928.57149732136</v>
      </c>
      <c r="Q528" s="1">
        <v>747500.00009624986</v>
      </c>
      <c r="R528" s="1">
        <v>747500.00009624986</v>
      </c>
      <c r="S528" s="1">
        <v>747500.00009624986</v>
      </c>
      <c r="T528" s="1">
        <v>747500.00009624986</v>
      </c>
      <c r="U528" s="1">
        <v>747500.00009624986</v>
      </c>
      <c r="V528" s="1">
        <v>747500.00009624986</v>
      </c>
      <c r="W528" s="4">
        <f t="shared" si="25"/>
        <v>17497142.856702857</v>
      </c>
      <c r="X528" s="4">
        <f t="shared" si="26"/>
        <v>17497142.856702857</v>
      </c>
      <c r="Y528" s="5">
        <f t="shared" si="27"/>
        <v>0.66928962112682855</v>
      </c>
    </row>
    <row r="529" spans="1:25" x14ac:dyDescent="0.25">
      <c r="A529" s="1" t="s">
        <v>103</v>
      </c>
      <c r="B529" s="1" t="s">
        <v>40</v>
      </c>
      <c r="C529" s="1" t="s">
        <v>27</v>
      </c>
      <c r="D529" s="1">
        <v>110561433.7214313</v>
      </c>
      <c r="E529" s="1">
        <v>5906603.2075000014</v>
      </c>
      <c r="F529" s="1">
        <v>5906603.2075000014</v>
      </c>
      <c r="G529" s="1">
        <v>12061027.457500011</v>
      </c>
      <c r="H529" s="1">
        <v>12061027.457500011</v>
      </c>
      <c r="I529" s="1">
        <v>9615631.2908333316</v>
      </c>
      <c r="J529" s="1">
        <v>9615631.2908333316</v>
      </c>
      <c r="K529" s="1">
        <v>14883843.318611113</v>
      </c>
      <c r="L529" s="1">
        <v>14883843.318611113</v>
      </c>
      <c r="M529" s="1">
        <v>0</v>
      </c>
      <c r="N529" s="1">
        <v>0</v>
      </c>
      <c r="O529" s="1">
        <v>22363080.4965882</v>
      </c>
      <c r="P529" s="1">
        <v>22363080.4965882</v>
      </c>
      <c r="Q529" s="1">
        <v>11297674.151944444</v>
      </c>
      <c r="R529" s="1">
        <v>11297674.151944444</v>
      </c>
      <c r="S529" s="1">
        <v>8012420.2908333354</v>
      </c>
      <c r="T529" s="1">
        <v>8012420.2908333354</v>
      </c>
      <c r="U529" s="1">
        <v>9715633.1990882047</v>
      </c>
      <c r="V529" s="1">
        <v>9715633.1990882047</v>
      </c>
      <c r="W529" s="4">
        <f t="shared" si="25"/>
        <v>93855913.412898645</v>
      </c>
      <c r="X529" s="4">
        <f t="shared" si="26"/>
        <v>93855913.412898645</v>
      </c>
      <c r="Y529" s="5">
        <f t="shared" si="27"/>
        <v>0.84890282491611313</v>
      </c>
    </row>
    <row r="530" spans="1:25" x14ac:dyDescent="0.25">
      <c r="A530" s="1" t="s">
        <v>103</v>
      </c>
      <c r="B530" s="1" t="s">
        <v>41</v>
      </c>
      <c r="C530" s="1" t="s">
        <v>27</v>
      </c>
      <c r="D530" s="1">
        <v>175320884.59999993</v>
      </c>
      <c r="E530" s="1">
        <v>0</v>
      </c>
      <c r="F530" s="1">
        <v>0</v>
      </c>
      <c r="G530" s="1">
        <v>43966250.499054253</v>
      </c>
      <c r="H530" s="1">
        <v>43966250.499054253</v>
      </c>
      <c r="I530" s="1">
        <v>0</v>
      </c>
      <c r="J530" s="1">
        <v>0</v>
      </c>
      <c r="K530" s="1">
        <v>0</v>
      </c>
      <c r="L530" s="1">
        <v>0</v>
      </c>
      <c r="M530" s="1">
        <v>45428097.537854642</v>
      </c>
      <c r="N530" s="1">
        <v>45428097.537854642</v>
      </c>
      <c r="O530" s="1">
        <v>32838658.525236432</v>
      </c>
      <c r="P530" s="1">
        <v>32838658.525236432</v>
      </c>
      <c r="Q530" s="1">
        <v>47981357.704521306</v>
      </c>
      <c r="R530" s="1">
        <v>47981357.704521306</v>
      </c>
      <c r="S530" s="1">
        <v>2553260.1666666665</v>
      </c>
      <c r="T530" s="1">
        <v>2553260.1666666665</v>
      </c>
      <c r="U530" s="1">
        <v>0</v>
      </c>
      <c r="V530" s="1">
        <v>0</v>
      </c>
      <c r="W530" s="4">
        <f t="shared" si="25"/>
        <v>172767624.43333328</v>
      </c>
      <c r="X530" s="4">
        <f t="shared" si="26"/>
        <v>172767624.43333328</v>
      </c>
      <c r="Y530" s="5">
        <f t="shared" si="27"/>
        <v>0.98543664565409872</v>
      </c>
    </row>
    <row r="531" spans="1:25" x14ac:dyDescent="0.25">
      <c r="A531" s="1" t="s">
        <v>103</v>
      </c>
      <c r="B531" s="1" t="s">
        <v>42</v>
      </c>
      <c r="C531" s="1" t="s">
        <v>27</v>
      </c>
      <c r="D531" s="1">
        <v>23742999</v>
      </c>
      <c r="E531" s="1">
        <v>0</v>
      </c>
      <c r="F531" s="1">
        <v>0</v>
      </c>
      <c r="G531" s="1">
        <v>0</v>
      </c>
      <c r="H531" s="1">
        <v>0</v>
      </c>
      <c r="I531" s="1">
        <v>15742999</v>
      </c>
      <c r="J531" s="1">
        <v>15742999</v>
      </c>
      <c r="K531" s="1">
        <v>0</v>
      </c>
      <c r="L531" s="1">
        <v>0</v>
      </c>
      <c r="M531" s="1">
        <v>3000000</v>
      </c>
      <c r="N531" s="1">
        <v>3000000</v>
      </c>
      <c r="O531" s="1">
        <v>2000000</v>
      </c>
      <c r="P531" s="1">
        <v>2000000</v>
      </c>
      <c r="Q531" s="1">
        <v>3000000</v>
      </c>
      <c r="R531" s="1">
        <v>3000000</v>
      </c>
      <c r="S531" s="1">
        <v>0</v>
      </c>
      <c r="T531" s="1">
        <v>0</v>
      </c>
      <c r="U531" s="1">
        <v>0</v>
      </c>
      <c r="V531" s="1">
        <v>0</v>
      </c>
      <c r="W531" s="4">
        <f t="shared" si="25"/>
        <v>23742999</v>
      </c>
      <c r="X531" s="4">
        <f t="shared" si="26"/>
        <v>23742999</v>
      </c>
      <c r="Y531" s="5">
        <f t="shared" si="27"/>
        <v>1</v>
      </c>
    </row>
    <row r="532" spans="1:25" x14ac:dyDescent="0.25">
      <c r="A532" s="1" t="s">
        <v>103</v>
      </c>
      <c r="B532" s="1" t="s">
        <v>43</v>
      </c>
      <c r="C532" s="1" t="s">
        <v>31</v>
      </c>
      <c r="D532" s="1">
        <v>8468288</v>
      </c>
      <c r="E532" s="1">
        <v>491909.31148473057</v>
      </c>
      <c r="F532" s="1">
        <v>491909.31148473057</v>
      </c>
      <c r="G532" s="1">
        <v>614886.63935591315</v>
      </c>
      <c r="H532" s="1">
        <v>614886.63935591315</v>
      </c>
      <c r="I532" s="1">
        <v>614886.63935591315</v>
      </c>
      <c r="J532" s="1">
        <v>614886.63935591315</v>
      </c>
      <c r="K532" s="1">
        <v>614886.63935591315</v>
      </c>
      <c r="L532" s="1">
        <v>614886.63935591315</v>
      </c>
      <c r="M532" s="1">
        <v>457214.07100654399</v>
      </c>
      <c r="N532" s="1">
        <v>457214.07100654399</v>
      </c>
      <c r="O532" s="1">
        <v>381011.72583878669</v>
      </c>
      <c r="P532" s="1">
        <v>381011.72583878669</v>
      </c>
      <c r="Q532" s="1">
        <v>472204.09658333455</v>
      </c>
      <c r="R532" s="1">
        <v>472204.09658333455</v>
      </c>
      <c r="S532" s="1">
        <v>533416.4161743013</v>
      </c>
      <c r="T532" s="1">
        <v>533416.4161743013</v>
      </c>
      <c r="U532" s="1">
        <v>533416.4161743013</v>
      </c>
      <c r="V532" s="1">
        <v>533416.4161743013</v>
      </c>
      <c r="W532" s="4">
        <f t="shared" si="25"/>
        <v>4713831.9553297386</v>
      </c>
      <c r="X532" s="4">
        <f t="shared" si="26"/>
        <v>4713831.9553297386</v>
      </c>
      <c r="Y532" s="5">
        <f t="shared" si="27"/>
        <v>0.55664521038133552</v>
      </c>
    </row>
    <row r="533" spans="1:25" x14ac:dyDescent="0.25">
      <c r="A533" s="1" t="s">
        <v>103</v>
      </c>
      <c r="B533" s="1" t="s">
        <v>64</v>
      </c>
      <c r="C533" s="1" t="s">
        <v>23</v>
      </c>
      <c r="D533" s="1">
        <v>10307256.715883119</v>
      </c>
      <c r="E533" s="1">
        <v>680278.94324828591</v>
      </c>
      <c r="F533" s="1">
        <v>680278.94324828591</v>
      </c>
      <c r="G533" s="1">
        <v>850348.67906035739</v>
      </c>
      <c r="H533" s="1">
        <v>850348.67906035739</v>
      </c>
      <c r="I533" s="1">
        <v>850348.67906035739</v>
      </c>
      <c r="J533" s="1">
        <v>850348.67906035739</v>
      </c>
      <c r="K533" s="1">
        <v>850348.67906035739</v>
      </c>
      <c r="L533" s="1">
        <v>850348.67906035739</v>
      </c>
      <c r="M533" s="1">
        <v>517939.64997312671</v>
      </c>
      <c r="N533" s="1">
        <v>517939.64997312671</v>
      </c>
      <c r="O533" s="1">
        <v>431616.37497760559</v>
      </c>
      <c r="P533" s="1">
        <v>431616.37497760559</v>
      </c>
      <c r="Q533" s="1">
        <v>604262.92496864777</v>
      </c>
      <c r="R533" s="1">
        <v>604262.92496864777</v>
      </c>
      <c r="S533" s="1">
        <v>604262.92496864777</v>
      </c>
      <c r="T533" s="1">
        <v>604262.92496864777</v>
      </c>
      <c r="U533" s="1">
        <v>604262.92496864777</v>
      </c>
      <c r="V533" s="1">
        <v>604262.92496864777</v>
      </c>
      <c r="W533" s="4">
        <f t="shared" si="25"/>
        <v>5993669.7802860336</v>
      </c>
      <c r="X533" s="4">
        <f t="shared" si="26"/>
        <v>5993669.7802860336</v>
      </c>
      <c r="Y533" s="5">
        <f t="shared" si="27"/>
        <v>0.58150000000000002</v>
      </c>
    </row>
    <row r="534" spans="1:25" x14ac:dyDescent="0.25">
      <c r="A534" s="1" t="s">
        <v>103</v>
      </c>
      <c r="B534" s="1" t="s">
        <v>65</v>
      </c>
      <c r="C534" s="1" t="s">
        <v>31</v>
      </c>
      <c r="D534" s="1">
        <v>6260892.9759038519</v>
      </c>
      <c r="E534" s="1">
        <v>413218.93640965427</v>
      </c>
      <c r="F534" s="1">
        <v>413218.93640965427</v>
      </c>
      <c r="G534" s="1">
        <v>516523.67051206779</v>
      </c>
      <c r="H534" s="1">
        <v>516523.67051206779</v>
      </c>
      <c r="I534" s="1">
        <v>516523.67051206779</v>
      </c>
      <c r="J534" s="1">
        <v>516523.67051206779</v>
      </c>
      <c r="K534" s="1">
        <v>516523.67051206779</v>
      </c>
      <c r="L534" s="1">
        <v>516523.67051206779</v>
      </c>
      <c r="M534" s="1">
        <v>314609.87203916855</v>
      </c>
      <c r="N534" s="1">
        <v>314609.87203916855</v>
      </c>
      <c r="O534" s="1">
        <v>262174.89336597378</v>
      </c>
      <c r="P534" s="1">
        <v>262174.89336597378</v>
      </c>
      <c r="Q534" s="1">
        <v>367044.85071236326</v>
      </c>
      <c r="R534" s="1">
        <v>367044.85071236326</v>
      </c>
      <c r="S534" s="1">
        <v>367044.85071236326</v>
      </c>
      <c r="T534" s="1">
        <v>367044.85071236326</v>
      </c>
      <c r="U534" s="1">
        <v>367044.85071236326</v>
      </c>
      <c r="V534" s="1">
        <v>367044.85071236326</v>
      </c>
      <c r="W534" s="4">
        <f t="shared" si="25"/>
        <v>3640709.2654880895</v>
      </c>
      <c r="X534" s="4">
        <f t="shared" si="26"/>
        <v>3640709.2654880895</v>
      </c>
      <c r="Y534" s="5">
        <f t="shared" si="27"/>
        <v>0.58149999999999991</v>
      </c>
    </row>
    <row r="535" spans="1:25" x14ac:dyDescent="0.25">
      <c r="A535" s="1" t="s">
        <v>103</v>
      </c>
      <c r="B535" s="1" t="s">
        <v>44</v>
      </c>
      <c r="C535" s="1" t="s">
        <v>45</v>
      </c>
      <c r="D535" s="1">
        <v>8217546.83985529</v>
      </c>
      <c r="E535" s="1">
        <v>542358.09143044928</v>
      </c>
      <c r="F535" s="1">
        <v>542358.09143044928</v>
      </c>
      <c r="G535" s="1">
        <v>677947.61428806151</v>
      </c>
      <c r="H535" s="1">
        <v>677947.61428806151</v>
      </c>
      <c r="I535" s="1">
        <v>677947.61428806151</v>
      </c>
      <c r="J535" s="1">
        <v>677947.61428806151</v>
      </c>
      <c r="K535" s="1">
        <v>677947.61428806151</v>
      </c>
      <c r="L535" s="1">
        <v>677947.61428806151</v>
      </c>
      <c r="M535" s="1">
        <v>412931.72870272817</v>
      </c>
      <c r="N535" s="1">
        <v>412931.72870272817</v>
      </c>
      <c r="O535" s="1">
        <v>344109.77391894016</v>
      </c>
      <c r="P535" s="1">
        <v>344109.77391894016</v>
      </c>
      <c r="Q535" s="1">
        <v>481753.68348651618</v>
      </c>
      <c r="R535" s="1">
        <v>481753.68348651618</v>
      </c>
      <c r="S535" s="1">
        <v>481753.68348651618</v>
      </c>
      <c r="T535" s="1">
        <v>481753.68348651618</v>
      </c>
      <c r="U535" s="1">
        <v>481753.68348651618</v>
      </c>
      <c r="V535" s="1">
        <v>481753.68348651618</v>
      </c>
      <c r="W535" s="4">
        <f t="shared" si="25"/>
        <v>4778503.4873758508</v>
      </c>
      <c r="X535" s="4">
        <f t="shared" si="26"/>
        <v>4778503.4873758508</v>
      </c>
      <c r="Y535" s="5">
        <f t="shared" si="27"/>
        <v>0.58149999999999991</v>
      </c>
    </row>
    <row r="536" spans="1:25" x14ac:dyDescent="0.25">
      <c r="A536" s="1" t="s">
        <v>103</v>
      </c>
      <c r="B536" s="1" t="s">
        <v>46</v>
      </c>
      <c r="C536" s="1" t="s">
        <v>22</v>
      </c>
      <c r="D536" s="1">
        <v>60386895.803382836</v>
      </c>
      <c r="E536" s="1">
        <v>3989268.4829175198</v>
      </c>
      <c r="F536" s="1">
        <v>3989268.4829175198</v>
      </c>
      <c r="G536" s="1">
        <v>4986585.6036468996</v>
      </c>
      <c r="H536" s="1">
        <v>4986585.6036468996</v>
      </c>
      <c r="I536" s="1">
        <v>4986585.6036468996</v>
      </c>
      <c r="J536" s="1">
        <v>4986585.6036468996</v>
      </c>
      <c r="K536" s="1">
        <v>4986585.6036468996</v>
      </c>
      <c r="L536" s="1">
        <v>4986585.6036468996</v>
      </c>
      <c r="M536" s="1">
        <v>3128918.5150738754</v>
      </c>
      <c r="N536" s="1">
        <v>3128918.5150738754</v>
      </c>
      <c r="O536" s="1">
        <v>2544403.6664122669</v>
      </c>
      <c r="P536" s="1">
        <v>2544403.6664122669</v>
      </c>
      <c r="Q536" s="1">
        <v>3522568.9248928344</v>
      </c>
      <c r="R536" s="1">
        <v>3522568.9248928344</v>
      </c>
      <c r="S536" s="1">
        <v>3522568.9248928344</v>
      </c>
      <c r="T536" s="1">
        <v>3522568.9248928344</v>
      </c>
      <c r="U536" s="1">
        <v>3522568.9248928344</v>
      </c>
      <c r="V536" s="1">
        <v>3522568.9248928344</v>
      </c>
      <c r="W536" s="4">
        <f t="shared" si="25"/>
        <v>35190054.250022866</v>
      </c>
      <c r="X536" s="4">
        <f t="shared" si="26"/>
        <v>35190054.250022866</v>
      </c>
      <c r="Y536" s="5">
        <f t="shared" si="27"/>
        <v>0.58274322238056719</v>
      </c>
    </row>
    <row r="537" spans="1:25" x14ac:dyDescent="0.25">
      <c r="A537" s="1" t="s">
        <v>103</v>
      </c>
      <c r="B537" s="1" t="s">
        <v>66</v>
      </c>
      <c r="C537" s="1" t="s">
        <v>24</v>
      </c>
      <c r="D537" s="1">
        <v>306931615.3736344</v>
      </c>
      <c r="E537" s="1">
        <v>25321858.268324841</v>
      </c>
      <c r="F537" s="1">
        <v>25321858.268324841</v>
      </c>
      <c r="G537" s="1">
        <v>25321858.268324841</v>
      </c>
      <c r="H537" s="1">
        <v>25321858.268324841</v>
      </c>
      <c r="I537" s="1">
        <v>25321858.268324841</v>
      </c>
      <c r="J537" s="1">
        <v>25321858.268324841</v>
      </c>
      <c r="K537" s="1">
        <v>25321858.268324841</v>
      </c>
      <c r="L537" s="1">
        <v>25321858.268324841</v>
      </c>
      <c r="M537" s="1">
        <v>36023109.926700637</v>
      </c>
      <c r="N537" s="1">
        <v>36023109.926700637</v>
      </c>
      <c r="O537" s="1">
        <v>25577634</v>
      </c>
      <c r="P537" s="1">
        <v>25577634</v>
      </c>
      <c r="Q537" s="1">
        <v>25000000</v>
      </c>
      <c r="R537" s="1">
        <v>25000000</v>
      </c>
      <c r="S537" s="1">
        <v>25000000</v>
      </c>
      <c r="T537" s="1">
        <v>25000000</v>
      </c>
      <c r="U537" s="1">
        <v>25000000</v>
      </c>
      <c r="V537" s="1">
        <v>25000000</v>
      </c>
      <c r="W537" s="4">
        <f t="shared" si="25"/>
        <v>237888177.00000006</v>
      </c>
      <c r="X537" s="4">
        <f t="shared" si="26"/>
        <v>237888177.00000006</v>
      </c>
      <c r="Y537" s="5">
        <f t="shared" si="27"/>
        <v>0.77505269931353837</v>
      </c>
    </row>
    <row r="538" spans="1:25" x14ac:dyDescent="0.25">
      <c r="A538" s="1" t="s">
        <v>103</v>
      </c>
      <c r="B538" s="1" t="s">
        <v>67</v>
      </c>
      <c r="C538" s="1" t="s">
        <v>68</v>
      </c>
      <c r="D538" s="1">
        <v>5916750.6585043678</v>
      </c>
      <c r="E538" s="1">
        <v>390505.54346128833</v>
      </c>
      <c r="F538" s="1">
        <v>390505.54346128833</v>
      </c>
      <c r="G538" s="1">
        <v>488131.92932661035</v>
      </c>
      <c r="H538" s="1">
        <v>488131.92932661035</v>
      </c>
      <c r="I538" s="1">
        <v>488131.92932661035</v>
      </c>
      <c r="J538" s="1">
        <v>488131.92932661035</v>
      </c>
      <c r="K538" s="1">
        <v>488131.92932661035</v>
      </c>
      <c r="L538" s="1">
        <v>488131.92932661035</v>
      </c>
      <c r="M538" s="1">
        <v>307671.03424222715</v>
      </c>
      <c r="N538" s="1">
        <v>307671.03424222715</v>
      </c>
      <c r="O538" s="1">
        <v>246531.277437682</v>
      </c>
      <c r="P538" s="1">
        <v>246531.277437682</v>
      </c>
      <c r="Q538" s="1">
        <v>345143.78841275477</v>
      </c>
      <c r="R538" s="1">
        <v>345143.78841275477</v>
      </c>
      <c r="S538" s="1">
        <v>345143.78841275477</v>
      </c>
      <c r="T538" s="1">
        <v>345143.78841275477</v>
      </c>
      <c r="U538" s="1">
        <v>345143.78841275477</v>
      </c>
      <c r="V538" s="1">
        <v>345143.78841275477</v>
      </c>
      <c r="W538" s="4">
        <f t="shared" si="25"/>
        <v>3444535.0083592925</v>
      </c>
      <c r="X538" s="4">
        <f t="shared" si="26"/>
        <v>3444535.0083592925</v>
      </c>
      <c r="Y538" s="5">
        <f t="shared" si="27"/>
        <v>0.58216666666666661</v>
      </c>
    </row>
    <row r="539" spans="1:25" x14ac:dyDescent="0.25">
      <c r="A539" s="1" t="s">
        <v>103</v>
      </c>
      <c r="B539" s="1" t="s">
        <v>69</v>
      </c>
      <c r="C539" s="1" t="s">
        <v>28</v>
      </c>
      <c r="D539" s="1">
        <v>7207231.8363225814</v>
      </c>
      <c r="E539" s="1">
        <v>475677.30119729042</v>
      </c>
      <c r="F539" s="1">
        <v>475677.30119729042</v>
      </c>
      <c r="G539" s="1">
        <v>594596.62649661303</v>
      </c>
      <c r="H539" s="1">
        <v>594596.62649661303</v>
      </c>
      <c r="I539" s="1">
        <v>594596.62649661303</v>
      </c>
      <c r="J539" s="1">
        <v>594596.62649661303</v>
      </c>
      <c r="K539" s="1">
        <v>594596.62649661303</v>
      </c>
      <c r="L539" s="1">
        <v>594596.62649661303</v>
      </c>
      <c r="M539" s="1">
        <v>362163.39977520966</v>
      </c>
      <c r="N539" s="1">
        <v>362163.39977520966</v>
      </c>
      <c r="O539" s="1">
        <v>301802.83314600808</v>
      </c>
      <c r="P539" s="1">
        <v>301802.83314600808</v>
      </c>
      <c r="Q539" s="1">
        <v>422523.9664044113</v>
      </c>
      <c r="R539" s="1">
        <v>422523.9664044113</v>
      </c>
      <c r="S539" s="1">
        <v>422523.9664044113</v>
      </c>
      <c r="T539" s="1">
        <v>422523.9664044113</v>
      </c>
      <c r="U539" s="1">
        <v>422523.9664044113</v>
      </c>
      <c r="V539" s="1">
        <v>422523.9664044113</v>
      </c>
      <c r="W539" s="4">
        <f t="shared" si="25"/>
        <v>4191005.312821581</v>
      </c>
      <c r="X539" s="4">
        <f t="shared" si="26"/>
        <v>4191005.312821581</v>
      </c>
      <c r="Y539" s="5">
        <f t="shared" si="27"/>
        <v>0.58150000000000002</v>
      </c>
    </row>
    <row r="540" spans="1:25" x14ac:dyDescent="0.25">
      <c r="A540" s="1" t="s">
        <v>103</v>
      </c>
      <c r="B540" s="1" t="s">
        <v>70</v>
      </c>
      <c r="C540" s="1" t="s">
        <v>23</v>
      </c>
      <c r="D540" s="1">
        <v>8268750.0182812503</v>
      </c>
      <c r="E540" s="1">
        <v>545737.50120656262</v>
      </c>
      <c r="F540" s="1">
        <v>545737.50120656262</v>
      </c>
      <c r="G540" s="1">
        <v>682171.87650820322</v>
      </c>
      <c r="H540" s="1">
        <v>682171.87650820322</v>
      </c>
      <c r="I540" s="1">
        <v>682171.87650820322</v>
      </c>
      <c r="J540" s="1">
        <v>682171.87650820322</v>
      </c>
      <c r="K540" s="1">
        <v>682171.87650820322</v>
      </c>
      <c r="L540" s="1">
        <v>682171.87650820322</v>
      </c>
      <c r="M540" s="1">
        <v>415504.68841863284</v>
      </c>
      <c r="N540" s="1">
        <v>415504.68841863284</v>
      </c>
      <c r="O540" s="1">
        <v>346253.90701552737</v>
      </c>
      <c r="P540" s="1">
        <v>346253.90701552737</v>
      </c>
      <c r="Q540" s="1">
        <v>484755.46982173825</v>
      </c>
      <c r="R540" s="1">
        <v>484755.46982173825</v>
      </c>
      <c r="S540" s="1">
        <v>484755.46982173825</v>
      </c>
      <c r="T540" s="1">
        <v>484755.46982173825</v>
      </c>
      <c r="U540" s="1">
        <v>484755.46982173825</v>
      </c>
      <c r="V540" s="1">
        <v>484755.46982173825</v>
      </c>
      <c r="W540" s="4">
        <f t="shared" si="25"/>
        <v>4808278.135630548</v>
      </c>
      <c r="X540" s="4">
        <f t="shared" si="26"/>
        <v>4808278.135630548</v>
      </c>
      <c r="Y540" s="5">
        <f t="shared" si="27"/>
        <v>0.58150000000000013</v>
      </c>
    </row>
    <row r="541" spans="1:25" x14ac:dyDescent="0.25">
      <c r="A541" s="1" t="s">
        <v>103</v>
      </c>
      <c r="B541" s="1" t="s">
        <v>71</v>
      </c>
      <c r="C541" s="1" t="s">
        <v>29</v>
      </c>
      <c r="D541" s="1">
        <v>7593845.8211538428</v>
      </c>
      <c r="E541" s="1">
        <v>501193.82419615373</v>
      </c>
      <c r="F541" s="1">
        <v>501193.82419615373</v>
      </c>
      <c r="G541" s="1">
        <v>626492.28024519212</v>
      </c>
      <c r="H541" s="1">
        <v>626492.28024519212</v>
      </c>
      <c r="I541" s="1">
        <v>626492.28024519212</v>
      </c>
      <c r="J541" s="1">
        <v>626492.28024519212</v>
      </c>
      <c r="K541" s="1">
        <v>626492.28024519212</v>
      </c>
      <c r="L541" s="1">
        <v>626492.28024519212</v>
      </c>
      <c r="M541" s="1">
        <v>381590.75251298054</v>
      </c>
      <c r="N541" s="1">
        <v>381590.75251298054</v>
      </c>
      <c r="O541" s="1">
        <v>317992.29376081715</v>
      </c>
      <c r="P541" s="1">
        <v>317992.29376081715</v>
      </c>
      <c r="Q541" s="1">
        <v>445189.211265144</v>
      </c>
      <c r="R541" s="1">
        <v>445189.211265144</v>
      </c>
      <c r="S541" s="1">
        <v>445189.211265144</v>
      </c>
      <c r="T541" s="1">
        <v>445189.211265144</v>
      </c>
      <c r="U541" s="1">
        <v>445189.211265144</v>
      </c>
      <c r="V541" s="1">
        <v>445189.211265144</v>
      </c>
      <c r="W541" s="4">
        <f t="shared" si="25"/>
        <v>4415821.3450009599</v>
      </c>
      <c r="X541" s="4">
        <f t="shared" si="26"/>
        <v>4415821.3450009599</v>
      </c>
      <c r="Y541" s="5">
        <f t="shared" si="27"/>
        <v>0.58150000000000002</v>
      </c>
    </row>
    <row r="542" spans="1:25" x14ac:dyDescent="0.25">
      <c r="A542" s="1" t="s">
        <v>103</v>
      </c>
      <c r="B542" s="1" t="s">
        <v>72</v>
      </c>
      <c r="C542" s="1" t="s">
        <v>73</v>
      </c>
      <c r="D542" s="1">
        <v>5080583.8749789661</v>
      </c>
      <c r="E542" s="1">
        <v>335318.53574861179</v>
      </c>
      <c r="F542" s="1">
        <v>335318.53574861179</v>
      </c>
      <c r="G542" s="1">
        <v>419148.1696857647</v>
      </c>
      <c r="H542" s="1">
        <v>419148.1696857647</v>
      </c>
      <c r="I542" s="1">
        <v>419148.1696857647</v>
      </c>
      <c r="J542" s="1">
        <v>419148.1696857647</v>
      </c>
      <c r="K542" s="1">
        <v>419148.1696857647</v>
      </c>
      <c r="L542" s="1">
        <v>419148.1696857647</v>
      </c>
      <c r="M542" s="1">
        <v>255299.33971769304</v>
      </c>
      <c r="N542" s="1">
        <v>255299.33971769304</v>
      </c>
      <c r="O542" s="1">
        <v>212749.4497647442</v>
      </c>
      <c r="P542" s="1">
        <v>212749.4497647442</v>
      </c>
      <c r="Q542" s="1">
        <v>297849.22967064189</v>
      </c>
      <c r="R542" s="1">
        <v>297849.22967064189</v>
      </c>
      <c r="S542" s="1">
        <v>297849.22967064189</v>
      </c>
      <c r="T542" s="1">
        <v>297849.22967064189</v>
      </c>
      <c r="U542" s="1">
        <v>297849.22967064189</v>
      </c>
      <c r="V542" s="1">
        <v>297849.22967064189</v>
      </c>
      <c r="W542" s="4">
        <f t="shared" si="25"/>
        <v>2954359.5233002687</v>
      </c>
      <c r="X542" s="4">
        <f t="shared" si="26"/>
        <v>2954359.5233002687</v>
      </c>
      <c r="Y542" s="5">
        <f t="shared" si="27"/>
        <v>0.58150000000000002</v>
      </c>
    </row>
    <row r="543" spans="1:25" x14ac:dyDescent="0.25">
      <c r="A543" s="1" t="s">
        <v>103</v>
      </c>
      <c r="B543" s="1" t="s">
        <v>48</v>
      </c>
      <c r="C543" s="1" t="s">
        <v>49</v>
      </c>
      <c r="D543" s="1">
        <v>4378888.1555991862</v>
      </c>
      <c r="E543" s="1">
        <v>289006.61826954631</v>
      </c>
      <c r="F543" s="1">
        <v>289006.61826954631</v>
      </c>
      <c r="G543" s="1">
        <v>361258.27283693285</v>
      </c>
      <c r="H543" s="1">
        <v>361258.27283693285</v>
      </c>
      <c r="I543" s="1">
        <v>361258.27283693285</v>
      </c>
      <c r="J543" s="1">
        <v>361258.27283693285</v>
      </c>
      <c r="K543" s="1">
        <v>361258.27283693285</v>
      </c>
      <c r="L543" s="1">
        <v>361258.27283693285</v>
      </c>
      <c r="M543" s="1">
        <v>220039.12981885907</v>
      </c>
      <c r="N543" s="1">
        <v>220039.12981885907</v>
      </c>
      <c r="O543" s="1">
        <v>183365.94151571591</v>
      </c>
      <c r="P543" s="1">
        <v>183365.94151571591</v>
      </c>
      <c r="Q543" s="1">
        <v>256712.31812200227</v>
      </c>
      <c r="R543" s="1">
        <v>256712.31812200227</v>
      </c>
      <c r="S543" s="1">
        <v>256712.31812200227</v>
      </c>
      <c r="T543" s="1">
        <v>256712.31812200227</v>
      </c>
      <c r="U543" s="1">
        <v>256712.31812200227</v>
      </c>
      <c r="V543" s="1">
        <v>256712.31812200227</v>
      </c>
      <c r="W543" s="4">
        <f t="shared" si="25"/>
        <v>2546323.4624809269</v>
      </c>
      <c r="X543" s="4">
        <f t="shared" si="26"/>
        <v>2546323.4624809269</v>
      </c>
      <c r="Y543" s="5">
        <f t="shared" si="27"/>
        <v>0.58150000000000002</v>
      </c>
    </row>
    <row r="544" spans="1:25" x14ac:dyDescent="0.25">
      <c r="A544" s="1" t="s">
        <v>103</v>
      </c>
      <c r="B544" s="1" t="s">
        <v>53</v>
      </c>
      <c r="C544" s="1" t="s">
        <v>30</v>
      </c>
      <c r="D544" s="1">
        <v>3286014.9262045384</v>
      </c>
      <c r="E544" s="1">
        <v>216876.98512949955</v>
      </c>
      <c r="F544" s="1">
        <v>216876.98512949955</v>
      </c>
      <c r="G544" s="1">
        <v>271096.23141187441</v>
      </c>
      <c r="H544" s="1">
        <v>271096.23141187441</v>
      </c>
      <c r="I544" s="1">
        <v>271096.23141187441</v>
      </c>
      <c r="J544" s="1">
        <v>271096.23141187441</v>
      </c>
      <c r="K544" s="1">
        <v>271096.23141187441</v>
      </c>
      <c r="L544" s="1">
        <v>271096.23141187441</v>
      </c>
      <c r="M544" s="1">
        <v>165122.25004177805</v>
      </c>
      <c r="N544" s="1">
        <v>165122.25004177805</v>
      </c>
      <c r="O544" s="1">
        <v>137601.87503481505</v>
      </c>
      <c r="P544" s="1">
        <v>137601.87503481505</v>
      </c>
      <c r="Q544" s="1">
        <v>192642.62504874106</v>
      </c>
      <c r="R544" s="1">
        <v>192642.62504874106</v>
      </c>
      <c r="S544" s="1">
        <v>192642.62504874106</v>
      </c>
      <c r="T544" s="1">
        <v>192642.62504874106</v>
      </c>
      <c r="U544" s="1">
        <v>192642.62504874106</v>
      </c>
      <c r="V544" s="1">
        <v>192642.62504874106</v>
      </c>
      <c r="W544" s="4">
        <f t="shared" si="25"/>
        <v>1910817.6795879391</v>
      </c>
      <c r="X544" s="4">
        <f t="shared" si="26"/>
        <v>1910817.6795879391</v>
      </c>
      <c r="Y544" s="5">
        <f t="shared" si="27"/>
        <v>0.58150000000000002</v>
      </c>
    </row>
    <row r="545" spans="1:25" x14ac:dyDescent="0.25">
      <c r="A545" s="1" t="s">
        <v>103</v>
      </c>
      <c r="B545" s="1" t="s">
        <v>74</v>
      </c>
      <c r="C545" s="1" t="s">
        <v>75</v>
      </c>
      <c r="D545" s="1">
        <v>8247209.6129727503</v>
      </c>
      <c r="E545" s="1">
        <v>544315.83445620153</v>
      </c>
      <c r="F545" s="1">
        <v>544315.83445620153</v>
      </c>
      <c r="G545" s="1">
        <v>680394.79307025194</v>
      </c>
      <c r="H545" s="1">
        <v>680394.79307025194</v>
      </c>
      <c r="I545" s="1">
        <v>680394.79307025194</v>
      </c>
      <c r="J545" s="1">
        <v>680394.79307025194</v>
      </c>
      <c r="K545" s="1">
        <v>680394.79307025194</v>
      </c>
      <c r="L545" s="1">
        <v>680394.79307025194</v>
      </c>
      <c r="M545" s="1">
        <v>414422.28305188072</v>
      </c>
      <c r="N545" s="1">
        <v>414422.28305188072</v>
      </c>
      <c r="O545" s="1">
        <v>345351.90254323394</v>
      </c>
      <c r="P545" s="1">
        <v>345351.90254323394</v>
      </c>
      <c r="Q545" s="1">
        <v>483492.66356052749</v>
      </c>
      <c r="R545" s="1">
        <v>483492.66356052749</v>
      </c>
      <c r="S545" s="1">
        <v>483492.66356052749</v>
      </c>
      <c r="T545" s="1">
        <v>483492.66356052749</v>
      </c>
      <c r="U545" s="1">
        <v>483492.66356052749</v>
      </c>
      <c r="V545" s="1">
        <v>483492.66356052749</v>
      </c>
      <c r="W545" s="4">
        <f t="shared" si="25"/>
        <v>4795752.3899436546</v>
      </c>
      <c r="X545" s="4">
        <f t="shared" si="26"/>
        <v>4795752.3899436546</v>
      </c>
      <c r="Y545" s="5">
        <f t="shared" si="27"/>
        <v>0.58150000000000002</v>
      </c>
    </row>
    <row r="546" spans="1:25" x14ac:dyDescent="0.25">
      <c r="A546" s="1" t="s">
        <v>103</v>
      </c>
      <c r="B546" s="1" t="s">
        <v>50</v>
      </c>
      <c r="C546" s="1" t="s">
        <v>25</v>
      </c>
      <c r="D546" s="1">
        <v>4597832.5633791462</v>
      </c>
      <c r="E546" s="1">
        <v>303456.94918302371</v>
      </c>
      <c r="F546" s="1">
        <v>303456.94918302371</v>
      </c>
      <c r="G546" s="1">
        <v>379321.18647877959</v>
      </c>
      <c r="H546" s="1">
        <v>379321.18647877959</v>
      </c>
      <c r="I546" s="1">
        <v>379321.18647877959</v>
      </c>
      <c r="J546" s="1">
        <v>379321.18647877959</v>
      </c>
      <c r="K546" s="1">
        <v>379321.18647877959</v>
      </c>
      <c r="L546" s="1">
        <v>379321.18647877959</v>
      </c>
      <c r="M546" s="1">
        <v>231041.08630980205</v>
      </c>
      <c r="N546" s="1">
        <v>231041.08630980205</v>
      </c>
      <c r="O546" s="1">
        <v>192534.23859150172</v>
      </c>
      <c r="P546" s="1">
        <v>192534.23859150172</v>
      </c>
      <c r="Q546" s="1">
        <v>269547.93402810238</v>
      </c>
      <c r="R546" s="1">
        <v>269547.93402810238</v>
      </c>
      <c r="S546" s="1">
        <v>269547.93402810238</v>
      </c>
      <c r="T546" s="1">
        <v>269547.93402810238</v>
      </c>
      <c r="U546" s="1">
        <v>269547.93402810238</v>
      </c>
      <c r="V546" s="1">
        <v>269547.93402810238</v>
      </c>
      <c r="W546" s="4">
        <f t="shared" si="25"/>
        <v>2673639.6356049734</v>
      </c>
      <c r="X546" s="4">
        <f t="shared" si="26"/>
        <v>2673639.6356049734</v>
      </c>
      <c r="Y546" s="5">
        <f t="shared" si="27"/>
        <v>0.58150000000000002</v>
      </c>
    </row>
    <row r="547" spans="1:25" x14ac:dyDescent="0.25">
      <c r="A547" s="1" t="s">
        <v>104</v>
      </c>
      <c r="B547" s="1" t="s">
        <v>59</v>
      </c>
      <c r="C547" s="1" t="s">
        <v>26</v>
      </c>
      <c r="D547" s="1">
        <v>38679285</v>
      </c>
      <c r="E547" s="1">
        <v>3810367.4891579226</v>
      </c>
      <c r="F547" s="1">
        <v>3810367.4891579226</v>
      </c>
      <c r="G547" s="1">
        <v>4762959.3614474032</v>
      </c>
      <c r="H547" s="1">
        <v>4762959.3614474032</v>
      </c>
      <c r="I547" s="1">
        <v>4762959.3614474032</v>
      </c>
      <c r="J547" s="1">
        <v>4762959.3614474032</v>
      </c>
      <c r="K547" s="1">
        <v>4762959.3614474032</v>
      </c>
      <c r="L547" s="1">
        <v>4762959.3614474032</v>
      </c>
      <c r="M547" s="1">
        <v>2453430.9442762993</v>
      </c>
      <c r="N547" s="1">
        <v>2453430.9442762993</v>
      </c>
      <c r="O547" s="1">
        <v>2453430.9442762993</v>
      </c>
      <c r="P547" s="1">
        <v>2453430.9442762993</v>
      </c>
      <c r="Q547" s="1">
        <v>2453430.9442762993</v>
      </c>
      <c r="R547" s="1">
        <v>2453430.9442762993</v>
      </c>
      <c r="S547" s="1">
        <v>2453430.9442762993</v>
      </c>
      <c r="T547" s="1">
        <v>2453430.9442762993</v>
      </c>
      <c r="U547" s="1">
        <v>2453430.9442762993</v>
      </c>
      <c r="V547" s="1">
        <v>2453430.9442762993</v>
      </c>
      <c r="W547" s="4">
        <f t="shared" si="25"/>
        <v>30366400.294881627</v>
      </c>
      <c r="X547" s="4">
        <f t="shared" si="26"/>
        <v>30366400.294881627</v>
      </c>
      <c r="Y547" s="5">
        <f t="shared" si="27"/>
        <v>0.7850817380642281</v>
      </c>
    </row>
    <row r="548" spans="1:25" x14ac:dyDescent="0.25">
      <c r="A548" s="1" t="s">
        <v>104</v>
      </c>
      <c r="B548" s="1" t="s">
        <v>60</v>
      </c>
      <c r="C548" s="1" t="s">
        <v>26</v>
      </c>
      <c r="D548" s="1">
        <v>19053556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9526778</v>
      </c>
      <c r="N548" s="1">
        <v>9526778</v>
      </c>
      <c r="O548" s="1">
        <v>9526778</v>
      </c>
      <c r="P548" s="1">
        <v>9526778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4">
        <f t="shared" si="25"/>
        <v>19053556</v>
      </c>
      <c r="X548" s="4">
        <f t="shared" si="26"/>
        <v>19053556</v>
      </c>
      <c r="Y548" s="5">
        <f t="shared" si="27"/>
        <v>1</v>
      </c>
    </row>
    <row r="549" spans="1:25" x14ac:dyDescent="0.25">
      <c r="A549" s="1" t="s">
        <v>104</v>
      </c>
      <c r="B549" s="1" t="s">
        <v>33</v>
      </c>
      <c r="C549" s="1" t="s">
        <v>34</v>
      </c>
      <c r="D549" s="1">
        <v>60000000</v>
      </c>
      <c r="E549" s="1">
        <v>0</v>
      </c>
      <c r="F549" s="1">
        <v>0</v>
      </c>
      <c r="G549" s="1">
        <v>12000000</v>
      </c>
      <c r="H549" s="1">
        <v>12000000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18000000</v>
      </c>
      <c r="P549" s="1">
        <v>18000000</v>
      </c>
      <c r="Q549" s="1">
        <v>0</v>
      </c>
      <c r="R549" s="1">
        <v>0</v>
      </c>
      <c r="S549" s="1">
        <v>18000000</v>
      </c>
      <c r="T549" s="1">
        <v>18000000</v>
      </c>
      <c r="U549" s="1">
        <v>12000000</v>
      </c>
      <c r="V549" s="1">
        <v>12000000</v>
      </c>
      <c r="W549" s="4">
        <f t="shared" si="25"/>
        <v>60000000</v>
      </c>
      <c r="X549" s="4">
        <f t="shared" si="26"/>
        <v>60000000</v>
      </c>
      <c r="Y549" s="5">
        <f t="shared" si="27"/>
        <v>1</v>
      </c>
    </row>
    <row r="550" spans="1:25" x14ac:dyDescent="0.25">
      <c r="A550" s="1" t="s">
        <v>104</v>
      </c>
      <c r="B550" s="1" t="s">
        <v>35</v>
      </c>
      <c r="C550" s="1" t="s">
        <v>34</v>
      </c>
      <c r="D550" s="1">
        <v>150000000</v>
      </c>
      <c r="E550" s="1">
        <v>0</v>
      </c>
      <c r="F550" s="1">
        <v>0</v>
      </c>
      <c r="G550" s="1">
        <v>41250000</v>
      </c>
      <c r="H550" s="1">
        <v>41250000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36250000</v>
      </c>
      <c r="P550" s="1">
        <v>36250000</v>
      </c>
      <c r="Q550" s="1">
        <v>0</v>
      </c>
      <c r="R550" s="1">
        <v>0</v>
      </c>
      <c r="S550" s="1">
        <v>36250000</v>
      </c>
      <c r="T550" s="1">
        <v>36250000</v>
      </c>
      <c r="U550" s="1">
        <v>36250000</v>
      </c>
      <c r="V550" s="1">
        <v>36250000</v>
      </c>
      <c r="W550" s="4">
        <f t="shared" si="25"/>
        <v>150000000</v>
      </c>
      <c r="X550" s="4">
        <f t="shared" si="26"/>
        <v>150000000</v>
      </c>
      <c r="Y550" s="5">
        <f t="shared" si="27"/>
        <v>1</v>
      </c>
    </row>
    <row r="551" spans="1:25" x14ac:dyDescent="0.25">
      <c r="A551" s="1" t="s">
        <v>104</v>
      </c>
      <c r="B551" s="1" t="s">
        <v>38</v>
      </c>
      <c r="C551" s="1" t="s">
        <v>39</v>
      </c>
      <c r="D551" s="1">
        <v>7680232.3130681198</v>
      </c>
      <c r="E551" s="1">
        <v>506895.33266249602</v>
      </c>
      <c r="F551" s="1">
        <v>506895.33266249602</v>
      </c>
      <c r="G551" s="1">
        <v>633619.16582811996</v>
      </c>
      <c r="H551" s="1">
        <v>633619.16582811996</v>
      </c>
      <c r="I551" s="1">
        <v>633619.16582811996</v>
      </c>
      <c r="J551" s="1">
        <v>633619.16582811996</v>
      </c>
      <c r="K551" s="1">
        <v>633619.16582811996</v>
      </c>
      <c r="L551" s="1">
        <v>633619.16582811996</v>
      </c>
      <c r="M551" s="1">
        <v>385931.67373167299</v>
      </c>
      <c r="N551" s="1">
        <v>385931.67373167299</v>
      </c>
      <c r="O551" s="1">
        <v>321609.7281097275</v>
      </c>
      <c r="P551" s="1">
        <v>321609.7281097275</v>
      </c>
      <c r="Q551" s="1">
        <v>450253.61935361847</v>
      </c>
      <c r="R551" s="1">
        <v>450253.61935361847</v>
      </c>
      <c r="S551" s="1">
        <v>450253.61935361847</v>
      </c>
      <c r="T551" s="1">
        <v>450253.61935361847</v>
      </c>
      <c r="U551" s="1">
        <v>450253.61935361847</v>
      </c>
      <c r="V551" s="1">
        <v>450253.61935361847</v>
      </c>
      <c r="W551" s="4">
        <f t="shared" si="25"/>
        <v>4466055.0900491122</v>
      </c>
      <c r="X551" s="4">
        <f t="shared" si="26"/>
        <v>4466055.0900491122</v>
      </c>
      <c r="Y551" s="5">
        <f t="shared" si="27"/>
        <v>0.58150000000000002</v>
      </c>
    </row>
    <row r="552" spans="1:25" x14ac:dyDescent="0.25">
      <c r="A552" s="1" t="s">
        <v>104</v>
      </c>
      <c r="B552" s="1" t="s">
        <v>61</v>
      </c>
      <c r="C552" s="1" t="s">
        <v>34</v>
      </c>
      <c r="D552" s="1">
        <v>85335799</v>
      </c>
      <c r="E552" s="1">
        <v>0</v>
      </c>
      <c r="F552" s="1">
        <v>0</v>
      </c>
      <c r="G552" s="1">
        <v>6826863.9192224061</v>
      </c>
      <c r="H552" s="1">
        <v>6826863.9192224061</v>
      </c>
      <c r="I552" s="1">
        <v>0</v>
      </c>
      <c r="J552" s="1">
        <v>0</v>
      </c>
      <c r="K552" s="1">
        <v>0</v>
      </c>
      <c r="L552" s="1">
        <v>0</v>
      </c>
      <c r="M552" s="1">
        <v>19627233.7701944</v>
      </c>
      <c r="N552" s="1">
        <v>19627233.7701944</v>
      </c>
      <c r="O552" s="1">
        <v>0</v>
      </c>
      <c r="P552" s="1">
        <v>0</v>
      </c>
      <c r="Q552" s="1">
        <v>0</v>
      </c>
      <c r="R552" s="1">
        <v>0</v>
      </c>
      <c r="S552" s="1">
        <v>29440850.655291602</v>
      </c>
      <c r="T552" s="1">
        <v>29440850.655291602</v>
      </c>
      <c r="U552" s="1">
        <v>0</v>
      </c>
      <c r="V552" s="1">
        <v>0</v>
      </c>
      <c r="W552" s="4">
        <f t="shared" si="25"/>
        <v>55894948.344708405</v>
      </c>
      <c r="X552" s="4">
        <f t="shared" si="26"/>
        <v>55894948.344708405</v>
      </c>
      <c r="Y552" s="5">
        <f t="shared" si="27"/>
        <v>0.65499999999658298</v>
      </c>
    </row>
    <row r="553" spans="1:25" x14ac:dyDescent="0.25">
      <c r="A553" s="1" t="s">
        <v>104</v>
      </c>
      <c r="B553" s="1" t="s">
        <v>62</v>
      </c>
      <c r="C553" s="1" t="s">
        <v>63</v>
      </c>
      <c r="D553" s="1">
        <v>34142857</v>
      </c>
      <c r="E553" s="1">
        <v>14079999.999120001</v>
      </c>
      <c r="F553" s="1">
        <v>14079999.999120001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1240714.2857967855</v>
      </c>
      <c r="N553" s="1">
        <v>1240714.2857967855</v>
      </c>
      <c r="O553" s="1">
        <v>1033928.5714973214</v>
      </c>
      <c r="P553" s="1">
        <v>1033928.5714973214</v>
      </c>
      <c r="Q553" s="1">
        <v>1447500.0000962499</v>
      </c>
      <c r="R553" s="1">
        <v>1447500.0000962499</v>
      </c>
      <c r="S553" s="1">
        <v>1447500.0000962499</v>
      </c>
      <c r="T553" s="1">
        <v>1447500.0000962499</v>
      </c>
      <c r="U553" s="1">
        <v>1447500.0000962499</v>
      </c>
      <c r="V553" s="1">
        <v>1447500.0000962499</v>
      </c>
      <c r="W553" s="4">
        <f t="shared" si="25"/>
        <v>20697142.856702857</v>
      </c>
      <c r="X553" s="4">
        <f t="shared" si="26"/>
        <v>20697142.856702857</v>
      </c>
      <c r="Y553" s="5">
        <f t="shared" si="27"/>
        <v>0.60619247114273</v>
      </c>
    </row>
    <row r="554" spans="1:25" x14ac:dyDescent="0.25">
      <c r="A554" s="1" t="s">
        <v>104</v>
      </c>
      <c r="B554" s="1" t="s">
        <v>40</v>
      </c>
      <c r="C554" s="1" t="s">
        <v>27</v>
      </c>
      <c r="D554" s="1">
        <v>94925514.560000002</v>
      </c>
      <c r="E554" s="1">
        <v>7056892.9199999999</v>
      </c>
      <c r="F554" s="1">
        <v>7056892.9199999999</v>
      </c>
      <c r="G554" s="1">
        <v>5194392.47</v>
      </c>
      <c r="H554" s="1">
        <v>5194392.47</v>
      </c>
      <c r="I554" s="1">
        <v>10889392.92</v>
      </c>
      <c r="J554" s="1">
        <v>10889392.92</v>
      </c>
      <c r="K554" s="1">
        <v>10740892.92</v>
      </c>
      <c r="L554" s="1">
        <v>10740892.92</v>
      </c>
      <c r="M554" s="1">
        <v>6000000.0000000056</v>
      </c>
      <c r="N554" s="1">
        <v>6000000.0000000056</v>
      </c>
      <c r="O554" s="1">
        <v>18049585.840000004</v>
      </c>
      <c r="P554" s="1">
        <v>18049585.840000004</v>
      </c>
      <c r="Q554" s="1">
        <v>9620892.9199999999</v>
      </c>
      <c r="R554" s="1">
        <v>9620892.9199999999</v>
      </c>
      <c r="S554" s="1">
        <v>6693392.9199999999</v>
      </c>
      <c r="T554" s="1">
        <v>6693392.9199999999</v>
      </c>
      <c r="U554" s="1">
        <v>6531892.9199999999</v>
      </c>
      <c r="V554" s="1">
        <v>6531892.9199999999</v>
      </c>
      <c r="W554" s="4">
        <f t="shared" si="25"/>
        <v>80777335.830000013</v>
      </c>
      <c r="X554" s="4">
        <f t="shared" si="26"/>
        <v>80777335.830000013</v>
      </c>
      <c r="Y554" s="5">
        <f t="shared" si="27"/>
        <v>0.85095494298261309</v>
      </c>
    </row>
    <row r="555" spans="1:25" x14ac:dyDescent="0.25">
      <c r="A555" s="1" t="s">
        <v>104</v>
      </c>
      <c r="B555" s="1" t="s">
        <v>41</v>
      </c>
      <c r="C555" s="1" t="s">
        <v>27</v>
      </c>
      <c r="D555" s="1">
        <v>157085000</v>
      </c>
      <c r="E555" s="1">
        <v>28716233.084618688</v>
      </c>
      <c r="F555" s="1">
        <v>28716233.084618688</v>
      </c>
      <c r="G555" s="1">
        <v>0</v>
      </c>
      <c r="H555" s="1">
        <v>0</v>
      </c>
      <c r="I555" s="1">
        <v>3045000</v>
      </c>
      <c r="J555" s="1">
        <v>3045000</v>
      </c>
      <c r="K555" s="1">
        <v>0</v>
      </c>
      <c r="L555" s="1">
        <v>0</v>
      </c>
      <c r="M555" s="1">
        <v>46996412.593267992</v>
      </c>
      <c r="N555" s="1">
        <v>46996412.593267992</v>
      </c>
      <c r="O555" s="1">
        <v>31330941.728845328</v>
      </c>
      <c r="P555" s="1">
        <v>31330941.728845328</v>
      </c>
      <c r="Q555" s="1">
        <v>46996412.593267992</v>
      </c>
      <c r="R555" s="1">
        <v>46996412.593267992</v>
      </c>
      <c r="S555" s="1">
        <v>0</v>
      </c>
      <c r="T555" s="1">
        <v>0</v>
      </c>
      <c r="U555" s="1">
        <v>0</v>
      </c>
      <c r="V555" s="1">
        <v>0</v>
      </c>
      <c r="W555" s="4">
        <f t="shared" si="25"/>
        <v>157085000</v>
      </c>
      <c r="X555" s="4">
        <f t="shared" si="26"/>
        <v>157085000</v>
      </c>
      <c r="Y555" s="5">
        <f t="shared" si="27"/>
        <v>1</v>
      </c>
    </row>
    <row r="556" spans="1:25" x14ac:dyDescent="0.25">
      <c r="A556" s="1" t="s">
        <v>104</v>
      </c>
      <c r="B556" s="1" t="s">
        <v>42</v>
      </c>
      <c r="C556" s="1" t="s">
        <v>27</v>
      </c>
      <c r="D556" s="1">
        <v>26150247</v>
      </c>
      <c r="E556" s="1">
        <v>0</v>
      </c>
      <c r="F556" s="1">
        <v>0</v>
      </c>
      <c r="G556" s="1">
        <v>26150247</v>
      </c>
      <c r="H556" s="1">
        <v>26150247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4">
        <f t="shared" si="25"/>
        <v>26150247</v>
      </c>
      <c r="X556" s="4">
        <f t="shared" si="26"/>
        <v>26150247</v>
      </c>
      <c r="Y556" s="5">
        <f t="shared" si="27"/>
        <v>1</v>
      </c>
    </row>
    <row r="557" spans="1:25" x14ac:dyDescent="0.25">
      <c r="A557" s="1" t="s">
        <v>104</v>
      </c>
      <c r="B557" s="1" t="s">
        <v>43</v>
      </c>
      <c r="C557" s="1" t="s">
        <v>31</v>
      </c>
      <c r="D557" s="1">
        <v>6610163</v>
      </c>
      <c r="E557" s="1">
        <v>383973.81905341399</v>
      </c>
      <c r="F557" s="1">
        <v>383973.81905341399</v>
      </c>
      <c r="G557" s="1">
        <v>479967.27381676744</v>
      </c>
      <c r="H557" s="1">
        <v>479967.27381676744</v>
      </c>
      <c r="I557" s="1">
        <v>479967.27381676744</v>
      </c>
      <c r="J557" s="1">
        <v>479967.27381676744</v>
      </c>
      <c r="K557" s="1">
        <v>479967.27381676744</v>
      </c>
      <c r="L557" s="1">
        <v>479967.27381676744</v>
      </c>
      <c r="M557" s="1">
        <v>356891.4612318555</v>
      </c>
      <c r="N557" s="1">
        <v>356891.4612318555</v>
      </c>
      <c r="O557" s="1">
        <v>297409.55102654628</v>
      </c>
      <c r="P557" s="1">
        <v>297409.55102654628</v>
      </c>
      <c r="Q557" s="1">
        <v>368592.13325289841</v>
      </c>
      <c r="R557" s="1">
        <v>368592.13325289841</v>
      </c>
      <c r="S557" s="1">
        <v>416373.37143716478</v>
      </c>
      <c r="T557" s="1">
        <v>416373.37143716478</v>
      </c>
      <c r="U557" s="1">
        <v>416373.37143716478</v>
      </c>
      <c r="V557" s="1">
        <v>416373.37143716478</v>
      </c>
      <c r="W557" s="4">
        <f t="shared" si="25"/>
        <v>3679515.5288893459</v>
      </c>
      <c r="X557" s="4">
        <f t="shared" si="26"/>
        <v>3679515.5288893459</v>
      </c>
      <c r="Y557" s="5">
        <f t="shared" si="27"/>
        <v>0.55664520358867786</v>
      </c>
    </row>
    <row r="558" spans="1:25" x14ac:dyDescent="0.25">
      <c r="A558" s="1" t="s">
        <v>104</v>
      </c>
      <c r="B558" s="1" t="s">
        <v>64</v>
      </c>
      <c r="C558" s="1" t="s">
        <v>23</v>
      </c>
      <c r="D558" s="1">
        <v>10475866.375297714</v>
      </c>
      <c r="E558" s="1">
        <v>691407.18076964922</v>
      </c>
      <c r="F558" s="1">
        <v>691407.18076964922</v>
      </c>
      <c r="G558" s="1">
        <v>864258.97596206143</v>
      </c>
      <c r="H558" s="1">
        <v>864258.97596206143</v>
      </c>
      <c r="I558" s="1">
        <v>864258.97596206143</v>
      </c>
      <c r="J558" s="1">
        <v>864258.97596206143</v>
      </c>
      <c r="K558" s="1">
        <v>864258.97596206143</v>
      </c>
      <c r="L558" s="1">
        <v>864258.97596206143</v>
      </c>
      <c r="M558" s="1">
        <v>526412.2853587101</v>
      </c>
      <c r="N558" s="1">
        <v>526412.2853587101</v>
      </c>
      <c r="O558" s="1">
        <v>438676.90446559177</v>
      </c>
      <c r="P558" s="1">
        <v>438676.90446559177</v>
      </c>
      <c r="Q558" s="1">
        <v>614147.66625182843</v>
      </c>
      <c r="R558" s="1">
        <v>614147.66625182843</v>
      </c>
      <c r="S558" s="1">
        <v>614147.66625182843</v>
      </c>
      <c r="T558" s="1">
        <v>614147.66625182843</v>
      </c>
      <c r="U558" s="1">
        <v>614147.66625182843</v>
      </c>
      <c r="V558" s="1">
        <v>614147.66625182843</v>
      </c>
      <c r="W558" s="4">
        <f t="shared" si="25"/>
        <v>6091716.2972356211</v>
      </c>
      <c r="X558" s="4">
        <f t="shared" si="26"/>
        <v>6091716.2972356211</v>
      </c>
      <c r="Y558" s="5">
        <f t="shared" si="27"/>
        <v>0.58150000000000002</v>
      </c>
    </row>
    <row r="559" spans="1:25" x14ac:dyDescent="0.25">
      <c r="A559" s="1" t="s">
        <v>104</v>
      </c>
      <c r="B559" s="1" t="s">
        <v>65</v>
      </c>
      <c r="C559" s="1" t="s">
        <v>31</v>
      </c>
      <c r="D559" s="1">
        <v>4940729.3783368235</v>
      </c>
      <c r="E559" s="1">
        <v>326088.13897023041</v>
      </c>
      <c r="F559" s="1">
        <v>326088.13897023041</v>
      </c>
      <c r="G559" s="1">
        <v>407610.17371278798</v>
      </c>
      <c r="H559" s="1">
        <v>407610.17371278798</v>
      </c>
      <c r="I559" s="1">
        <v>407610.17371278798</v>
      </c>
      <c r="J559" s="1">
        <v>407610.17371278798</v>
      </c>
      <c r="K559" s="1">
        <v>407610.17371278798</v>
      </c>
      <c r="L559" s="1">
        <v>407610.17371278798</v>
      </c>
      <c r="M559" s="1">
        <v>248271.65126142537</v>
      </c>
      <c r="N559" s="1">
        <v>248271.65126142537</v>
      </c>
      <c r="O559" s="1">
        <v>206893.04271785449</v>
      </c>
      <c r="P559" s="1">
        <v>206893.04271785449</v>
      </c>
      <c r="Q559" s="1">
        <v>289650.25980499625</v>
      </c>
      <c r="R559" s="1">
        <v>289650.25980499625</v>
      </c>
      <c r="S559" s="1">
        <v>289650.25980499625</v>
      </c>
      <c r="T559" s="1">
        <v>289650.25980499625</v>
      </c>
      <c r="U559" s="1">
        <v>289650.25980499625</v>
      </c>
      <c r="V559" s="1">
        <v>289650.25980499625</v>
      </c>
      <c r="W559" s="4">
        <f t="shared" si="25"/>
        <v>2873034.1335028629</v>
      </c>
      <c r="X559" s="4">
        <f t="shared" si="26"/>
        <v>2873034.1335028629</v>
      </c>
      <c r="Y559" s="5">
        <f t="shared" si="27"/>
        <v>0.58150000000000002</v>
      </c>
    </row>
    <row r="560" spans="1:25" x14ac:dyDescent="0.25">
      <c r="A560" s="1" t="s">
        <v>104</v>
      </c>
      <c r="B560" s="1" t="s">
        <v>44</v>
      </c>
      <c r="C560" s="1" t="s">
        <v>45</v>
      </c>
      <c r="D560" s="1">
        <v>7680232.3130681198</v>
      </c>
      <c r="E560" s="1">
        <v>506895.33266249602</v>
      </c>
      <c r="F560" s="1">
        <v>506895.33266249602</v>
      </c>
      <c r="G560" s="1">
        <v>633619.16582811996</v>
      </c>
      <c r="H560" s="1">
        <v>633619.16582811996</v>
      </c>
      <c r="I560" s="1">
        <v>633619.16582811996</v>
      </c>
      <c r="J560" s="1">
        <v>633619.16582811996</v>
      </c>
      <c r="K560" s="1">
        <v>633619.16582811996</v>
      </c>
      <c r="L560" s="1">
        <v>633619.16582811996</v>
      </c>
      <c r="M560" s="1">
        <v>385931.67373167299</v>
      </c>
      <c r="N560" s="1">
        <v>385931.67373167299</v>
      </c>
      <c r="O560" s="1">
        <v>321609.7281097275</v>
      </c>
      <c r="P560" s="1">
        <v>321609.7281097275</v>
      </c>
      <c r="Q560" s="1">
        <v>450253.61935361847</v>
      </c>
      <c r="R560" s="1">
        <v>450253.61935361847</v>
      </c>
      <c r="S560" s="1">
        <v>450253.61935361847</v>
      </c>
      <c r="T560" s="1">
        <v>450253.61935361847</v>
      </c>
      <c r="U560" s="1">
        <v>450253.61935361847</v>
      </c>
      <c r="V560" s="1">
        <v>450253.61935361847</v>
      </c>
      <c r="W560" s="4">
        <f t="shared" si="25"/>
        <v>4466055.0900491122</v>
      </c>
      <c r="X560" s="4">
        <f t="shared" si="26"/>
        <v>4466055.0900491122</v>
      </c>
      <c r="Y560" s="5">
        <f t="shared" si="27"/>
        <v>0.58150000000000002</v>
      </c>
    </row>
    <row r="561" spans="1:25" x14ac:dyDescent="0.25">
      <c r="A561" s="1" t="s">
        <v>104</v>
      </c>
      <c r="B561" s="1" t="s">
        <v>46</v>
      </c>
      <c r="C561" s="1" t="s">
        <v>22</v>
      </c>
      <c r="D561" s="1">
        <v>67220367.834833175</v>
      </c>
      <c r="E561" s="1">
        <v>4440700.1096188221</v>
      </c>
      <c r="F561" s="1">
        <v>4440700.1096188221</v>
      </c>
      <c r="G561" s="1">
        <v>5550875.1370235272</v>
      </c>
      <c r="H561" s="1">
        <v>5550875.1370235272</v>
      </c>
      <c r="I561" s="1">
        <v>5550875.1370235272</v>
      </c>
      <c r="J561" s="1">
        <v>5550875.1370235272</v>
      </c>
      <c r="K561" s="1">
        <v>5550875.1370235272</v>
      </c>
      <c r="L561" s="1">
        <v>5550875.1370235272</v>
      </c>
      <c r="M561" s="1">
        <v>3482991.6443014694</v>
      </c>
      <c r="N561" s="1">
        <v>3482991.6443014694</v>
      </c>
      <c r="O561" s="1">
        <v>2832332.2154762782</v>
      </c>
      <c r="P561" s="1">
        <v>2832332.2154762782</v>
      </c>
      <c r="Q561" s="1">
        <v>3921188.1270701843</v>
      </c>
      <c r="R561" s="1">
        <v>3921188.1270701843</v>
      </c>
      <c r="S561" s="1">
        <v>3921188.1270701843</v>
      </c>
      <c r="T561" s="1">
        <v>3921188.1270701843</v>
      </c>
      <c r="U561" s="1">
        <v>3921188.1270701843</v>
      </c>
      <c r="V561" s="1">
        <v>3921188.1270701843</v>
      </c>
      <c r="W561" s="4">
        <f t="shared" si="25"/>
        <v>39172213.761677705</v>
      </c>
      <c r="X561" s="4">
        <f t="shared" si="26"/>
        <v>39172213.761677705</v>
      </c>
      <c r="Y561" s="5">
        <f t="shared" si="27"/>
        <v>0.58274322238056708</v>
      </c>
    </row>
    <row r="562" spans="1:25" x14ac:dyDescent="0.25">
      <c r="A562" s="1" t="s">
        <v>104</v>
      </c>
      <c r="B562" s="1" t="s">
        <v>66</v>
      </c>
      <c r="C562" s="1" t="s">
        <v>24</v>
      </c>
      <c r="D562" s="1">
        <v>302656497.1121968</v>
      </c>
      <c r="E562" s="1">
        <v>24969161.011756238</v>
      </c>
      <c r="F562" s="1">
        <v>24969161.011756238</v>
      </c>
      <c r="G562" s="1">
        <v>24969161.011756238</v>
      </c>
      <c r="H562" s="1">
        <v>24969161.011756238</v>
      </c>
      <c r="I562" s="1">
        <v>24969161.011756238</v>
      </c>
      <c r="J562" s="1">
        <v>24969161.011756238</v>
      </c>
      <c r="K562" s="1">
        <v>24969161.011756238</v>
      </c>
      <c r="L562" s="1">
        <v>24969161.011756238</v>
      </c>
      <c r="M562" s="1">
        <v>28337352.95297505</v>
      </c>
      <c r="N562" s="1">
        <v>28337352.95297505</v>
      </c>
      <c r="O562" s="1">
        <v>25797500</v>
      </c>
      <c r="P562" s="1">
        <v>25797500</v>
      </c>
      <c r="Q562" s="1">
        <v>24757500</v>
      </c>
      <c r="R562" s="1">
        <v>24757500</v>
      </c>
      <c r="S562" s="1">
        <v>24795000</v>
      </c>
      <c r="T562" s="1">
        <v>24795000</v>
      </c>
      <c r="U562" s="1">
        <v>24742500</v>
      </c>
      <c r="V562" s="1">
        <v>24742500</v>
      </c>
      <c r="W562" s="4">
        <f t="shared" si="25"/>
        <v>228306497</v>
      </c>
      <c r="X562" s="4">
        <f t="shared" si="26"/>
        <v>228306497</v>
      </c>
      <c r="Y562" s="5">
        <f t="shared" si="27"/>
        <v>0.75434196582062885</v>
      </c>
    </row>
    <row r="563" spans="1:25" x14ac:dyDescent="0.25">
      <c r="A563" s="1" t="s">
        <v>104</v>
      </c>
      <c r="B563" s="1" t="s">
        <v>67</v>
      </c>
      <c r="C563" s="1" t="s">
        <v>68</v>
      </c>
      <c r="D563" s="1">
        <v>5916750.6585043678</v>
      </c>
      <c r="E563" s="1">
        <v>390505.54346128833</v>
      </c>
      <c r="F563" s="1">
        <v>390505.54346128833</v>
      </c>
      <c r="G563" s="1">
        <v>488131.92932661035</v>
      </c>
      <c r="H563" s="1">
        <v>488131.92932661035</v>
      </c>
      <c r="I563" s="1">
        <v>488131.92932661035</v>
      </c>
      <c r="J563" s="1">
        <v>488131.92932661035</v>
      </c>
      <c r="K563" s="1">
        <v>488131.92932661035</v>
      </c>
      <c r="L563" s="1">
        <v>488131.92932661035</v>
      </c>
      <c r="M563" s="1">
        <v>307671.03424222715</v>
      </c>
      <c r="N563" s="1">
        <v>307671.03424222715</v>
      </c>
      <c r="O563" s="1">
        <v>246531.277437682</v>
      </c>
      <c r="P563" s="1">
        <v>246531.277437682</v>
      </c>
      <c r="Q563" s="1">
        <v>345143.78841275477</v>
      </c>
      <c r="R563" s="1">
        <v>345143.78841275477</v>
      </c>
      <c r="S563" s="1">
        <v>345143.78841275477</v>
      </c>
      <c r="T563" s="1">
        <v>345143.78841275477</v>
      </c>
      <c r="U563" s="1">
        <v>345143.78841275477</v>
      </c>
      <c r="V563" s="1">
        <v>345143.78841275477</v>
      </c>
      <c r="W563" s="4">
        <f t="shared" si="25"/>
        <v>3444535.0083592925</v>
      </c>
      <c r="X563" s="4">
        <f t="shared" si="26"/>
        <v>3444535.0083592925</v>
      </c>
      <c r="Y563" s="5">
        <f t="shared" si="27"/>
        <v>0.58216666666666661</v>
      </c>
    </row>
    <row r="564" spans="1:25" x14ac:dyDescent="0.25">
      <c r="A564" s="1" t="s">
        <v>104</v>
      </c>
      <c r="B564" s="1" t="s">
        <v>69</v>
      </c>
      <c r="C564" s="1" t="s">
        <v>28</v>
      </c>
      <c r="D564" s="1">
        <v>8018068.306105637</v>
      </c>
      <c r="E564" s="1">
        <v>529192.50820297212</v>
      </c>
      <c r="F564" s="1">
        <v>529192.50820297212</v>
      </c>
      <c r="G564" s="1">
        <v>661490.6352537151</v>
      </c>
      <c r="H564" s="1">
        <v>661490.6352537151</v>
      </c>
      <c r="I564" s="1">
        <v>661490.6352537151</v>
      </c>
      <c r="J564" s="1">
        <v>661490.6352537151</v>
      </c>
      <c r="K564" s="1">
        <v>661490.6352537151</v>
      </c>
      <c r="L564" s="1">
        <v>661490.6352537151</v>
      </c>
      <c r="M564" s="1">
        <v>402907.93238180823</v>
      </c>
      <c r="N564" s="1">
        <v>402907.93238180823</v>
      </c>
      <c r="O564" s="1">
        <v>335756.61031817354</v>
      </c>
      <c r="P564" s="1">
        <v>335756.61031817354</v>
      </c>
      <c r="Q564" s="1">
        <v>470059.25444544293</v>
      </c>
      <c r="R564" s="1">
        <v>470059.25444544293</v>
      </c>
      <c r="S564" s="1">
        <v>470059.25444544293</v>
      </c>
      <c r="T564" s="1">
        <v>470059.25444544293</v>
      </c>
      <c r="U564" s="1">
        <v>470059.25444544293</v>
      </c>
      <c r="V564" s="1">
        <v>470059.25444544293</v>
      </c>
      <c r="W564" s="4">
        <f t="shared" si="25"/>
        <v>4662506.7200004281</v>
      </c>
      <c r="X564" s="4">
        <f t="shared" si="26"/>
        <v>4662506.7200004281</v>
      </c>
      <c r="Y564" s="5">
        <f t="shared" si="27"/>
        <v>0.58150000000000002</v>
      </c>
    </row>
    <row r="565" spans="1:25" x14ac:dyDescent="0.25">
      <c r="A565" s="1" t="s">
        <v>104</v>
      </c>
      <c r="B565" s="1" t="s">
        <v>70</v>
      </c>
      <c r="C565" s="1" t="s">
        <v>23</v>
      </c>
      <c r="D565" s="1">
        <v>8268750.0182812503</v>
      </c>
      <c r="E565" s="1">
        <v>545737.50120656262</v>
      </c>
      <c r="F565" s="1">
        <v>545737.50120656262</v>
      </c>
      <c r="G565" s="1">
        <v>682171.87650820322</v>
      </c>
      <c r="H565" s="1">
        <v>682171.87650820322</v>
      </c>
      <c r="I565" s="1">
        <v>682171.87650820322</v>
      </c>
      <c r="J565" s="1">
        <v>682171.87650820322</v>
      </c>
      <c r="K565" s="1">
        <v>682171.87650820322</v>
      </c>
      <c r="L565" s="1">
        <v>682171.87650820322</v>
      </c>
      <c r="M565" s="1">
        <v>415504.68841863284</v>
      </c>
      <c r="N565" s="1">
        <v>415504.68841863284</v>
      </c>
      <c r="O565" s="1">
        <v>346253.90701552737</v>
      </c>
      <c r="P565" s="1">
        <v>346253.90701552737</v>
      </c>
      <c r="Q565" s="1">
        <v>484755.46982173825</v>
      </c>
      <c r="R565" s="1">
        <v>484755.46982173825</v>
      </c>
      <c r="S565" s="1">
        <v>484755.46982173825</v>
      </c>
      <c r="T565" s="1">
        <v>484755.46982173825</v>
      </c>
      <c r="U565" s="1">
        <v>484755.46982173825</v>
      </c>
      <c r="V565" s="1">
        <v>484755.46982173825</v>
      </c>
      <c r="W565" s="4">
        <f t="shared" si="25"/>
        <v>4808278.135630548</v>
      </c>
      <c r="X565" s="4">
        <f t="shared" si="26"/>
        <v>4808278.135630548</v>
      </c>
      <c r="Y565" s="5">
        <f t="shared" si="27"/>
        <v>0.58150000000000013</v>
      </c>
    </row>
    <row r="566" spans="1:25" x14ac:dyDescent="0.25">
      <c r="A566" s="1" t="s">
        <v>104</v>
      </c>
      <c r="B566" s="1" t="s">
        <v>71</v>
      </c>
      <c r="C566" s="1" t="s">
        <v>29</v>
      </c>
      <c r="D566" s="1">
        <v>7771044.8711538427</v>
      </c>
      <c r="E566" s="1">
        <v>512888.96149615367</v>
      </c>
      <c r="F566" s="1">
        <v>512888.96149615367</v>
      </c>
      <c r="G566" s="1">
        <v>641111.20187019208</v>
      </c>
      <c r="H566" s="1">
        <v>641111.20187019208</v>
      </c>
      <c r="I566" s="1">
        <v>641111.20187019208</v>
      </c>
      <c r="J566" s="1">
        <v>641111.20187019208</v>
      </c>
      <c r="K566" s="1">
        <v>641111.20187019208</v>
      </c>
      <c r="L566" s="1">
        <v>641111.20187019208</v>
      </c>
      <c r="M566" s="1">
        <v>390495.00477548054</v>
      </c>
      <c r="N566" s="1">
        <v>390495.00477548054</v>
      </c>
      <c r="O566" s="1">
        <v>325412.50397956715</v>
      </c>
      <c r="P566" s="1">
        <v>325412.50397956715</v>
      </c>
      <c r="Q566" s="1">
        <v>455577.50557139399</v>
      </c>
      <c r="R566" s="1">
        <v>455577.50557139399</v>
      </c>
      <c r="S566" s="1">
        <v>455577.50557139399</v>
      </c>
      <c r="T566" s="1">
        <v>455577.50557139399</v>
      </c>
      <c r="U566" s="1">
        <v>455577.50557139399</v>
      </c>
      <c r="V566" s="1">
        <v>455577.50557139399</v>
      </c>
      <c r="W566" s="4">
        <f t="shared" si="25"/>
        <v>4518862.5925759599</v>
      </c>
      <c r="X566" s="4">
        <f t="shared" si="26"/>
        <v>4518862.5925759599</v>
      </c>
      <c r="Y566" s="5">
        <f t="shared" si="27"/>
        <v>0.58150000000000002</v>
      </c>
    </row>
    <row r="567" spans="1:25" x14ac:dyDescent="0.25">
      <c r="A567" s="1" t="s">
        <v>104</v>
      </c>
      <c r="B567" s="1" t="s">
        <v>72</v>
      </c>
      <c r="C567" s="1" t="s">
        <v>73</v>
      </c>
      <c r="D567" s="1">
        <v>6213608.2808146011</v>
      </c>
      <c r="E567" s="1">
        <v>410098.14653376373</v>
      </c>
      <c r="F567" s="1">
        <v>410098.14653376373</v>
      </c>
      <c r="G567" s="1">
        <v>512622.68316720461</v>
      </c>
      <c r="H567" s="1">
        <v>512622.68316720461</v>
      </c>
      <c r="I567" s="1">
        <v>512622.68316720461</v>
      </c>
      <c r="J567" s="1">
        <v>512622.68316720461</v>
      </c>
      <c r="K567" s="1">
        <v>512622.68316720461</v>
      </c>
      <c r="L567" s="1">
        <v>512622.68316720461</v>
      </c>
      <c r="M567" s="1">
        <v>312233.81611093367</v>
      </c>
      <c r="N567" s="1">
        <v>312233.81611093367</v>
      </c>
      <c r="O567" s="1">
        <v>260194.84675911142</v>
      </c>
      <c r="P567" s="1">
        <v>260194.84675911142</v>
      </c>
      <c r="Q567" s="1">
        <v>364272.78546275594</v>
      </c>
      <c r="R567" s="1">
        <v>364272.78546275594</v>
      </c>
      <c r="S567" s="1">
        <v>364272.78546275594</v>
      </c>
      <c r="T567" s="1">
        <v>364272.78546275594</v>
      </c>
      <c r="U567" s="1">
        <v>364272.78546275594</v>
      </c>
      <c r="V567" s="1">
        <v>364272.78546275594</v>
      </c>
      <c r="W567" s="4">
        <f t="shared" si="25"/>
        <v>3613213.2152936906</v>
      </c>
      <c r="X567" s="4">
        <f t="shared" si="26"/>
        <v>3613213.2152936906</v>
      </c>
      <c r="Y567" s="5">
        <f t="shared" si="27"/>
        <v>0.58150000000000002</v>
      </c>
    </row>
    <row r="568" spans="1:25" x14ac:dyDescent="0.25">
      <c r="A568" s="1" t="s">
        <v>104</v>
      </c>
      <c r="B568" s="1" t="s">
        <v>48</v>
      </c>
      <c r="C568" s="1" t="s">
        <v>49</v>
      </c>
      <c r="D568" s="1">
        <v>4852566.6118031563</v>
      </c>
      <c r="E568" s="1">
        <v>320269.39637900837</v>
      </c>
      <c r="F568" s="1">
        <v>320269.39637900837</v>
      </c>
      <c r="G568" s="1">
        <v>400336.74547376041</v>
      </c>
      <c r="H568" s="1">
        <v>400336.74547376041</v>
      </c>
      <c r="I568" s="1">
        <v>400336.74547376041</v>
      </c>
      <c r="J568" s="1">
        <v>400336.74547376041</v>
      </c>
      <c r="K568" s="1">
        <v>400336.74547376041</v>
      </c>
      <c r="L568" s="1">
        <v>400336.74547376041</v>
      </c>
      <c r="M568" s="1">
        <v>243841.47224310867</v>
      </c>
      <c r="N568" s="1">
        <v>243841.47224310867</v>
      </c>
      <c r="O568" s="1">
        <v>203201.22686925723</v>
      </c>
      <c r="P568" s="1">
        <v>203201.22686925723</v>
      </c>
      <c r="Q568" s="1">
        <v>284481.71761696012</v>
      </c>
      <c r="R568" s="1">
        <v>284481.71761696012</v>
      </c>
      <c r="S568" s="1">
        <v>284481.71761696012</v>
      </c>
      <c r="T568" s="1">
        <v>284481.71761696012</v>
      </c>
      <c r="U568" s="1">
        <v>284481.71761696012</v>
      </c>
      <c r="V568" s="1">
        <v>284481.71761696012</v>
      </c>
      <c r="W568" s="4">
        <f t="shared" si="25"/>
        <v>2821767.4847635361</v>
      </c>
      <c r="X568" s="4">
        <f t="shared" si="26"/>
        <v>2821767.4847635361</v>
      </c>
      <c r="Y568" s="5">
        <f t="shared" si="27"/>
        <v>0.58150000000000013</v>
      </c>
    </row>
    <row r="569" spans="1:25" x14ac:dyDescent="0.25">
      <c r="A569" s="1" t="s">
        <v>104</v>
      </c>
      <c r="B569" s="1" t="s">
        <v>53</v>
      </c>
      <c r="C569" s="1" t="s">
        <v>30</v>
      </c>
      <c r="D569" s="1">
        <v>9688786.1158917695</v>
      </c>
      <c r="E569" s="1">
        <v>639459.88364885689</v>
      </c>
      <c r="F569" s="1">
        <v>639459.88364885689</v>
      </c>
      <c r="G569" s="1">
        <v>799324.85456107103</v>
      </c>
      <c r="H569" s="1">
        <v>799324.85456107103</v>
      </c>
      <c r="I569" s="1">
        <v>799324.85456107103</v>
      </c>
      <c r="J569" s="1">
        <v>799324.85456107103</v>
      </c>
      <c r="K569" s="1">
        <v>799324.85456107103</v>
      </c>
      <c r="L569" s="1">
        <v>799324.85456107103</v>
      </c>
      <c r="M569" s="1">
        <v>486861.50232356141</v>
      </c>
      <c r="N569" s="1">
        <v>486861.50232356141</v>
      </c>
      <c r="O569" s="1">
        <v>405717.91860296787</v>
      </c>
      <c r="P569" s="1">
        <v>405717.91860296787</v>
      </c>
      <c r="Q569" s="1">
        <v>568005.08604415494</v>
      </c>
      <c r="R569" s="1">
        <v>568005.08604415494</v>
      </c>
      <c r="S569" s="1">
        <v>568005.08604415494</v>
      </c>
      <c r="T569" s="1">
        <v>568005.08604415494</v>
      </c>
      <c r="U569" s="1">
        <v>568005.08604415494</v>
      </c>
      <c r="V569" s="1">
        <v>568005.08604415494</v>
      </c>
      <c r="W569" s="4">
        <f t="shared" si="25"/>
        <v>5634029.1263910634</v>
      </c>
      <c r="X569" s="4">
        <f t="shared" si="26"/>
        <v>5634029.1263910634</v>
      </c>
      <c r="Y569" s="5">
        <f t="shared" si="27"/>
        <v>0.58149999999999991</v>
      </c>
    </row>
    <row r="570" spans="1:25" x14ac:dyDescent="0.25">
      <c r="A570" s="1" t="s">
        <v>104</v>
      </c>
      <c r="B570" s="1" t="s">
        <v>74</v>
      </c>
      <c r="C570" s="1" t="s">
        <v>75</v>
      </c>
      <c r="D570" s="1">
        <v>5940301.0640891325</v>
      </c>
      <c r="E570" s="1">
        <v>392059.87022988277</v>
      </c>
      <c r="F570" s="1">
        <v>392059.87022988277</v>
      </c>
      <c r="G570" s="1">
        <v>490074.83778735343</v>
      </c>
      <c r="H570" s="1">
        <v>490074.83778735343</v>
      </c>
      <c r="I570" s="1">
        <v>490074.83778735343</v>
      </c>
      <c r="J570" s="1">
        <v>490074.83778735343</v>
      </c>
      <c r="K570" s="1">
        <v>490074.83778735343</v>
      </c>
      <c r="L570" s="1">
        <v>490074.83778735343</v>
      </c>
      <c r="M570" s="1">
        <v>298500.12847047887</v>
      </c>
      <c r="N570" s="1">
        <v>298500.12847047887</v>
      </c>
      <c r="O570" s="1">
        <v>248750.10705873242</v>
      </c>
      <c r="P570" s="1">
        <v>248750.10705873242</v>
      </c>
      <c r="Q570" s="1">
        <v>348250.14988222538</v>
      </c>
      <c r="R570" s="1">
        <v>348250.14988222538</v>
      </c>
      <c r="S570" s="1">
        <v>348250.14988222538</v>
      </c>
      <c r="T570" s="1">
        <v>348250.14988222538</v>
      </c>
      <c r="U570" s="1">
        <v>348250.14988222538</v>
      </c>
      <c r="V570" s="1">
        <v>348250.14988222538</v>
      </c>
      <c r="W570" s="4">
        <f t="shared" si="25"/>
        <v>3454285.0687678303</v>
      </c>
      <c r="X570" s="4">
        <f t="shared" si="26"/>
        <v>3454285.0687678303</v>
      </c>
      <c r="Y570" s="5">
        <f t="shared" si="27"/>
        <v>0.58149999999999991</v>
      </c>
    </row>
    <row r="571" spans="1:25" x14ac:dyDescent="0.25">
      <c r="A571" s="1" t="s">
        <v>104</v>
      </c>
      <c r="B571" s="1" t="s">
        <v>50</v>
      </c>
      <c r="C571" s="1" t="s">
        <v>25</v>
      </c>
      <c r="D571" s="1">
        <v>5095194.9423933132</v>
      </c>
      <c r="E571" s="1">
        <v>336282.86619795871</v>
      </c>
      <c r="F571" s="1">
        <v>336282.86619795871</v>
      </c>
      <c r="G571" s="1">
        <v>420353.58274744835</v>
      </c>
      <c r="H571" s="1">
        <v>420353.58274744835</v>
      </c>
      <c r="I571" s="1">
        <v>420353.58274744835</v>
      </c>
      <c r="J571" s="1">
        <v>420353.58274744835</v>
      </c>
      <c r="K571" s="1">
        <v>420353.58274744835</v>
      </c>
      <c r="L571" s="1">
        <v>420353.58274744835</v>
      </c>
      <c r="M571" s="1">
        <v>256033.54585526398</v>
      </c>
      <c r="N571" s="1">
        <v>256033.54585526398</v>
      </c>
      <c r="O571" s="1">
        <v>213361.28821271998</v>
      </c>
      <c r="P571" s="1">
        <v>213361.28821271998</v>
      </c>
      <c r="Q571" s="1">
        <v>298705.80349780794</v>
      </c>
      <c r="R571" s="1">
        <v>298705.80349780794</v>
      </c>
      <c r="S571" s="1">
        <v>298705.80349780794</v>
      </c>
      <c r="T571" s="1">
        <v>298705.80349780794</v>
      </c>
      <c r="U571" s="1">
        <v>298705.80349780794</v>
      </c>
      <c r="V571" s="1">
        <v>298705.80349780794</v>
      </c>
      <c r="W571" s="4">
        <f t="shared" si="25"/>
        <v>2962855.859001711</v>
      </c>
      <c r="X571" s="4">
        <f t="shared" si="26"/>
        <v>2962855.859001711</v>
      </c>
      <c r="Y571" s="5">
        <f t="shared" si="27"/>
        <v>0.58149999999999991</v>
      </c>
    </row>
    <row r="572" spans="1:25" x14ac:dyDescent="0.25">
      <c r="A572" s="1" t="s">
        <v>105</v>
      </c>
      <c r="B572" s="1" t="s">
        <v>59</v>
      </c>
      <c r="C572" s="1" t="s">
        <v>26</v>
      </c>
      <c r="D572" s="1">
        <v>36952199</v>
      </c>
      <c r="E572" s="1">
        <v>3513361.0067966357</v>
      </c>
      <c r="F572" s="1">
        <v>3513361.0067966357</v>
      </c>
      <c r="G572" s="1">
        <v>4391701.2584957946</v>
      </c>
      <c r="H572" s="1">
        <v>4391701.2584957946</v>
      </c>
      <c r="I572" s="1">
        <v>4391701.2584957946</v>
      </c>
      <c r="J572" s="1">
        <v>4391701.2584957946</v>
      </c>
      <c r="K572" s="1">
        <v>4391701.2584957946</v>
      </c>
      <c r="L572" s="1">
        <v>4391701.2584957946</v>
      </c>
      <c r="M572" s="1">
        <v>2423174.2457521036</v>
      </c>
      <c r="N572" s="1">
        <v>2423174.2457521036</v>
      </c>
      <c r="O572" s="1">
        <v>2423174.2457521036</v>
      </c>
      <c r="P572" s="1">
        <v>2423174.2457521036</v>
      </c>
      <c r="Q572" s="1">
        <v>2423174.2457521036</v>
      </c>
      <c r="R572" s="1">
        <v>2423174.2457521036</v>
      </c>
      <c r="S572" s="1">
        <v>2423174.2457521036</v>
      </c>
      <c r="T572" s="1">
        <v>2423174.2457521036</v>
      </c>
      <c r="U572" s="1">
        <v>2423174.2457521036</v>
      </c>
      <c r="V572" s="1">
        <v>2423174.2457521036</v>
      </c>
      <c r="W572" s="4">
        <f t="shared" si="25"/>
        <v>28804336.01104454</v>
      </c>
      <c r="X572" s="4">
        <f t="shared" si="26"/>
        <v>28804336.01104454</v>
      </c>
      <c r="Y572" s="5">
        <f t="shared" si="27"/>
        <v>0.77950262205084297</v>
      </c>
    </row>
    <row r="573" spans="1:25" x14ac:dyDescent="0.25">
      <c r="A573" s="1" t="s">
        <v>105</v>
      </c>
      <c r="B573" s="1" t="s">
        <v>60</v>
      </c>
      <c r="C573" s="1" t="s">
        <v>26</v>
      </c>
      <c r="D573" s="1">
        <v>16280544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8140272</v>
      </c>
      <c r="N573" s="1">
        <v>8140272</v>
      </c>
      <c r="O573" s="1">
        <v>8140272</v>
      </c>
      <c r="P573" s="1">
        <v>8140272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4">
        <f t="shared" si="25"/>
        <v>16280544</v>
      </c>
      <c r="X573" s="4">
        <f t="shared" si="26"/>
        <v>16280544</v>
      </c>
      <c r="Y573" s="5">
        <f t="shared" si="27"/>
        <v>1</v>
      </c>
    </row>
    <row r="574" spans="1:25" x14ac:dyDescent="0.25">
      <c r="A574" s="1" t="s">
        <v>105</v>
      </c>
      <c r="B574" s="1" t="s">
        <v>33</v>
      </c>
      <c r="C574" s="1" t="s">
        <v>34</v>
      </c>
      <c r="D574" s="1">
        <v>60000000</v>
      </c>
      <c r="E574" s="1">
        <v>0</v>
      </c>
      <c r="F574" s="1">
        <v>0</v>
      </c>
      <c r="G574" s="1">
        <v>12000000</v>
      </c>
      <c r="H574" s="1">
        <v>12000000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18000000</v>
      </c>
      <c r="P574" s="1">
        <v>18000000</v>
      </c>
      <c r="Q574" s="1">
        <v>0</v>
      </c>
      <c r="R574" s="1">
        <v>0</v>
      </c>
      <c r="S574" s="1">
        <v>18000000</v>
      </c>
      <c r="T574" s="1">
        <v>18000000</v>
      </c>
      <c r="U574" s="1">
        <v>12000000</v>
      </c>
      <c r="V574" s="1">
        <v>12000000</v>
      </c>
      <c r="W574" s="4">
        <f t="shared" si="25"/>
        <v>60000000</v>
      </c>
      <c r="X574" s="4">
        <f t="shared" si="26"/>
        <v>60000000</v>
      </c>
      <c r="Y574" s="5">
        <f t="shared" si="27"/>
        <v>1</v>
      </c>
    </row>
    <row r="575" spans="1:25" x14ac:dyDescent="0.25">
      <c r="A575" s="1" t="s">
        <v>105</v>
      </c>
      <c r="B575" s="1" t="s">
        <v>35</v>
      </c>
      <c r="C575" s="1" t="s">
        <v>34</v>
      </c>
      <c r="D575" s="1">
        <v>150000000</v>
      </c>
      <c r="E575" s="1">
        <v>0</v>
      </c>
      <c r="F575" s="1">
        <v>0</v>
      </c>
      <c r="G575" s="1">
        <v>41250000</v>
      </c>
      <c r="H575" s="1">
        <v>41250000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36250000</v>
      </c>
      <c r="P575" s="1">
        <v>36250000</v>
      </c>
      <c r="Q575" s="1">
        <v>0</v>
      </c>
      <c r="R575" s="1">
        <v>0</v>
      </c>
      <c r="S575" s="1">
        <v>36250000</v>
      </c>
      <c r="T575" s="1">
        <v>36250000</v>
      </c>
      <c r="U575" s="1">
        <v>36250000</v>
      </c>
      <c r="V575" s="1">
        <v>36250000</v>
      </c>
      <c r="W575" s="4">
        <f t="shared" si="25"/>
        <v>150000000</v>
      </c>
      <c r="X575" s="4">
        <f t="shared" si="26"/>
        <v>150000000</v>
      </c>
      <c r="Y575" s="5">
        <f t="shared" si="27"/>
        <v>1</v>
      </c>
    </row>
    <row r="576" spans="1:25" x14ac:dyDescent="0.25">
      <c r="A576" s="1" t="s">
        <v>105</v>
      </c>
      <c r="B576" s="1" t="s">
        <v>38</v>
      </c>
      <c r="C576" s="1" t="s">
        <v>39</v>
      </c>
      <c r="D576" s="1">
        <v>6876971.890448154</v>
      </c>
      <c r="E576" s="1">
        <v>453880.14476957818</v>
      </c>
      <c r="F576" s="1">
        <v>453880.14476957818</v>
      </c>
      <c r="G576" s="1">
        <v>567350.18096197268</v>
      </c>
      <c r="H576" s="1">
        <v>567350.18096197268</v>
      </c>
      <c r="I576" s="1">
        <v>567350.18096197268</v>
      </c>
      <c r="J576" s="1">
        <v>567350.18096197268</v>
      </c>
      <c r="K576" s="1">
        <v>567350.18096197268</v>
      </c>
      <c r="L576" s="1">
        <v>567350.18096197268</v>
      </c>
      <c r="M576" s="1">
        <v>345567.8374950196</v>
      </c>
      <c r="N576" s="1">
        <v>345567.8374950196</v>
      </c>
      <c r="O576" s="1">
        <v>287973.19791251636</v>
      </c>
      <c r="P576" s="1">
        <v>287973.19791251636</v>
      </c>
      <c r="Q576" s="1">
        <v>403162.4770775229</v>
      </c>
      <c r="R576" s="1">
        <v>403162.4770775229</v>
      </c>
      <c r="S576" s="1">
        <v>403162.4770775229</v>
      </c>
      <c r="T576" s="1">
        <v>403162.4770775229</v>
      </c>
      <c r="U576" s="1">
        <v>403162.4770775229</v>
      </c>
      <c r="V576" s="1">
        <v>403162.4770775229</v>
      </c>
      <c r="W576" s="4">
        <f t="shared" si="25"/>
        <v>3998959.154295601</v>
      </c>
      <c r="X576" s="4">
        <f t="shared" si="26"/>
        <v>3998959.154295601</v>
      </c>
      <c r="Y576" s="5">
        <f t="shared" si="27"/>
        <v>0.58149999999999991</v>
      </c>
    </row>
    <row r="577" spans="1:25" x14ac:dyDescent="0.25">
      <c r="A577" s="1" t="s">
        <v>105</v>
      </c>
      <c r="B577" s="1" t="s">
        <v>61</v>
      </c>
      <c r="C577" s="1" t="s">
        <v>34</v>
      </c>
      <c r="D577" s="1">
        <v>116191986</v>
      </c>
      <c r="E577" s="1">
        <v>0</v>
      </c>
      <c r="F577" s="1">
        <v>0</v>
      </c>
      <c r="G577" s="1">
        <v>9295358.8789412398</v>
      </c>
      <c r="H577" s="1">
        <v>9295358.8789412398</v>
      </c>
      <c r="I577" s="1">
        <v>0</v>
      </c>
      <c r="J577" s="1">
        <v>0</v>
      </c>
      <c r="K577" s="1">
        <v>0</v>
      </c>
      <c r="L577" s="1">
        <v>0</v>
      </c>
      <c r="M577" s="1">
        <v>26724156.780264691</v>
      </c>
      <c r="N577" s="1">
        <v>26724156.780264691</v>
      </c>
      <c r="O577" s="1">
        <v>0</v>
      </c>
      <c r="P577" s="1">
        <v>0</v>
      </c>
      <c r="Q577" s="1">
        <v>0</v>
      </c>
      <c r="R577" s="1">
        <v>0</v>
      </c>
      <c r="S577" s="1">
        <v>40086235.170397036</v>
      </c>
      <c r="T577" s="1">
        <v>40086235.170397036</v>
      </c>
      <c r="U577" s="1">
        <v>0</v>
      </c>
      <c r="V577" s="1">
        <v>0</v>
      </c>
      <c r="W577" s="4">
        <f t="shared" si="25"/>
        <v>76105750.829602972</v>
      </c>
      <c r="X577" s="4">
        <f t="shared" si="26"/>
        <v>76105750.829602972</v>
      </c>
      <c r="Y577" s="5">
        <f t="shared" si="27"/>
        <v>0.65499999999658298</v>
      </c>
    </row>
    <row r="578" spans="1:25" x14ac:dyDescent="0.25">
      <c r="A578" s="1" t="s">
        <v>105</v>
      </c>
      <c r="B578" s="1" t="s">
        <v>62</v>
      </c>
      <c r="C578" s="1" t="s">
        <v>63</v>
      </c>
      <c r="D578" s="1">
        <v>58142857</v>
      </c>
      <c r="E578" s="1">
        <v>25959999.999120001</v>
      </c>
      <c r="F578" s="1">
        <v>25959999.999120001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1926964.2857967855</v>
      </c>
      <c r="N578" s="1">
        <v>1926964.2857967855</v>
      </c>
      <c r="O578" s="1">
        <v>1605803.5714973214</v>
      </c>
      <c r="P578" s="1">
        <v>1605803.5714973214</v>
      </c>
      <c r="Q578" s="1">
        <v>2248125.0000962499</v>
      </c>
      <c r="R578" s="1">
        <v>2248125.0000962499</v>
      </c>
      <c r="S578" s="1">
        <v>2248125.0000962499</v>
      </c>
      <c r="T578" s="1">
        <v>2248125.0000962499</v>
      </c>
      <c r="U578" s="1">
        <v>2248125.0000962499</v>
      </c>
      <c r="V578" s="1">
        <v>2248125.0000962499</v>
      </c>
      <c r="W578" s="4">
        <f t="shared" si="25"/>
        <v>36237142.856702857</v>
      </c>
      <c r="X578" s="4">
        <f t="shared" si="26"/>
        <v>36237142.856702857</v>
      </c>
      <c r="Y578" s="5">
        <f t="shared" si="27"/>
        <v>0.62324324476698589</v>
      </c>
    </row>
    <row r="579" spans="1:25" x14ac:dyDescent="0.25">
      <c r="A579" s="1" t="s">
        <v>105</v>
      </c>
      <c r="B579" s="1" t="s">
        <v>40</v>
      </c>
      <c r="C579" s="1" t="s">
        <v>27</v>
      </c>
      <c r="D579" s="1">
        <v>84427627</v>
      </c>
      <c r="E579" s="1">
        <v>7294952</v>
      </c>
      <c r="F579" s="1">
        <v>7294952</v>
      </c>
      <c r="G579" s="1">
        <v>7955082.1802551374</v>
      </c>
      <c r="H579" s="1">
        <v>7955082.1802551374</v>
      </c>
      <c r="I579" s="1">
        <v>7733356</v>
      </c>
      <c r="J579" s="1">
        <v>7733356</v>
      </c>
      <c r="K579" s="1">
        <v>4484335</v>
      </c>
      <c r="L579" s="1">
        <v>4484335</v>
      </c>
      <c r="M579" s="1">
        <v>18046922.114808649</v>
      </c>
      <c r="N579" s="1">
        <v>18046922.114808649</v>
      </c>
      <c r="O579" s="1">
        <v>15235912.704936216</v>
      </c>
      <c r="P579" s="1">
        <v>15235912.704936216</v>
      </c>
      <c r="Q579" s="1">
        <v>7431405</v>
      </c>
      <c r="R579" s="1">
        <v>7431405</v>
      </c>
      <c r="S579" s="1">
        <v>4030850</v>
      </c>
      <c r="T579" s="1">
        <v>4030850</v>
      </c>
      <c r="U579" s="1">
        <v>2555250</v>
      </c>
      <c r="V579" s="1">
        <v>2555250</v>
      </c>
      <c r="W579" s="4">
        <f t="shared" ref="W579:W642" si="28">U579+S579+Q579+O579+M579+K579+I579+G579+E579</f>
        <v>74768065</v>
      </c>
      <c r="X579" s="4">
        <f t="shared" ref="X579:X642" si="29">V579+T579+R579+P579+N579+L579+J579+H579+F579</f>
        <v>74768065</v>
      </c>
      <c r="Y579" s="5">
        <f t="shared" ref="Y579:Y642" si="30">X579/D579</f>
        <v>0.88558766433172398</v>
      </c>
    </row>
    <row r="580" spans="1:25" x14ac:dyDescent="0.25">
      <c r="A580" s="1" t="s">
        <v>105</v>
      </c>
      <c r="B580" s="1" t="s">
        <v>41</v>
      </c>
      <c r="C580" s="1" t="s">
        <v>27</v>
      </c>
      <c r="D580" s="1">
        <v>89864801</v>
      </c>
      <c r="E580" s="1">
        <v>0</v>
      </c>
      <c r="F580" s="1">
        <v>0</v>
      </c>
      <c r="G580" s="1">
        <v>26533666</v>
      </c>
      <c r="H580" s="1">
        <v>26533666</v>
      </c>
      <c r="I580" s="1">
        <v>0</v>
      </c>
      <c r="J580" s="1">
        <v>0</v>
      </c>
      <c r="K580" s="1">
        <v>0</v>
      </c>
      <c r="L580" s="1">
        <v>0</v>
      </c>
      <c r="M580" s="1">
        <v>23749175.625</v>
      </c>
      <c r="N580" s="1">
        <v>23749175.625</v>
      </c>
      <c r="O580" s="1">
        <v>15832783.75</v>
      </c>
      <c r="P580" s="1">
        <v>15832783.75</v>
      </c>
      <c r="Q580" s="1">
        <v>23749175.625</v>
      </c>
      <c r="R580" s="1">
        <v>23749175.625</v>
      </c>
      <c r="S580" s="1">
        <v>0</v>
      </c>
      <c r="T580" s="1">
        <v>0</v>
      </c>
      <c r="U580" s="1">
        <v>0</v>
      </c>
      <c r="V580" s="1">
        <v>0</v>
      </c>
      <c r="W580" s="4">
        <f t="shared" si="28"/>
        <v>89864801</v>
      </c>
      <c r="X580" s="4">
        <f t="shared" si="29"/>
        <v>89864801</v>
      </c>
      <c r="Y580" s="5">
        <f t="shared" si="30"/>
        <v>1</v>
      </c>
    </row>
    <row r="581" spans="1:25" x14ac:dyDescent="0.25">
      <c r="A581" s="1" t="s">
        <v>105</v>
      </c>
      <c r="B581" s="1" t="s">
        <v>42</v>
      </c>
      <c r="C581" s="1" t="s">
        <v>27</v>
      </c>
      <c r="D581" s="1">
        <v>20171806</v>
      </c>
      <c r="E581" s="1">
        <v>10171806</v>
      </c>
      <c r="F581" s="1">
        <v>10171806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3750000</v>
      </c>
      <c r="N581" s="1">
        <v>3750000</v>
      </c>
      <c r="O581" s="1">
        <v>2500000</v>
      </c>
      <c r="P581" s="1">
        <v>2500000</v>
      </c>
      <c r="Q581" s="1">
        <v>3750000</v>
      </c>
      <c r="R581" s="1">
        <v>3750000</v>
      </c>
      <c r="S581" s="1">
        <v>0</v>
      </c>
      <c r="T581" s="1">
        <v>0</v>
      </c>
      <c r="U581" s="1">
        <v>0</v>
      </c>
      <c r="V581" s="1">
        <v>0</v>
      </c>
      <c r="W581" s="4">
        <f t="shared" si="28"/>
        <v>20171806</v>
      </c>
      <c r="X581" s="4">
        <f t="shared" si="29"/>
        <v>20171806</v>
      </c>
      <c r="Y581" s="5">
        <f t="shared" si="30"/>
        <v>1</v>
      </c>
    </row>
    <row r="582" spans="1:25" x14ac:dyDescent="0.25">
      <c r="A582" s="1" t="s">
        <v>105</v>
      </c>
      <c r="B582" s="1" t="s">
        <v>43</v>
      </c>
      <c r="C582" s="1" t="s">
        <v>31</v>
      </c>
      <c r="D582" s="1">
        <v>8954973</v>
      </c>
      <c r="E582" s="1">
        <v>520180.09917199967</v>
      </c>
      <c r="F582" s="1">
        <v>520180.09917199967</v>
      </c>
      <c r="G582" s="1">
        <v>650225.12396499957</v>
      </c>
      <c r="H582" s="1">
        <v>650225.12396499957</v>
      </c>
      <c r="I582" s="1">
        <v>650225.12396499957</v>
      </c>
      <c r="J582" s="1">
        <v>650225.12396499957</v>
      </c>
      <c r="K582" s="1">
        <v>650225.12396499957</v>
      </c>
      <c r="L582" s="1">
        <v>650225.12396499957</v>
      </c>
      <c r="M582" s="1">
        <v>483490.86965067603</v>
      </c>
      <c r="N582" s="1">
        <v>483490.86965067603</v>
      </c>
      <c r="O582" s="1">
        <v>402909.05804223003</v>
      </c>
      <c r="P582" s="1">
        <v>402909.05804223003</v>
      </c>
      <c r="Q582" s="1">
        <v>499341.98408414691</v>
      </c>
      <c r="R582" s="1">
        <v>499341.98408414691</v>
      </c>
      <c r="S582" s="1">
        <v>564072.68125912198</v>
      </c>
      <c r="T582" s="1">
        <v>564072.68125912198</v>
      </c>
      <c r="U582" s="1">
        <v>564072.68125912198</v>
      </c>
      <c r="V582" s="1">
        <v>564072.68125912198</v>
      </c>
      <c r="W582" s="4">
        <f t="shared" si="28"/>
        <v>4984742.7453622958</v>
      </c>
      <c r="X582" s="4">
        <f t="shared" si="29"/>
        <v>4984742.7453622958</v>
      </c>
      <c r="Y582" s="5">
        <f t="shared" si="30"/>
        <v>0.55664520098076187</v>
      </c>
    </row>
    <row r="583" spans="1:25" x14ac:dyDescent="0.25">
      <c r="A583" s="1" t="s">
        <v>105</v>
      </c>
      <c r="B583" s="1" t="s">
        <v>64</v>
      </c>
      <c r="C583" s="1" t="s">
        <v>23</v>
      </c>
      <c r="D583" s="1">
        <v>8274857.5290693417</v>
      </c>
      <c r="E583" s="1">
        <v>546140.59691857663</v>
      </c>
      <c r="F583" s="1">
        <v>546140.59691857663</v>
      </c>
      <c r="G583" s="1">
        <v>682675.74614822073</v>
      </c>
      <c r="H583" s="1">
        <v>682675.74614822073</v>
      </c>
      <c r="I583" s="1">
        <v>682675.74614822073</v>
      </c>
      <c r="J583" s="1">
        <v>682675.74614822073</v>
      </c>
      <c r="K583" s="1">
        <v>682675.74614822073</v>
      </c>
      <c r="L583" s="1">
        <v>682675.74614822073</v>
      </c>
      <c r="M583" s="1">
        <v>415811.59083573439</v>
      </c>
      <c r="N583" s="1">
        <v>415811.59083573439</v>
      </c>
      <c r="O583" s="1">
        <v>346509.65902977868</v>
      </c>
      <c r="P583" s="1">
        <v>346509.65902977868</v>
      </c>
      <c r="Q583" s="1">
        <v>485113.5226416901</v>
      </c>
      <c r="R583" s="1">
        <v>485113.5226416901</v>
      </c>
      <c r="S583" s="1">
        <v>485113.5226416901</v>
      </c>
      <c r="T583" s="1">
        <v>485113.5226416901</v>
      </c>
      <c r="U583" s="1">
        <v>485113.5226416901</v>
      </c>
      <c r="V583" s="1">
        <v>485113.5226416901</v>
      </c>
      <c r="W583" s="4">
        <f t="shared" si="28"/>
        <v>4811829.6531538218</v>
      </c>
      <c r="X583" s="4">
        <f t="shared" si="29"/>
        <v>4811829.6531538218</v>
      </c>
      <c r="Y583" s="5">
        <f t="shared" si="30"/>
        <v>0.58149999999999991</v>
      </c>
    </row>
    <row r="584" spans="1:25" x14ac:dyDescent="0.25">
      <c r="A584" s="1" t="s">
        <v>105</v>
      </c>
      <c r="B584" s="1" t="s">
        <v>65</v>
      </c>
      <c r="C584" s="1" t="s">
        <v>31</v>
      </c>
      <c r="D584" s="1">
        <v>7427102.7668700684</v>
      </c>
      <c r="E584" s="1">
        <v>490188.78261342453</v>
      </c>
      <c r="F584" s="1">
        <v>490188.78261342453</v>
      </c>
      <c r="G584" s="1">
        <v>612735.97826678061</v>
      </c>
      <c r="H584" s="1">
        <v>612735.97826678061</v>
      </c>
      <c r="I584" s="1">
        <v>612735.97826678061</v>
      </c>
      <c r="J584" s="1">
        <v>612735.97826678061</v>
      </c>
      <c r="K584" s="1">
        <v>612735.97826678061</v>
      </c>
      <c r="L584" s="1">
        <v>612735.97826678061</v>
      </c>
      <c r="M584" s="1">
        <v>373211.91403522092</v>
      </c>
      <c r="N584" s="1">
        <v>373211.91403522092</v>
      </c>
      <c r="O584" s="1">
        <v>311009.92836268409</v>
      </c>
      <c r="P584" s="1">
        <v>311009.92836268409</v>
      </c>
      <c r="Q584" s="1">
        <v>435413.89970775769</v>
      </c>
      <c r="R584" s="1">
        <v>435413.89970775769</v>
      </c>
      <c r="S584" s="1">
        <v>435413.89970775769</v>
      </c>
      <c r="T584" s="1">
        <v>435413.89970775769</v>
      </c>
      <c r="U584" s="1">
        <v>435413.89970775769</v>
      </c>
      <c r="V584" s="1">
        <v>435413.89970775769</v>
      </c>
      <c r="W584" s="4">
        <f t="shared" si="28"/>
        <v>4318860.2589349449</v>
      </c>
      <c r="X584" s="4">
        <f t="shared" si="29"/>
        <v>4318860.2589349449</v>
      </c>
      <c r="Y584" s="5">
        <f t="shared" si="30"/>
        <v>0.58150000000000002</v>
      </c>
    </row>
    <row r="585" spans="1:25" x14ac:dyDescent="0.25">
      <c r="A585" s="1" t="s">
        <v>105</v>
      </c>
      <c r="B585" s="1" t="s">
        <v>44</v>
      </c>
      <c r="C585" s="1" t="s">
        <v>45</v>
      </c>
      <c r="D585" s="1">
        <v>6876971.890448154</v>
      </c>
      <c r="E585" s="1">
        <v>453880.14476957818</v>
      </c>
      <c r="F585" s="1">
        <v>453880.14476957818</v>
      </c>
      <c r="G585" s="1">
        <v>567350.18096197268</v>
      </c>
      <c r="H585" s="1">
        <v>567350.18096197268</v>
      </c>
      <c r="I585" s="1">
        <v>567350.18096197268</v>
      </c>
      <c r="J585" s="1">
        <v>567350.18096197268</v>
      </c>
      <c r="K585" s="1">
        <v>567350.18096197268</v>
      </c>
      <c r="L585" s="1">
        <v>567350.18096197268</v>
      </c>
      <c r="M585" s="1">
        <v>345567.8374950196</v>
      </c>
      <c r="N585" s="1">
        <v>345567.8374950196</v>
      </c>
      <c r="O585" s="1">
        <v>287973.19791251636</v>
      </c>
      <c r="P585" s="1">
        <v>287973.19791251636</v>
      </c>
      <c r="Q585" s="1">
        <v>403162.4770775229</v>
      </c>
      <c r="R585" s="1">
        <v>403162.4770775229</v>
      </c>
      <c r="S585" s="1">
        <v>403162.4770775229</v>
      </c>
      <c r="T585" s="1">
        <v>403162.4770775229</v>
      </c>
      <c r="U585" s="1">
        <v>403162.4770775229</v>
      </c>
      <c r="V585" s="1">
        <v>403162.4770775229</v>
      </c>
      <c r="W585" s="4">
        <f t="shared" si="28"/>
        <v>3998959.154295601</v>
      </c>
      <c r="X585" s="4">
        <f t="shared" si="29"/>
        <v>3998959.154295601</v>
      </c>
      <c r="Y585" s="5">
        <f t="shared" si="30"/>
        <v>0.58149999999999991</v>
      </c>
    </row>
    <row r="586" spans="1:25" x14ac:dyDescent="0.25">
      <c r="A586" s="1" t="s">
        <v>105</v>
      </c>
      <c r="B586" s="1" t="s">
        <v>46</v>
      </c>
      <c r="C586" s="1" t="s">
        <v>22</v>
      </c>
      <c r="D586" s="1">
        <v>62075515.578402057</v>
      </c>
      <c r="E586" s="1">
        <v>4100821.7853102894</v>
      </c>
      <c r="F586" s="1">
        <v>4100821.7853102894</v>
      </c>
      <c r="G586" s="1">
        <v>5126027.2316378616</v>
      </c>
      <c r="H586" s="1">
        <v>5126027.2316378616</v>
      </c>
      <c r="I586" s="1">
        <v>5126027.2316378616</v>
      </c>
      <c r="J586" s="1">
        <v>5126027.2316378616</v>
      </c>
      <c r="K586" s="1">
        <v>5126027.2316378616</v>
      </c>
      <c r="L586" s="1">
        <v>5126027.2316378616</v>
      </c>
      <c r="M586" s="1">
        <v>3216413.5520133558</v>
      </c>
      <c r="N586" s="1">
        <v>3216413.5520133558</v>
      </c>
      <c r="O586" s="1">
        <v>2615553.7112949253</v>
      </c>
      <c r="P586" s="1">
        <v>2615553.7112949253</v>
      </c>
      <c r="Q586" s="1">
        <v>3621071.7451869855</v>
      </c>
      <c r="R586" s="1">
        <v>3621071.7451869855</v>
      </c>
      <c r="S586" s="1">
        <v>3621071.7451869855</v>
      </c>
      <c r="T586" s="1">
        <v>3621071.7451869855</v>
      </c>
      <c r="U586" s="1">
        <v>3621071.7451869855</v>
      </c>
      <c r="V586" s="1">
        <v>3621071.7451869855</v>
      </c>
      <c r="W586" s="4">
        <f t="shared" si="28"/>
        <v>36174085.979093112</v>
      </c>
      <c r="X586" s="4">
        <f t="shared" si="29"/>
        <v>36174085.979093112</v>
      </c>
      <c r="Y586" s="5">
        <f t="shared" si="30"/>
        <v>0.58274322238056719</v>
      </c>
    </row>
    <row r="587" spans="1:25" x14ac:dyDescent="0.25">
      <c r="A587" s="1" t="s">
        <v>105</v>
      </c>
      <c r="B587" s="1" t="s">
        <v>66</v>
      </c>
      <c r="C587" s="1" t="s">
        <v>24</v>
      </c>
      <c r="D587" s="1">
        <v>213169321.36271989</v>
      </c>
      <c r="E587" s="1">
        <v>17586469.012424391</v>
      </c>
      <c r="F587" s="1">
        <v>17586469.012424391</v>
      </c>
      <c r="G587" s="1">
        <v>17586469.012424391</v>
      </c>
      <c r="H587" s="1">
        <v>17586469.012424391</v>
      </c>
      <c r="I587" s="1">
        <v>17586469.012424391</v>
      </c>
      <c r="J587" s="1">
        <v>17586469.012424391</v>
      </c>
      <c r="K587" s="1">
        <v>17586469.012424391</v>
      </c>
      <c r="L587" s="1">
        <v>17586469.012424391</v>
      </c>
      <c r="M587" s="1">
        <v>21520549.170302432</v>
      </c>
      <c r="N587" s="1">
        <v>21520549.170302432</v>
      </c>
      <c r="O587" s="1">
        <v>17716224.84</v>
      </c>
      <c r="P587" s="1">
        <v>27716224.84</v>
      </c>
      <c r="Q587" s="1">
        <v>16754626.84</v>
      </c>
      <c r="R587" s="1">
        <v>16754626.84</v>
      </c>
      <c r="S587" s="1">
        <v>16716224.84</v>
      </c>
      <c r="T587" s="1">
        <v>16716224.84</v>
      </c>
      <c r="U587" s="1">
        <v>18871227.829999998</v>
      </c>
      <c r="V587" s="1">
        <v>18871227.829999998</v>
      </c>
      <c r="W587" s="4">
        <f t="shared" si="28"/>
        <v>161924729.56999999</v>
      </c>
      <c r="X587" s="4">
        <f t="shared" si="29"/>
        <v>171924729.56999999</v>
      </c>
      <c r="Y587" s="5">
        <f t="shared" si="30"/>
        <v>0.8065172252317685</v>
      </c>
    </row>
    <row r="588" spans="1:25" x14ac:dyDescent="0.25">
      <c r="A588" s="1" t="s">
        <v>105</v>
      </c>
      <c r="B588" s="1" t="s">
        <v>67</v>
      </c>
      <c r="C588" s="1" t="s">
        <v>68</v>
      </c>
      <c r="D588" s="1">
        <v>5916750.6585043678</v>
      </c>
      <c r="E588" s="1">
        <v>390505.54346128833</v>
      </c>
      <c r="F588" s="1">
        <v>390505.54346128833</v>
      </c>
      <c r="G588" s="1">
        <v>488131.92932661035</v>
      </c>
      <c r="H588" s="1">
        <v>488131.92932661035</v>
      </c>
      <c r="I588" s="1">
        <v>488131.92932661035</v>
      </c>
      <c r="J588" s="1">
        <v>488131.92932661035</v>
      </c>
      <c r="K588" s="1">
        <v>488131.92932661035</v>
      </c>
      <c r="L588" s="1">
        <v>488131.92932661035</v>
      </c>
      <c r="M588" s="1">
        <v>307671.03424222715</v>
      </c>
      <c r="N588" s="1">
        <v>307671.03424222715</v>
      </c>
      <c r="O588" s="1">
        <v>246531.277437682</v>
      </c>
      <c r="P588" s="1">
        <v>246531.277437682</v>
      </c>
      <c r="Q588" s="1">
        <v>345143.78841275477</v>
      </c>
      <c r="R588" s="1">
        <v>345143.78841275477</v>
      </c>
      <c r="S588" s="1">
        <v>345143.78841275477</v>
      </c>
      <c r="T588" s="1">
        <v>345143.78841275477</v>
      </c>
      <c r="U588" s="1">
        <v>345143.78841275477</v>
      </c>
      <c r="V588" s="1">
        <v>345143.78841275477</v>
      </c>
      <c r="W588" s="4">
        <f t="shared" si="28"/>
        <v>3444535.0083592925</v>
      </c>
      <c r="X588" s="4">
        <f t="shared" si="29"/>
        <v>3444535.0083592925</v>
      </c>
      <c r="Y588" s="5">
        <f t="shared" si="30"/>
        <v>0.58216666666666661</v>
      </c>
    </row>
    <row r="589" spans="1:25" x14ac:dyDescent="0.25">
      <c r="A589" s="1" t="s">
        <v>105</v>
      </c>
      <c r="B589" s="1" t="s">
        <v>69</v>
      </c>
      <c r="C589" s="1" t="s">
        <v>28</v>
      </c>
      <c r="D589" s="1">
        <v>5267643.4679714572</v>
      </c>
      <c r="E589" s="1">
        <v>347664.46888611623</v>
      </c>
      <c r="F589" s="1">
        <v>347664.46888611623</v>
      </c>
      <c r="G589" s="1">
        <v>434580.58610764524</v>
      </c>
      <c r="H589" s="1">
        <v>434580.58610764524</v>
      </c>
      <c r="I589" s="1">
        <v>434580.58610764524</v>
      </c>
      <c r="J589" s="1">
        <v>434580.58610764524</v>
      </c>
      <c r="K589" s="1">
        <v>434580.58610764524</v>
      </c>
      <c r="L589" s="1">
        <v>434580.58610764524</v>
      </c>
      <c r="M589" s="1">
        <v>264699.08426556573</v>
      </c>
      <c r="N589" s="1">
        <v>264699.08426556573</v>
      </c>
      <c r="O589" s="1">
        <v>220582.57022130478</v>
      </c>
      <c r="P589" s="1">
        <v>220582.57022130478</v>
      </c>
      <c r="Q589" s="1">
        <v>308815.59830982669</v>
      </c>
      <c r="R589" s="1">
        <v>308815.59830982669</v>
      </c>
      <c r="S589" s="1">
        <v>308815.59830982669</v>
      </c>
      <c r="T589" s="1">
        <v>308815.59830982669</v>
      </c>
      <c r="U589" s="1">
        <v>308815.59830982669</v>
      </c>
      <c r="V589" s="1">
        <v>308815.59830982669</v>
      </c>
      <c r="W589" s="4">
        <f t="shared" si="28"/>
        <v>3063134.6766254022</v>
      </c>
      <c r="X589" s="4">
        <f t="shared" si="29"/>
        <v>3063134.6766254022</v>
      </c>
      <c r="Y589" s="5">
        <f t="shared" si="30"/>
        <v>0.58150000000000002</v>
      </c>
    </row>
    <row r="590" spans="1:25" x14ac:dyDescent="0.25">
      <c r="A590" s="1" t="s">
        <v>105</v>
      </c>
      <c r="B590" s="1" t="s">
        <v>70</v>
      </c>
      <c r="C590" s="1" t="s">
        <v>23</v>
      </c>
      <c r="D590" s="1">
        <v>9646874.9064843766</v>
      </c>
      <c r="E590" s="1">
        <v>636693.74382796895</v>
      </c>
      <c r="F590" s="1">
        <v>636693.74382796895</v>
      </c>
      <c r="G590" s="1">
        <v>795867.17978496116</v>
      </c>
      <c r="H590" s="1">
        <v>795867.17978496116</v>
      </c>
      <c r="I590" s="1">
        <v>795867.17978496116</v>
      </c>
      <c r="J590" s="1">
        <v>795867.17978496116</v>
      </c>
      <c r="K590" s="1">
        <v>795867.17978496116</v>
      </c>
      <c r="L590" s="1">
        <v>795867.17978496116</v>
      </c>
      <c r="M590" s="1">
        <v>484755.46405083989</v>
      </c>
      <c r="N590" s="1">
        <v>484755.46405083989</v>
      </c>
      <c r="O590" s="1">
        <v>403962.88670903328</v>
      </c>
      <c r="P590" s="1">
        <v>403962.88670903328</v>
      </c>
      <c r="Q590" s="1">
        <v>565548.0413926465</v>
      </c>
      <c r="R590" s="1">
        <v>565548.0413926465</v>
      </c>
      <c r="S590" s="1">
        <v>565548.0413926465</v>
      </c>
      <c r="T590" s="1">
        <v>565548.0413926465</v>
      </c>
      <c r="U590" s="1">
        <v>565548.0413926465</v>
      </c>
      <c r="V590" s="1">
        <v>565548.0413926465</v>
      </c>
      <c r="W590" s="4">
        <f t="shared" si="28"/>
        <v>5609657.7581206644</v>
      </c>
      <c r="X590" s="4">
        <f t="shared" si="29"/>
        <v>5609657.7581206644</v>
      </c>
      <c r="Y590" s="5">
        <f t="shared" si="30"/>
        <v>0.58149999999999991</v>
      </c>
    </row>
    <row r="591" spans="1:25" x14ac:dyDescent="0.25">
      <c r="A591" s="1" t="s">
        <v>105</v>
      </c>
      <c r="B591" s="1" t="s">
        <v>71</v>
      </c>
      <c r="C591" s="1" t="s">
        <v>29</v>
      </c>
      <c r="D591" s="1">
        <v>6363404.3711538436</v>
      </c>
      <c r="E591" s="1">
        <v>419984.68849615374</v>
      </c>
      <c r="F591" s="1">
        <v>419984.68849615374</v>
      </c>
      <c r="G591" s="1">
        <v>524980.86062019214</v>
      </c>
      <c r="H591" s="1">
        <v>524980.86062019214</v>
      </c>
      <c r="I591" s="1">
        <v>524980.86062019214</v>
      </c>
      <c r="J591" s="1">
        <v>524980.86062019214</v>
      </c>
      <c r="K591" s="1">
        <v>524980.86062019214</v>
      </c>
      <c r="L591" s="1">
        <v>524980.86062019214</v>
      </c>
      <c r="M591" s="1">
        <v>319761.06965048064</v>
      </c>
      <c r="N591" s="1">
        <v>319761.06965048064</v>
      </c>
      <c r="O591" s="1">
        <v>266467.55804206722</v>
      </c>
      <c r="P591" s="1">
        <v>266467.55804206722</v>
      </c>
      <c r="Q591" s="1">
        <v>373054.58125889406</v>
      </c>
      <c r="R591" s="1">
        <v>373054.58125889406</v>
      </c>
      <c r="S591" s="1">
        <v>373054.58125889406</v>
      </c>
      <c r="T591" s="1">
        <v>373054.58125889406</v>
      </c>
      <c r="U591" s="1">
        <v>373054.58125889406</v>
      </c>
      <c r="V591" s="1">
        <v>373054.58125889406</v>
      </c>
      <c r="W591" s="4">
        <f t="shared" si="28"/>
        <v>3700319.6418259605</v>
      </c>
      <c r="X591" s="4">
        <f t="shared" si="29"/>
        <v>3700319.6418259605</v>
      </c>
      <c r="Y591" s="5">
        <f t="shared" si="30"/>
        <v>0.58150000000000002</v>
      </c>
    </row>
    <row r="592" spans="1:25" x14ac:dyDescent="0.25">
      <c r="A592" s="1" t="s">
        <v>105</v>
      </c>
      <c r="B592" s="1" t="s">
        <v>72</v>
      </c>
      <c r="C592" s="1" t="s">
        <v>73</v>
      </c>
      <c r="D592" s="1">
        <v>5093088.4774924582</v>
      </c>
      <c r="E592" s="1">
        <v>336143.83951450232</v>
      </c>
      <c r="F592" s="1">
        <v>336143.83951450232</v>
      </c>
      <c r="G592" s="1">
        <v>420179.79939312785</v>
      </c>
      <c r="H592" s="1">
        <v>420179.79939312785</v>
      </c>
      <c r="I592" s="1">
        <v>420179.79939312785</v>
      </c>
      <c r="J592" s="1">
        <v>420179.79939312785</v>
      </c>
      <c r="K592" s="1">
        <v>420179.79939312785</v>
      </c>
      <c r="L592" s="1">
        <v>420179.79939312785</v>
      </c>
      <c r="M592" s="1">
        <v>255927.69599399599</v>
      </c>
      <c r="N592" s="1">
        <v>255927.69599399599</v>
      </c>
      <c r="O592" s="1">
        <v>213273.07999499666</v>
      </c>
      <c r="P592" s="1">
        <v>213273.07999499666</v>
      </c>
      <c r="Q592" s="1">
        <v>298582.31199299532</v>
      </c>
      <c r="R592" s="1">
        <v>298582.31199299532</v>
      </c>
      <c r="S592" s="1">
        <v>298582.31199299532</v>
      </c>
      <c r="T592" s="1">
        <v>298582.31199299532</v>
      </c>
      <c r="U592" s="1">
        <v>298582.31199299532</v>
      </c>
      <c r="V592" s="1">
        <v>298582.31199299532</v>
      </c>
      <c r="W592" s="4">
        <f t="shared" si="28"/>
        <v>2961630.9496618644</v>
      </c>
      <c r="X592" s="4">
        <f t="shared" si="29"/>
        <v>2961630.9496618644</v>
      </c>
      <c r="Y592" s="5">
        <f t="shared" si="30"/>
        <v>0.58150000000000002</v>
      </c>
    </row>
    <row r="593" spans="1:25" x14ac:dyDescent="0.25">
      <c r="A593" s="1" t="s">
        <v>105</v>
      </c>
      <c r="B593" s="1" t="s">
        <v>48</v>
      </c>
      <c r="C593" s="1" t="s">
        <v>49</v>
      </c>
      <c r="D593" s="1">
        <v>4118230.3351121228</v>
      </c>
      <c r="E593" s="1">
        <v>271803.20211740013</v>
      </c>
      <c r="F593" s="1">
        <v>271803.20211740013</v>
      </c>
      <c r="G593" s="1">
        <v>339754.00264675013</v>
      </c>
      <c r="H593" s="1">
        <v>339754.00264675013</v>
      </c>
      <c r="I593" s="1">
        <v>339754.00264675013</v>
      </c>
      <c r="J593" s="1">
        <v>339754.00264675013</v>
      </c>
      <c r="K593" s="1">
        <v>339754.00264675013</v>
      </c>
      <c r="L593" s="1">
        <v>339754.00264675013</v>
      </c>
      <c r="M593" s="1">
        <v>206941.07433938413</v>
      </c>
      <c r="N593" s="1">
        <v>206941.07433938413</v>
      </c>
      <c r="O593" s="1">
        <v>172450.8952828201</v>
      </c>
      <c r="P593" s="1">
        <v>172450.8952828201</v>
      </c>
      <c r="Q593" s="1">
        <v>241431.25339594812</v>
      </c>
      <c r="R593" s="1">
        <v>241431.25339594812</v>
      </c>
      <c r="S593" s="1">
        <v>241431.25339594812</v>
      </c>
      <c r="T593" s="1">
        <v>241431.25339594812</v>
      </c>
      <c r="U593" s="1">
        <v>241431.25339594812</v>
      </c>
      <c r="V593" s="1">
        <v>241431.25339594812</v>
      </c>
      <c r="W593" s="4">
        <f t="shared" si="28"/>
        <v>2394750.9398676991</v>
      </c>
      <c r="X593" s="4">
        <f t="shared" si="29"/>
        <v>2394750.9398676991</v>
      </c>
      <c r="Y593" s="5">
        <f t="shared" si="30"/>
        <v>0.58149999999999991</v>
      </c>
    </row>
    <row r="594" spans="1:25" x14ac:dyDescent="0.25">
      <c r="A594" s="1" t="s">
        <v>105</v>
      </c>
      <c r="B594" s="1" t="s">
        <v>53</v>
      </c>
      <c r="C594" s="1" t="s">
        <v>30</v>
      </c>
      <c r="D594" s="1">
        <v>3286014.9262045384</v>
      </c>
      <c r="E594" s="1">
        <v>216876.98512949955</v>
      </c>
      <c r="F594" s="1">
        <v>216876.98512949955</v>
      </c>
      <c r="G594" s="1">
        <v>271096.23141187441</v>
      </c>
      <c r="H594" s="1">
        <v>271096.23141187441</v>
      </c>
      <c r="I594" s="1">
        <v>271096.23141187441</v>
      </c>
      <c r="J594" s="1">
        <v>271096.23141187441</v>
      </c>
      <c r="K594" s="1">
        <v>271096.23141187441</v>
      </c>
      <c r="L594" s="1">
        <v>271096.23141187441</v>
      </c>
      <c r="M594" s="1">
        <v>165122.25004177805</v>
      </c>
      <c r="N594" s="1">
        <v>165122.25004177805</v>
      </c>
      <c r="O594" s="1">
        <v>137601.87503481505</v>
      </c>
      <c r="P594" s="1">
        <v>137601.87503481505</v>
      </c>
      <c r="Q594" s="1">
        <v>192642.62504874106</v>
      </c>
      <c r="R594" s="1">
        <v>192642.62504874106</v>
      </c>
      <c r="S594" s="1">
        <v>192642.62504874106</v>
      </c>
      <c r="T594" s="1">
        <v>192642.62504874106</v>
      </c>
      <c r="U594" s="1">
        <v>192642.62504874106</v>
      </c>
      <c r="V594" s="1">
        <v>192642.62504874106</v>
      </c>
      <c r="W594" s="4">
        <f t="shared" si="28"/>
        <v>1910817.6795879391</v>
      </c>
      <c r="X594" s="4">
        <f t="shared" si="29"/>
        <v>1910817.6795879391</v>
      </c>
      <c r="Y594" s="5">
        <f t="shared" si="30"/>
        <v>0.58150000000000002</v>
      </c>
    </row>
    <row r="595" spans="1:25" x14ac:dyDescent="0.25">
      <c r="A595" s="1" t="s">
        <v>105</v>
      </c>
      <c r="B595" s="1" t="s">
        <v>74</v>
      </c>
      <c r="C595" s="1" t="s">
        <v>75</v>
      </c>
      <c r="D595" s="1">
        <v>7751545.3848048607</v>
      </c>
      <c r="E595" s="1">
        <v>511601.99539712083</v>
      </c>
      <c r="F595" s="1">
        <v>511601.99539712083</v>
      </c>
      <c r="G595" s="1">
        <v>639502.49424640101</v>
      </c>
      <c r="H595" s="1">
        <v>639502.49424640101</v>
      </c>
      <c r="I595" s="1">
        <v>639502.49424640101</v>
      </c>
      <c r="J595" s="1">
        <v>639502.49424640101</v>
      </c>
      <c r="K595" s="1">
        <v>639502.49424640101</v>
      </c>
      <c r="L595" s="1">
        <v>639502.49424640101</v>
      </c>
      <c r="M595" s="1">
        <v>389515.15558644419</v>
      </c>
      <c r="N595" s="1">
        <v>389515.15558644419</v>
      </c>
      <c r="O595" s="1">
        <v>324595.96298870351</v>
      </c>
      <c r="P595" s="1">
        <v>324595.96298870351</v>
      </c>
      <c r="Q595" s="1">
        <v>454434.34818418487</v>
      </c>
      <c r="R595" s="1">
        <v>454434.34818418487</v>
      </c>
      <c r="S595" s="1">
        <v>454434.34818418487</v>
      </c>
      <c r="T595" s="1">
        <v>454434.34818418487</v>
      </c>
      <c r="U595" s="1">
        <v>454434.34818418487</v>
      </c>
      <c r="V595" s="1">
        <v>454434.34818418487</v>
      </c>
      <c r="W595" s="4">
        <f t="shared" si="28"/>
        <v>4507523.6412640261</v>
      </c>
      <c r="X595" s="4">
        <f t="shared" si="29"/>
        <v>4507523.6412640261</v>
      </c>
      <c r="Y595" s="5">
        <f t="shared" si="30"/>
        <v>0.58149999999999991</v>
      </c>
    </row>
    <row r="596" spans="1:25" x14ac:dyDescent="0.25">
      <c r="A596" s="1" t="s">
        <v>105</v>
      </c>
      <c r="B596" s="1" t="s">
        <v>50</v>
      </c>
      <c r="C596" s="1" t="s">
        <v>25</v>
      </c>
      <c r="D596" s="1">
        <v>4324141.8518677279</v>
      </c>
      <c r="E596" s="1">
        <v>285393.36222327006</v>
      </c>
      <c r="F596" s="1">
        <v>285393.36222327006</v>
      </c>
      <c r="G596" s="1">
        <v>356741.70277908759</v>
      </c>
      <c r="H596" s="1">
        <v>356741.70277908759</v>
      </c>
      <c r="I596" s="1">
        <v>356741.70277908759</v>
      </c>
      <c r="J596" s="1">
        <v>356741.70277908759</v>
      </c>
      <c r="K596" s="1">
        <v>356741.70277908759</v>
      </c>
      <c r="L596" s="1">
        <v>356741.70277908759</v>
      </c>
      <c r="M596" s="1">
        <v>217288.12805635331</v>
      </c>
      <c r="N596" s="1">
        <v>217288.12805635331</v>
      </c>
      <c r="O596" s="1">
        <v>181073.4400469611</v>
      </c>
      <c r="P596" s="1">
        <v>181073.4400469611</v>
      </c>
      <c r="Q596" s="1">
        <v>253502.81606574552</v>
      </c>
      <c r="R596" s="1">
        <v>253502.81606574552</v>
      </c>
      <c r="S596" s="1">
        <v>253502.81606574552</v>
      </c>
      <c r="T596" s="1">
        <v>253502.81606574552</v>
      </c>
      <c r="U596" s="1">
        <v>253502.81606574552</v>
      </c>
      <c r="V596" s="1">
        <v>253502.81606574552</v>
      </c>
      <c r="W596" s="4">
        <f t="shared" si="28"/>
        <v>2514488.4868610837</v>
      </c>
      <c r="X596" s="4">
        <f t="shared" si="29"/>
        <v>2514488.4868610837</v>
      </c>
      <c r="Y596" s="5">
        <f t="shared" si="30"/>
        <v>0.58150000000000002</v>
      </c>
    </row>
    <row r="597" spans="1:25" x14ac:dyDescent="0.25">
      <c r="A597" s="1" t="s">
        <v>106</v>
      </c>
      <c r="B597" s="1" t="s">
        <v>59</v>
      </c>
      <c r="C597" s="1" t="s">
        <v>26</v>
      </c>
      <c r="D597" s="1">
        <v>41227236</v>
      </c>
      <c r="E597" s="1">
        <v>3824332.6171153584</v>
      </c>
      <c r="F597" s="1">
        <v>3824332.6171153584</v>
      </c>
      <c r="G597" s="1">
        <v>4780415.7713941978</v>
      </c>
      <c r="H597" s="1">
        <v>4780415.7713941978</v>
      </c>
      <c r="I597" s="1">
        <v>4780415.7713941978</v>
      </c>
      <c r="J597" s="1">
        <v>4780415.7713941978</v>
      </c>
      <c r="K597" s="1">
        <v>4780415.7713941978</v>
      </c>
      <c r="L597" s="1">
        <v>4780415.7713941978</v>
      </c>
      <c r="M597" s="1">
        <v>2763196.6143029011</v>
      </c>
      <c r="N597" s="1">
        <v>2763196.6143029011</v>
      </c>
      <c r="O597" s="1">
        <v>2763196.6143029011</v>
      </c>
      <c r="P597" s="1">
        <v>2763196.6143029011</v>
      </c>
      <c r="Q597" s="1">
        <v>2763196.6143029011</v>
      </c>
      <c r="R597" s="1">
        <v>2763196.6143029011</v>
      </c>
      <c r="S597" s="1">
        <v>2763196.6143029011</v>
      </c>
      <c r="T597" s="1">
        <v>2763196.6143029011</v>
      </c>
      <c r="U597" s="1">
        <v>2763196.6143029011</v>
      </c>
      <c r="V597" s="1">
        <v>2763196.6143029011</v>
      </c>
      <c r="W597" s="4">
        <f t="shared" si="28"/>
        <v>31981563.002812456</v>
      </c>
      <c r="X597" s="4">
        <f t="shared" si="29"/>
        <v>31981563.002812456</v>
      </c>
      <c r="Y597" s="5">
        <f t="shared" si="30"/>
        <v>0.77573871318495513</v>
      </c>
    </row>
    <row r="598" spans="1:25" x14ac:dyDescent="0.25">
      <c r="A598" s="1" t="s">
        <v>106</v>
      </c>
      <c r="B598" s="1" t="s">
        <v>60</v>
      </c>
      <c r="C598" s="1" t="s">
        <v>26</v>
      </c>
      <c r="D598" s="1">
        <v>16717196.810000001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8358598.4050000003</v>
      </c>
      <c r="N598" s="1">
        <v>8358598.4050000003</v>
      </c>
      <c r="O598" s="1">
        <v>8358598.4050000003</v>
      </c>
      <c r="P598" s="1">
        <v>8358598.4050000003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4">
        <f t="shared" si="28"/>
        <v>16717196.810000001</v>
      </c>
      <c r="X598" s="4">
        <f t="shared" si="29"/>
        <v>16717196.810000001</v>
      </c>
      <c r="Y598" s="5">
        <f t="shared" si="30"/>
        <v>1</v>
      </c>
    </row>
    <row r="599" spans="1:25" x14ac:dyDescent="0.25">
      <c r="A599" s="1" t="s">
        <v>106</v>
      </c>
      <c r="B599" s="1" t="s">
        <v>33</v>
      </c>
      <c r="C599" s="1" t="s">
        <v>34</v>
      </c>
      <c r="D599" s="1">
        <v>84000000</v>
      </c>
      <c r="E599" s="1">
        <v>0</v>
      </c>
      <c r="F599" s="1">
        <v>0</v>
      </c>
      <c r="G599" s="1">
        <v>16800000</v>
      </c>
      <c r="H599" s="1">
        <v>16800000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25200000</v>
      </c>
      <c r="P599" s="1">
        <v>25200000</v>
      </c>
      <c r="Q599" s="1">
        <v>0</v>
      </c>
      <c r="R599" s="1">
        <v>0</v>
      </c>
      <c r="S599" s="1">
        <v>25200000</v>
      </c>
      <c r="T599" s="1">
        <v>25200000</v>
      </c>
      <c r="U599" s="1">
        <v>16800000</v>
      </c>
      <c r="V599" s="1">
        <v>16800000</v>
      </c>
      <c r="W599" s="4">
        <f t="shared" si="28"/>
        <v>84000000</v>
      </c>
      <c r="X599" s="4">
        <f t="shared" si="29"/>
        <v>84000000</v>
      </c>
      <c r="Y599" s="5">
        <f t="shared" si="30"/>
        <v>1</v>
      </c>
    </row>
    <row r="600" spans="1:25" x14ac:dyDescent="0.25">
      <c r="A600" s="1" t="s">
        <v>106</v>
      </c>
      <c r="B600" s="1" t="s">
        <v>35</v>
      </c>
      <c r="C600" s="1" t="s">
        <v>34</v>
      </c>
      <c r="D600" s="1">
        <v>209999999.99999997</v>
      </c>
      <c r="E600" s="1">
        <v>0</v>
      </c>
      <c r="F600" s="1">
        <v>0</v>
      </c>
      <c r="G600" s="1">
        <v>57750000</v>
      </c>
      <c r="H600" s="1">
        <v>57750000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50749999.999999993</v>
      </c>
      <c r="P600" s="1">
        <v>50749999.999999993</v>
      </c>
      <c r="Q600" s="1">
        <v>0</v>
      </c>
      <c r="R600" s="1">
        <v>0</v>
      </c>
      <c r="S600" s="1">
        <v>50749999.999999993</v>
      </c>
      <c r="T600" s="1">
        <v>50749999.999999993</v>
      </c>
      <c r="U600" s="1">
        <v>50749999.999999993</v>
      </c>
      <c r="V600" s="1">
        <v>50749999.999999993</v>
      </c>
      <c r="W600" s="4">
        <f t="shared" si="28"/>
        <v>209999999.99999997</v>
      </c>
      <c r="X600" s="4">
        <f t="shared" si="29"/>
        <v>209999999.99999997</v>
      </c>
      <c r="Y600" s="5">
        <f t="shared" si="30"/>
        <v>1</v>
      </c>
    </row>
    <row r="601" spans="1:25" x14ac:dyDescent="0.25">
      <c r="A601" s="1" t="s">
        <v>106</v>
      </c>
      <c r="B601" s="1" t="s">
        <v>38</v>
      </c>
      <c r="C601" s="1" t="s">
        <v>39</v>
      </c>
      <c r="D601" s="1">
        <v>7721052.9970139032</v>
      </c>
      <c r="E601" s="1">
        <v>509589.49780291767</v>
      </c>
      <c r="F601" s="1">
        <v>509589.49780291767</v>
      </c>
      <c r="G601" s="1">
        <v>636986.87225364707</v>
      </c>
      <c r="H601" s="1">
        <v>636986.87225364707</v>
      </c>
      <c r="I601" s="1">
        <v>636986.87225364707</v>
      </c>
      <c r="J601" s="1">
        <v>636986.87225364707</v>
      </c>
      <c r="K601" s="1">
        <v>636986.87225364707</v>
      </c>
      <c r="L601" s="1">
        <v>636986.87225364707</v>
      </c>
      <c r="M601" s="1">
        <v>387982.91309994861</v>
      </c>
      <c r="N601" s="1">
        <v>387982.91309994861</v>
      </c>
      <c r="O601" s="1">
        <v>323319.09424995718</v>
      </c>
      <c r="P601" s="1">
        <v>323319.09424995718</v>
      </c>
      <c r="Q601" s="1">
        <v>452646.73194994003</v>
      </c>
      <c r="R601" s="1">
        <v>452646.73194994003</v>
      </c>
      <c r="S601" s="1">
        <v>452646.73194994003</v>
      </c>
      <c r="T601" s="1">
        <v>452646.73194994003</v>
      </c>
      <c r="U601" s="1">
        <v>452646.73194994003</v>
      </c>
      <c r="V601" s="1">
        <v>452646.73194994003</v>
      </c>
      <c r="W601" s="4">
        <f t="shared" si="28"/>
        <v>4489792.3177635847</v>
      </c>
      <c r="X601" s="4">
        <f t="shared" si="29"/>
        <v>4489792.3177635847</v>
      </c>
      <c r="Y601" s="5">
        <f t="shared" si="30"/>
        <v>0.58150000000000002</v>
      </c>
    </row>
    <row r="602" spans="1:25" x14ac:dyDescent="0.25">
      <c r="A602" s="1" t="s">
        <v>106</v>
      </c>
      <c r="B602" s="1" t="s">
        <v>61</v>
      </c>
      <c r="C602" s="1" t="s">
        <v>34</v>
      </c>
      <c r="D602" s="1">
        <v>110389930</v>
      </c>
      <c r="E602" s="1">
        <v>0</v>
      </c>
      <c r="F602" s="1">
        <v>0</v>
      </c>
      <c r="G602" s="1">
        <v>8831194.3989941087</v>
      </c>
      <c r="H602" s="1">
        <v>8831194.3989941087</v>
      </c>
      <c r="I602" s="1">
        <v>0</v>
      </c>
      <c r="J602" s="1">
        <v>0</v>
      </c>
      <c r="K602" s="1">
        <v>0</v>
      </c>
      <c r="L602" s="1">
        <v>0</v>
      </c>
      <c r="M602" s="1">
        <v>25389683.900251474</v>
      </c>
      <c r="N602" s="1">
        <v>25389683.900251474</v>
      </c>
      <c r="O602" s="1">
        <v>0</v>
      </c>
      <c r="P602" s="1">
        <v>0</v>
      </c>
      <c r="Q602" s="1">
        <v>0</v>
      </c>
      <c r="R602" s="1">
        <v>0</v>
      </c>
      <c r="S602" s="1">
        <v>38084525.850377209</v>
      </c>
      <c r="T602" s="1">
        <v>38084525.850377209</v>
      </c>
      <c r="U602" s="1">
        <v>0</v>
      </c>
      <c r="V602" s="1">
        <v>0</v>
      </c>
      <c r="W602" s="4">
        <f t="shared" si="28"/>
        <v>72305404.149622783</v>
      </c>
      <c r="X602" s="4">
        <f t="shared" si="29"/>
        <v>72305404.149622783</v>
      </c>
      <c r="Y602" s="5">
        <f t="shared" si="30"/>
        <v>0.65499999999658287</v>
      </c>
    </row>
    <row r="603" spans="1:25" x14ac:dyDescent="0.25">
      <c r="A603" s="1" t="s">
        <v>106</v>
      </c>
      <c r="B603" s="1" t="s">
        <v>62</v>
      </c>
      <c r="C603" s="1" t="s">
        <v>63</v>
      </c>
      <c r="D603" s="1">
        <v>48142857</v>
      </c>
      <c r="E603" s="1">
        <v>20679999.999120001</v>
      </c>
      <c r="F603" s="1">
        <v>20679999.999120001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1671964.2857967855</v>
      </c>
      <c r="N603" s="1">
        <v>1671964.2857967855</v>
      </c>
      <c r="O603" s="1">
        <v>1393303.5714973214</v>
      </c>
      <c r="P603" s="1">
        <v>1393303.5714973214</v>
      </c>
      <c r="Q603" s="1">
        <v>1950625.0000962499</v>
      </c>
      <c r="R603" s="1">
        <v>1950625.0000962499</v>
      </c>
      <c r="S603" s="1">
        <v>1950625.0000962499</v>
      </c>
      <c r="T603" s="1">
        <v>1950625.0000962499</v>
      </c>
      <c r="U603" s="1">
        <v>1950625.0000962499</v>
      </c>
      <c r="V603" s="1">
        <v>1950625.0000962499</v>
      </c>
      <c r="W603" s="4">
        <f t="shared" si="28"/>
        <v>29597142.856702857</v>
      </c>
      <c r="X603" s="4">
        <f t="shared" si="29"/>
        <v>29597142.856702857</v>
      </c>
      <c r="Y603" s="5">
        <f t="shared" si="30"/>
        <v>0.61477744988634253</v>
      </c>
    </row>
    <row r="604" spans="1:25" x14ac:dyDescent="0.25">
      <c r="A604" s="1" t="s">
        <v>106</v>
      </c>
      <c r="B604" s="1" t="s">
        <v>40</v>
      </c>
      <c r="C604" s="1" t="s">
        <v>27</v>
      </c>
      <c r="D604" s="1">
        <v>136737692.85370299</v>
      </c>
      <c r="E604" s="1">
        <v>19964375.292004298</v>
      </c>
      <c r="F604" s="1">
        <v>19964375.292004298</v>
      </c>
      <c r="G604" s="1">
        <v>19631403.947446153</v>
      </c>
      <c r="H604" s="1">
        <v>19631403.947446153</v>
      </c>
      <c r="I604" s="1">
        <v>10313112.883534437</v>
      </c>
      <c r="J604" s="1">
        <v>10313112.883534437</v>
      </c>
      <c r="K604" s="1">
        <v>14378437.024613272</v>
      </c>
      <c r="L604" s="1">
        <v>14378437.024613272</v>
      </c>
      <c r="M604" s="1">
        <v>0</v>
      </c>
      <c r="N604" s="1">
        <v>0</v>
      </c>
      <c r="O604" s="1">
        <v>15509225.041307034</v>
      </c>
      <c r="P604" s="1">
        <v>15509225.041307034</v>
      </c>
      <c r="Q604" s="1">
        <v>10181956.177633135</v>
      </c>
      <c r="R604" s="1">
        <v>10181956.177633135</v>
      </c>
      <c r="S604" s="1">
        <v>14240180.848201392</v>
      </c>
      <c r="T604" s="1">
        <v>14240180.848201392</v>
      </c>
      <c r="U604" s="1">
        <v>11371080.378943011</v>
      </c>
      <c r="V604" s="1">
        <v>11371080.378943011</v>
      </c>
      <c r="W604" s="4">
        <f t="shared" si="28"/>
        <v>115589771.59368274</v>
      </c>
      <c r="X604" s="4">
        <f t="shared" si="29"/>
        <v>115589771.59368274</v>
      </c>
      <c r="Y604" s="5">
        <f t="shared" si="30"/>
        <v>0.84533949038728751</v>
      </c>
    </row>
    <row r="605" spans="1:25" x14ac:dyDescent="0.25">
      <c r="A605" s="1" t="s">
        <v>106</v>
      </c>
      <c r="B605" s="1" t="s">
        <v>41</v>
      </c>
      <c r="C605" s="1" t="s">
        <v>27</v>
      </c>
      <c r="D605" s="1">
        <v>217836239.99999955</v>
      </c>
      <c r="E605" s="1">
        <v>2171200</v>
      </c>
      <c r="F605" s="1">
        <v>2171200</v>
      </c>
      <c r="G605" s="1">
        <v>50313649.023134947</v>
      </c>
      <c r="H605" s="1">
        <v>50313649.023134947</v>
      </c>
      <c r="I605" s="1">
        <v>0</v>
      </c>
      <c r="J605" s="1">
        <v>0</v>
      </c>
      <c r="K605" s="1">
        <v>2222175</v>
      </c>
      <c r="L605" s="1">
        <v>2222175</v>
      </c>
      <c r="M605" s="1">
        <v>53185140.366324231</v>
      </c>
      <c r="N605" s="1">
        <v>53185140.366324231</v>
      </c>
      <c r="O605" s="1">
        <v>54536760.244216152</v>
      </c>
      <c r="P605" s="1">
        <v>54536760.244216152</v>
      </c>
      <c r="Q605" s="1">
        <v>53185140.366324231</v>
      </c>
      <c r="R605" s="1">
        <v>53185140.366324231</v>
      </c>
      <c r="S605" s="1">
        <v>2222175</v>
      </c>
      <c r="T605" s="1">
        <v>2222175</v>
      </c>
      <c r="U605" s="1">
        <v>0</v>
      </c>
      <c r="V605" s="1">
        <v>0</v>
      </c>
      <c r="W605" s="4">
        <f t="shared" si="28"/>
        <v>217836239.99999958</v>
      </c>
      <c r="X605" s="4">
        <f t="shared" si="29"/>
        <v>217836239.99999958</v>
      </c>
      <c r="Y605" s="5">
        <f t="shared" si="30"/>
        <v>1.0000000000000002</v>
      </c>
    </row>
    <row r="606" spans="1:25" x14ac:dyDescent="0.25">
      <c r="A606" s="1" t="s">
        <v>106</v>
      </c>
      <c r="B606" s="1" t="s">
        <v>42</v>
      </c>
      <c r="C606" s="1" t="s">
        <v>27</v>
      </c>
      <c r="D606" s="1">
        <v>41813499.999999948</v>
      </c>
      <c r="E606" s="1">
        <v>0</v>
      </c>
      <c r="F606" s="1">
        <v>0</v>
      </c>
      <c r="G606" s="1">
        <v>0</v>
      </c>
      <c r="H606" s="1">
        <v>0</v>
      </c>
      <c r="I606" s="1">
        <v>11813499.999999899</v>
      </c>
      <c r="J606" s="1">
        <v>11813499.999999899</v>
      </c>
      <c r="K606" s="1">
        <v>0</v>
      </c>
      <c r="L606" s="1">
        <v>0</v>
      </c>
      <c r="M606" s="1">
        <v>11250000.000000019</v>
      </c>
      <c r="N606" s="1">
        <v>11250000.000000019</v>
      </c>
      <c r="O606" s="1">
        <v>7500000.0000000121</v>
      </c>
      <c r="P606" s="1">
        <v>7500000.0000000121</v>
      </c>
      <c r="Q606" s="1">
        <v>11250000.000000019</v>
      </c>
      <c r="R606" s="1">
        <v>11250000.000000019</v>
      </c>
      <c r="S606" s="1">
        <v>0</v>
      </c>
      <c r="T606" s="1">
        <v>0</v>
      </c>
      <c r="U606" s="1">
        <v>0</v>
      </c>
      <c r="V606" s="1">
        <v>0</v>
      </c>
      <c r="W606" s="4">
        <f t="shared" si="28"/>
        <v>41813499.999999948</v>
      </c>
      <c r="X606" s="4">
        <f t="shared" si="29"/>
        <v>41813499.999999948</v>
      </c>
      <c r="Y606" s="5">
        <f t="shared" si="30"/>
        <v>1</v>
      </c>
    </row>
    <row r="607" spans="1:25" x14ac:dyDescent="0.25">
      <c r="A607" s="1" t="s">
        <v>106</v>
      </c>
      <c r="B607" s="1" t="s">
        <v>43</v>
      </c>
      <c r="C607" s="1" t="s">
        <v>31</v>
      </c>
      <c r="D607" s="1">
        <v>5114056</v>
      </c>
      <c r="E607" s="1">
        <v>297067.3159730364</v>
      </c>
      <c r="F607" s="1">
        <v>297067.3159730364</v>
      </c>
      <c r="G607" s="1">
        <v>371334.14496629545</v>
      </c>
      <c r="H607" s="1">
        <v>371334.14496629545</v>
      </c>
      <c r="I607" s="1">
        <v>371334.14496629545</v>
      </c>
      <c r="J607" s="1">
        <v>371334.14496629545</v>
      </c>
      <c r="K607" s="1">
        <v>371334.14496629545</v>
      </c>
      <c r="L607" s="1">
        <v>371334.14496629545</v>
      </c>
      <c r="M607" s="1">
        <v>276114.62870882323</v>
      </c>
      <c r="N607" s="1">
        <v>276114.62870882323</v>
      </c>
      <c r="O607" s="1">
        <v>230095.52392401936</v>
      </c>
      <c r="P607" s="1">
        <v>230095.52392401936</v>
      </c>
      <c r="Q607" s="1">
        <v>285167.45963898295</v>
      </c>
      <c r="R607" s="1">
        <v>285167.45963898295</v>
      </c>
      <c r="S607" s="1">
        <v>322133.73349362711</v>
      </c>
      <c r="T607" s="1">
        <v>322133.73349362711</v>
      </c>
      <c r="U607" s="1">
        <v>322133.73349362711</v>
      </c>
      <c r="V607" s="1">
        <v>322133.73349362711</v>
      </c>
      <c r="W607" s="4">
        <f t="shared" si="28"/>
        <v>2846714.8301310027</v>
      </c>
      <c r="X607" s="4">
        <f t="shared" si="29"/>
        <v>2846714.8301310027</v>
      </c>
      <c r="Y607" s="5">
        <f t="shared" si="30"/>
        <v>0.55664522057071775</v>
      </c>
    </row>
    <row r="608" spans="1:25" x14ac:dyDescent="0.25">
      <c r="A608" s="1" t="s">
        <v>106</v>
      </c>
      <c r="B608" s="1" t="s">
        <v>64</v>
      </c>
      <c r="C608" s="1" t="s">
        <v>23</v>
      </c>
      <c r="D608" s="1">
        <v>4592257.8389874231</v>
      </c>
      <c r="E608" s="1">
        <v>303089.01737316995</v>
      </c>
      <c r="F608" s="1">
        <v>303089.01737316995</v>
      </c>
      <c r="G608" s="1">
        <v>378861.27171646245</v>
      </c>
      <c r="H608" s="1">
        <v>378861.27171646245</v>
      </c>
      <c r="I608" s="1">
        <v>378861.27171646245</v>
      </c>
      <c r="J608" s="1">
        <v>378861.27171646245</v>
      </c>
      <c r="K608" s="1">
        <v>378861.27171646245</v>
      </c>
      <c r="L608" s="1">
        <v>378861.27171646245</v>
      </c>
      <c r="M608" s="1">
        <v>230760.95640911799</v>
      </c>
      <c r="N608" s="1">
        <v>230760.95640911799</v>
      </c>
      <c r="O608" s="1">
        <v>192300.79700759833</v>
      </c>
      <c r="P608" s="1">
        <v>192300.79700759833</v>
      </c>
      <c r="Q608" s="1">
        <v>269221.11581063765</v>
      </c>
      <c r="R608" s="1">
        <v>269221.11581063765</v>
      </c>
      <c r="S608" s="1">
        <v>269221.11581063765</v>
      </c>
      <c r="T608" s="1">
        <v>269221.11581063765</v>
      </c>
      <c r="U608" s="1">
        <v>269221.11581063765</v>
      </c>
      <c r="V608" s="1">
        <v>269221.11581063765</v>
      </c>
      <c r="W608" s="4">
        <f t="shared" si="28"/>
        <v>2670397.9333711863</v>
      </c>
      <c r="X608" s="4">
        <f t="shared" si="29"/>
        <v>2670397.9333711863</v>
      </c>
      <c r="Y608" s="5">
        <f t="shared" si="30"/>
        <v>0.58149999999999991</v>
      </c>
    </row>
    <row r="609" spans="1:25" x14ac:dyDescent="0.25">
      <c r="A609" s="1" t="s">
        <v>106</v>
      </c>
      <c r="B609" s="1" t="s">
        <v>65</v>
      </c>
      <c r="C609" s="1" t="s">
        <v>31</v>
      </c>
      <c r="D609" s="1">
        <v>7347302.5334744686</v>
      </c>
      <c r="E609" s="1">
        <v>484921.96720931493</v>
      </c>
      <c r="F609" s="1">
        <v>484921.96720931493</v>
      </c>
      <c r="G609" s="1">
        <v>606152.45901164366</v>
      </c>
      <c r="H609" s="1">
        <v>606152.45901164366</v>
      </c>
      <c r="I609" s="1">
        <v>606152.45901164366</v>
      </c>
      <c r="J609" s="1">
        <v>606152.45901164366</v>
      </c>
      <c r="K609" s="1">
        <v>606152.45901164366</v>
      </c>
      <c r="L609" s="1">
        <v>606152.45901164366</v>
      </c>
      <c r="M609" s="1">
        <v>369201.95230709203</v>
      </c>
      <c r="N609" s="1">
        <v>369201.95230709203</v>
      </c>
      <c r="O609" s="1">
        <v>307668.29358924337</v>
      </c>
      <c r="P609" s="1">
        <v>307668.29358924337</v>
      </c>
      <c r="Q609" s="1">
        <v>430735.61102494068</v>
      </c>
      <c r="R609" s="1">
        <v>430735.61102494068</v>
      </c>
      <c r="S609" s="1">
        <v>430735.61102494068</v>
      </c>
      <c r="T609" s="1">
        <v>430735.61102494068</v>
      </c>
      <c r="U609" s="1">
        <v>430735.61102494068</v>
      </c>
      <c r="V609" s="1">
        <v>430735.61102494068</v>
      </c>
      <c r="W609" s="4">
        <f t="shared" si="28"/>
        <v>4272456.4232154032</v>
      </c>
      <c r="X609" s="4">
        <f t="shared" si="29"/>
        <v>4272456.4232154032</v>
      </c>
      <c r="Y609" s="5">
        <f t="shared" si="30"/>
        <v>0.58149999999999991</v>
      </c>
    </row>
    <row r="610" spans="1:25" x14ac:dyDescent="0.25">
      <c r="A610" s="1" t="s">
        <v>106</v>
      </c>
      <c r="B610" s="1" t="s">
        <v>44</v>
      </c>
      <c r="C610" s="1" t="s">
        <v>45</v>
      </c>
      <c r="D610" s="1">
        <v>7721052.9970139032</v>
      </c>
      <c r="E610" s="1">
        <v>509589.49780291767</v>
      </c>
      <c r="F610" s="1">
        <v>509589.49780291767</v>
      </c>
      <c r="G610" s="1">
        <v>636986.87225364707</v>
      </c>
      <c r="H610" s="1">
        <v>636986.87225364707</v>
      </c>
      <c r="I610" s="1">
        <v>636986.87225364707</v>
      </c>
      <c r="J610" s="1">
        <v>636986.87225364707</v>
      </c>
      <c r="K610" s="1">
        <v>636986.87225364707</v>
      </c>
      <c r="L610" s="1">
        <v>636986.87225364707</v>
      </c>
      <c r="M610" s="1">
        <v>387982.91309994861</v>
      </c>
      <c r="N610" s="1">
        <v>387982.91309994861</v>
      </c>
      <c r="O610" s="1">
        <v>323319.09424995718</v>
      </c>
      <c r="P610" s="1">
        <v>323319.09424995718</v>
      </c>
      <c r="Q610" s="1">
        <v>452646.73194994003</v>
      </c>
      <c r="R610" s="1">
        <v>452646.73194994003</v>
      </c>
      <c r="S610" s="1">
        <v>452646.73194994003</v>
      </c>
      <c r="T610" s="1">
        <v>452646.73194994003</v>
      </c>
      <c r="U610" s="1">
        <v>452646.73194994003</v>
      </c>
      <c r="V610" s="1">
        <v>452646.73194994003</v>
      </c>
      <c r="W610" s="4">
        <f t="shared" si="28"/>
        <v>4489792.3177635847</v>
      </c>
      <c r="X610" s="4">
        <f t="shared" si="29"/>
        <v>4489792.3177635847</v>
      </c>
      <c r="Y610" s="5">
        <f t="shared" si="30"/>
        <v>0.58150000000000002</v>
      </c>
    </row>
    <row r="611" spans="1:25" x14ac:dyDescent="0.25">
      <c r="A611" s="1" t="s">
        <v>106</v>
      </c>
      <c r="B611" s="1" t="s">
        <v>46</v>
      </c>
      <c r="C611" s="1" t="s">
        <v>22</v>
      </c>
      <c r="D611" s="1">
        <v>99097767.77037932</v>
      </c>
      <c r="E611" s="1">
        <v>6546579.2939750319</v>
      </c>
      <c r="F611" s="1">
        <v>6546579.2939750319</v>
      </c>
      <c r="G611" s="1">
        <v>8183224.1174687892</v>
      </c>
      <c r="H611" s="1">
        <v>8183224.1174687892</v>
      </c>
      <c r="I611" s="1">
        <v>8183224.1174687892</v>
      </c>
      <c r="J611" s="1">
        <v>8183224.1174687892</v>
      </c>
      <c r="K611" s="1">
        <v>8183224.1174687892</v>
      </c>
      <c r="L611" s="1">
        <v>8183224.1174687892</v>
      </c>
      <c r="M611" s="1">
        <v>5134704.0819717227</v>
      </c>
      <c r="N611" s="1">
        <v>5134704.0819717227</v>
      </c>
      <c r="O611" s="1">
        <v>4175487.4181510718</v>
      </c>
      <c r="P611" s="1">
        <v>4175487.4181510718</v>
      </c>
      <c r="Q611" s="1">
        <v>5780703.1249092575</v>
      </c>
      <c r="R611" s="1">
        <v>5780703.1249092575</v>
      </c>
      <c r="S611" s="1">
        <v>5780703.1249092575</v>
      </c>
      <c r="T611" s="1">
        <v>5780703.1249092575</v>
      </c>
      <c r="U611" s="1">
        <v>5780703.1249092575</v>
      </c>
      <c r="V611" s="1">
        <v>5780703.1249092575</v>
      </c>
      <c r="W611" s="4">
        <f t="shared" si="28"/>
        <v>57748552.521231972</v>
      </c>
      <c r="X611" s="4">
        <f t="shared" si="29"/>
        <v>57748552.521231972</v>
      </c>
      <c r="Y611" s="5">
        <f t="shared" si="30"/>
        <v>0.58274322238056731</v>
      </c>
    </row>
    <row r="612" spans="1:25" x14ac:dyDescent="0.25">
      <c r="A612" s="1" t="s">
        <v>106</v>
      </c>
      <c r="B612" s="1" t="s">
        <v>66</v>
      </c>
      <c r="C612" s="1" t="s">
        <v>24</v>
      </c>
      <c r="D612" s="1">
        <v>339025836.66059417</v>
      </c>
      <c r="E612" s="1">
        <v>27969631.524499021</v>
      </c>
      <c r="F612" s="1">
        <v>27969631.524499021</v>
      </c>
      <c r="G612" s="1">
        <v>27969631.524499021</v>
      </c>
      <c r="H612" s="1">
        <v>27969631.524499021</v>
      </c>
      <c r="I612" s="1">
        <v>27969631.524499021</v>
      </c>
      <c r="J612" s="1">
        <v>27969631.524499021</v>
      </c>
      <c r="K612" s="1">
        <v>27969631.524499021</v>
      </c>
      <c r="L612" s="1">
        <v>27969631.524499021</v>
      </c>
      <c r="M612" s="1">
        <v>30121473.902003914</v>
      </c>
      <c r="N612" s="1">
        <v>30121473.902003914</v>
      </c>
      <c r="O612" s="1">
        <v>30000000</v>
      </c>
      <c r="P612" s="1">
        <v>30000000</v>
      </c>
      <c r="Q612" s="1">
        <v>32000000</v>
      </c>
      <c r="R612" s="1">
        <v>32000000</v>
      </c>
      <c r="S612" s="1">
        <v>30345789</v>
      </c>
      <c r="T612" s="1">
        <v>30345789</v>
      </c>
      <c r="U612" s="1">
        <v>29705602.750000045</v>
      </c>
      <c r="V612" s="1">
        <v>29705602.750000045</v>
      </c>
      <c r="W612" s="4">
        <f t="shared" si="28"/>
        <v>264051391.75000006</v>
      </c>
      <c r="X612" s="4">
        <f t="shared" si="29"/>
        <v>264051391.75000006</v>
      </c>
      <c r="Y612" s="5">
        <f t="shared" si="30"/>
        <v>0.7788533002407938</v>
      </c>
    </row>
    <row r="613" spans="1:25" x14ac:dyDescent="0.25">
      <c r="A613" s="1" t="s">
        <v>106</v>
      </c>
      <c r="B613" s="1" t="s">
        <v>67</v>
      </c>
      <c r="C613" s="1" t="s">
        <v>68</v>
      </c>
      <c r="D613" s="1">
        <v>5916750.6585043678</v>
      </c>
      <c r="E613" s="1">
        <v>390505.54346128833</v>
      </c>
      <c r="F613" s="1">
        <v>390505.54346128833</v>
      </c>
      <c r="G613" s="1">
        <v>488131.92932661035</v>
      </c>
      <c r="H613" s="1">
        <v>488131.92932661035</v>
      </c>
      <c r="I613" s="1">
        <v>488131.92932661035</v>
      </c>
      <c r="J613" s="1">
        <v>488131.92932661035</v>
      </c>
      <c r="K613" s="1">
        <v>488131.92932661035</v>
      </c>
      <c r="L613" s="1">
        <v>488131.92932661035</v>
      </c>
      <c r="M613" s="1">
        <v>307671.03424222715</v>
      </c>
      <c r="N613" s="1">
        <v>307671.03424222715</v>
      </c>
      <c r="O613" s="1">
        <v>246531.277437682</v>
      </c>
      <c r="P613" s="1">
        <v>246531.277437682</v>
      </c>
      <c r="Q613" s="1">
        <v>345143.78841275477</v>
      </c>
      <c r="R613" s="1">
        <v>345143.78841275477</v>
      </c>
      <c r="S613" s="1">
        <v>345143.78841275477</v>
      </c>
      <c r="T613" s="1">
        <v>345143.78841275477</v>
      </c>
      <c r="U613" s="1">
        <v>345143.78841275477</v>
      </c>
      <c r="V613" s="1">
        <v>345143.78841275477</v>
      </c>
      <c r="W613" s="4">
        <f t="shared" si="28"/>
        <v>3444535.0083592925</v>
      </c>
      <c r="X613" s="4">
        <f t="shared" si="29"/>
        <v>3444535.0083592925</v>
      </c>
      <c r="Y613" s="5">
        <f t="shared" si="30"/>
        <v>0.58216666666666661</v>
      </c>
    </row>
    <row r="614" spans="1:25" x14ac:dyDescent="0.25">
      <c r="A614" s="1" t="s">
        <v>106</v>
      </c>
      <c r="B614" s="1" t="s">
        <v>69</v>
      </c>
      <c r="C614" s="1" t="s">
        <v>28</v>
      </c>
      <c r="D614" s="1">
        <v>8413085.4776615854</v>
      </c>
      <c r="E614" s="1">
        <v>555263.64152566472</v>
      </c>
      <c r="F614" s="1">
        <v>555263.64152566472</v>
      </c>
      <c r="G614" s="1">
        <v>694079.55190708081</v>
      </c>
      <c r="H614" s="1">
        <v>694079.55190708081</v>
      </c>
      <c r="I614" s="1">
        <v>694079.55190708081</v>
      </c>
      <c r="J614" s="1">
        <v>694079.55190708081</v>
      </c>
      <c r="K614" s="1">
        <v>694079.55190708081</v>
      </c>
      <c r="L614" s="1">
        <v>694079.55190708081</v>
      </c>
      <c r="M614" s="1">
        <v>422757.54525249469</v>
      </c>
      <c r="N614" s="1">
        <v>422757.54525249469</v>
      </c>
      <c r="O614" s="1">
        <v>352297.95437707892</v>
      </c>
      <c r="P614" s="1">
        <v>352297.95437707892</v>
      </c>
      <c r="Q614" s="1">
        <v>493217.13612791046</v>
      </c>
      <c r="R614" s="1">
        <v>493217.13612791046</v>
      </c>
      <c r="S614" s="1">
        <v>493217.13612791046</v>
      </c>
      <c r="T614" s="1">
        <v>493217.13612791046</v>
      </c>
      <c r="U614" s="1">
        <v>493217.13612791046</v>
      </c>
      <c r="V614" s="1">
        <v>493217.13612791046</v>
      </c>
      <c r="W614" s="4">
        <f t="shared" si="28"/>
        <v>4892209.2052602116</v>
      </c>
      <c r="X614" s="4">
        <f t="shared" si="29"/>
        <v>4892209.2052602116</v>
      </c>
      <c r="Y614" s="5">
        <f t="shared" si="30"/>
        <v>0.58149999999999991</v>
      </c>
    </row>
    <row r="615" spans="1:25" x14ac:dyDescent="0.25">
      <c r="A615" s="1" t="s">
        <v>106</v>
      </c>
      <c r="B615" s="1" t="s">
        <v>70</v>
      </c>
      <c r="C615" s="1" t="s">
        <v>23</v>
      </c>
      <c r="D615" s="1">
        <v>8268750.0182812503</v>
      </c>
      <c r="E615" s="1">
        <v>545737.50120656262</v>
      </c>
      <c r="F615" s="1">
        <v>545737.50120656262</v>
      </c>
      <c r="G615" s="1">
        <v>682171.87650820322</v>
      </c>
      <c r="H615" s="1">
        <v>682171.87650820322</v>
      </c>
      <c r="I615" s="1">
        <v>682171.87650820322</v>
      </c>
      <c r="J615" s="1">
        <v>682171.87650820322</v>
      </c>
      <c r="K615" s="1">
        <v>682171.87650820322</v>
      </c>
      <c r="L615" s="1">
        <v>682171.87650820322</v>
      </c>
      <c r="M615" s="1">
        <v>415504.68841863284</v>
      </c>
      <c r="N615" s="1">
        <v>415504.68841863284</v>
      </c>
      <c r="O615" s="1">
        <v>346253.90701552737</v>
      </c>
      <c r="P615" s="1">
        <v>346253.90701552737</v>
      </c>
      <c r="Q615" s="1">
        <v>484755.46982173825</v>
      </c>
      <c r="R615" s="1">
        <v>484755.46982173825</v>
      </c>
      <c r="S615" s="1">
        <v>484755.46982173825</v>
      </c>
      <c r="T615" s="1">
        <v>484755.46982173825</v>
      </c>
      <c r="U615" s="1">
        <v>484755.46982173825</v>
      </c>
      <c r="V615" s="1">
        <v>484755.46982173825</v>
      </c>
      <c r="W615" s="4">
        <f t="shared" si="28"/>
        <v>4808278.135630548</v>
      </c>
      <c r="X615" s="4">
        <f t="shared" si="29"/>
        <v>4808278.135630548</v>
      </c>
      <c r="Y615" s="5">
        <f t="shared" si="30"/>
        <v>0.58150000000000013</v>
      </c>
    </row>
    <row r="616" spans="1:25" x14ac:dyDescent="0.25">
      <c r="A616" s="1" t="s">
        <v>106</v>
      </c>
      <c r="B616" s="1" t="s">
        <v>71</v>
      </c>
      <c r="C616" s="1" t="s">
        <v>29</v>
      </c>
      <c r="D616" s="1">
        <v>6717723.660576975</v>
      </c>
      <c r="E616" s="1">
        <v>443369.7615980804</v>
      </c>
      <c r="F616" s="1">
        <v>443369.7615980804</v>
      </c>
      <c r="G616" s="1">
        <v>554212.2019976005</v>
      </c>
      <c r="H616" s="1">
        <v>554212.2019976005</v>
      </c>
      <c r="I616" s="1">
        <v>554212.2019976005</v>
      </c>
      <c r="J616" s="1">
        <v>554212.2019976005</v>
      </c>
      <c r="K616" s="1">
        <v>554212.2019976005</v>
      </c>
      <c r="L616" s="1">
        <v>554212.2019976005</v>
      </c>
      <c r="M616" s="1">
        <v>337565.61394399294</v>
      </c>
      <c r="N616" s="1">
        <v>337565.61394399294</v>
      </c>
      <c r="O616" s="1">
        <v>281304.67828666081</v>
      </c>
      <c r="P616" s="1">
        <v>281304.67828666081</v>
      </c>
      <c r="Q616" s="1">
        <v>393826.54960132512</v>
      </c>
      <c r="R616" s="1">
        <v>393826.54960132512</v>
      </c>
      <c r="S616" s="1">
        <v>393826.54960132512</v>
      </c>
      <c r="T616" s="1">
        <v>393826.54960132512</v>
      </c>
      <c r="U616" s="1">
        <v>393826.54960132512</v>
      </c>
      <c r="V616" s="1">
        <v>393826.54960132512</v>
      </c>
      <c r="W616" s="4">
        <f t="shared" si="28"/>
        <v>3906356.3086255109</v>
      </c>
      <c r="X616" s="4">
        <f t="shared" si="29"/>
        <v>3906356.3086255109</v>
      </c>
      <c r="Y616" s="5">
        <f t="shared" si="30"/>
        <v>0.58150000000000002</v>
      </c>
    </row>
    <row r="617" spans="1:25" x14ac:dyDescent="0.25">
      <c r="A617" s="1" t="s">
        <v>106</v>
      </c>
      <c r="B617" s="1" t="s">
        <v>72</v>
      </c>
      <c r="C617" s="1" t="s">
        <v>73</v>
      </c>
      <c r="D617" s="1">
        <v>8217862.5207234146</v>
      </c>
      <c r="E617" s="1">
        <v>542378.92636774539</v>
      </c>
      <c r="F617" s="1">
        <v>542378.92636774539</v>
      </c>
      <c r="G617" s="1">
        <v>677973.6579596817</v>
      </c>
      <c r="H617" s="1">
        <v>677973.6579596817</v>
      </c>
      <c r="I617" s="1">
        <v>677973.6579596817</v>
      </c>
      <c r="J617" s="1">
        <v>677973.6579596817</v>
      </c>
      <c r="K617" s="1">
        <v>677973.6579596817</v>
      </c>
      <c r="L617" s="1">
        <v>677973.6579596817</v>
      </c>
      <c r="M617" s="1">
        <v>412947.5916663516</v>
      </c>
      <c r="N617" s="1">
        <v>412947.5916663516</v>
      </c>
      <c r="O617" s="1">
        <v>344122.99305529299</v>
      </c>
      <c r="P617" s="1">
        <v>344122.99305529299</v>
      </c>
      <c r="Q617" s="1">
        <v>481772.19027741015</v>
      </c>
      <c r="R617" s="1">
        <v>481772.19027741015</v>
      </c>
      <c r="S617" s="1">
        <v>481772.19027741015</v>
      </c>
      <c r="T617" s="1">
        <v>481772.19027741015</v>
      </c>
      <c r="U617" s="1">
        <v>481772.19027741015</v>
      </c>
      <c r="V617" s="1">
        <v>481772.19027741015</v>
      </c>
      <c r="W617" s="4">
        <f t="shared" si="28"/>
        <v>4778687.0558006661</v>
      </c>
      <c r="X617" s="4">
        <f t="shared" si="29"/>
        <v>4778687.0558006661</v>
      </c>
      <c r="Y617" s="5">
        <f t="shared" si="30"/>
        <v>0.58150000000000002</v>
      </c>
    </row>
    <row r="618" spans="1:25" x14ac:dyDescent="0.25">
      <c r="A618" s="1" t="s">
        <v>106</v>
      </c>
      <c r="B618" s="1" t="s">
        <v>48</v>
      </c>
      <c r="C618" s="1" t="s">
        <v>49</v>
      </c>
      <c r="D618" s="1">
        <v>5548813.0199553948</v>
      </c>
      <c r="E618" s="1">
        <v>366221.65931705612</v>
      </c>
      <c r="F618" s="1">
        <v>366221.65931705612</v>
      </c>
      <c r="G618" s="1">
        <v>457777.07414632011</v>
      </c>
      <c r="H618" s="1">
        <v>457777.07414632011</v>
      </c>
      <c r="I618" s="1">
        <v>457777.07414632011</v>
      </c>
      <c r="J618" s="1">
        <v>457777.07414632011</v>
      </c>
      <c r="K618" s="1">
        <v>457777.07414632011</v>
      </c>
      <c r="L618" s="1">
        <v>457777.07414632011</v>
      </c>
      <c r="M618" s="1">
        <v>278827.85425275855</v>
      </c>
      <c r="N618" s="1">
        <v>278827.85425275855</v>
      </c>
      <c r="O618" s="1">
        <v>232356.54521063215</v>
      </c>
      <c r="P618" s="1">
        <v>232356.54521063215</v>
      </c>
      <c r="Q618" s="1">
        <v>325299.16329488496</v>
      </c>
      <c r="R618" s="1">
        <v>325299.16329488496</v>
      </c>
      <c r="S618" s="1">
        <v>325299.16329488496</v>
      </c>
      <c r="T618" s="1">
        <v>325299.16329488496</v>
      </c>
      <c r="U618" s="1">
        <v>325299.16329488496</v>
      </c>
      <c r="V618" s="1">
        <v>325299.16329488496</v>
      </c>
      <c r="W618" s="4">
        <f t="shared" si="28"/>
        <v>3226634.771104062</v>
      </c>
      <c r="X618" s="4">
        <f t="shared" si="29"/>
        <v>3226634.771104062</v>
      </c>
      <c r="Y618" s="5">
        <f t="shared" si="30"/>
        <v>0.58150000000000002</v>
      </c>
    </row>
    <row r="619" spans="1:25" x14ac:dyDescent="0.25">
      <c r="A619" s="1" t="s">
        <v>106</v>
      </c>
      <c r="B619" s="1" t="s">
        <v>53</v>
      </c>
      <c r="C619" s="1" t="s">
        <v>30</v>
      </c>
      <c r="D619" s="1">
        <v>9688786.1158917695</v>
      </c>
      <c r="E619" s="1">
        <v>639459.88364885689</v>
      </c>
      <c r="F619" s="1">
        <v>639459.88364885689</v>
      </c>
      <c r="G619" s="1">
        <v>799324.85456107103</v>
      </c>
      <c r="H619" s="1">
        <v>799324.85456107103</v>
      </c>
      <c r="I619" s="1">
        <v>799324.85456107103</v>
      </c>
      <c r="J619" s="1">
        <v>799324.85456107103</v>
      </c>
      <c r="K619" s="1">
        <v>799324.85456107103</v>
      </c>
      <c r="L619" s="1">
        <v>799324.85456107103</v>
      </c>
      <c r="M619" s="1">
        <v>486861.50232356141</v>
      </c>
      <c r="N619" s="1">
        <v>486861.50232356141</v>
      </c>
      <c r="O619" s="1">
        <v>405717.91860296787</v>
      </c>
      <c r="P619" s="1">
        <v>405717.91860296787</v>
      </c>
      <c r="Q619" s="1">
        <v>568005.08604415494</v>
      </c>
      <c r="R619" s="1">
        <v>568005.08604415494</v>
      </c>
      <c r="S619" s="1">
        <v>568005.08604415494</v>
      </c>
      <c r="T619" s="1">
        <v>568005.08604415494</v>
      </c>
      <c r="U619" s="1">
        <v>568005.08604415494</v>
      </c>
      <c r="V619" s="1">
        <v>568005.08604415494</v>
      </c>
      <c r="W619" s="4">
        <f t="shared" si="28"/>
        <v>5634029.1263910634</v>
      </c>
      <c r="X619" s="4">
        <f t="shared" si="29"/>
        <v>5634029.1263910634</v>
      </c>
      <c r="Y619" s="5">
        <f t="shared" si="30"/>
        <v>0.58149999999999991</v>
      </c>
    </row>
    <row r="620" spans="1:25" x14ac:dyDescent="0.25">
      <c r="A620" s="1" t="s">
        <v>106</v>
      </c>
      <c r="B620" s="1" t="s">
        <v>74</v>
      </c>
      <c r="C620" s="1" t="s">
        <v>75</v>
      </c>
      <c r="D620" s="1">
        <v>5940324.165516614</v>
      </c>
      <c r="E620" s="1">
        <v>392061.39492409653</v>
      </c>
      <c r="F620" s="1">
        <v>392061.39492409653</v>
      </c>
      <c r="G620" s="1">
        <v>490076.74365512066</v>
      </c>
      <c r="H620" s="1">
        <v>490076.74365512066</v>
      </c>
      <c r="I620" s="1">
        <v>490076.74365512066</v>
      </c>
      <c r="J620" s="1">
        <v>490076.74365512066</v>
      </c>
      <c r="K620" s="1">
        <v>490076.74365512066</v>
      </c>
      <c r="L620" s="1">
        <v>490076.74365512066</v>
      </c>
      <c r="M620" s="1">
        <v>298501.2893172098</v>
      </c>
      <c r="N620" s="1">
        <v>298501.2893172098</v>
      </c>
      <c r="O620" s="1">
        <v>248751.07443100819</v>
      </c>
      <c r="P620" s="1">
        <v>248751.07443100819</v>
      </c>
      <c r="Q620" s="1">
        <v>348251.50420341146</v>
      </c>
      <c r="R620" s="1">
        <v>348251.50420341146</v>
      </c>
      <c r="S620" s="1">
        <v>348251.50420341146</v>
      </c>
      <c r="T620" s="1">
        <v>348251.50420341146</v>
      </c>
      <c r="U620" s="1">
        <v>348251.50420341146</v>
      </c>
      <c r="V620" s="1">
        <v>348251.50420341146</v>
      </c>
      <c r="W620" s="4">
        <f t="shared" si="28"/>
        <v>3454298.5022479109</v>
      </c>
      <c r="X620" s="4">
        <f t="shared" si="29"/>
        <v>3454298.5022479109</v>
      </c>
      <c r="Y620" s="5">
        <f t="shared" si="30"/>
        <v>0.58150000000000002</v>
      </c>
    </row>
    <row r="621" spans="1:25" x14ac:dyDescent="0.25">
      <c r="A621" s="1" t="s">
        <v>106</v>
      </c>
      <c r="B621" s="1" t="s">
        <v>50</v>
      </c>
      <c r="C621" s="1" t="s">
        <v>25</v>
      </c>
      <c r="D621" s="1">
        <v>5826253.6709531629</v>
      </c>
      <c r="E621" s="1">
        <v>384532.74228290882</v>
      </c>
      <c r="F621" s="1">
        <v>384532.74228290882</v>
      </c>
      <c r="G621" s="1">
        <v>480665.92785363598</v>
      </c>
      <c r="H621" s="1">
        <v>480665.92785363598</v>
      </c>
      <c r="I621" s="1">
        <v>480665.92785363598</v>
      </c>
      <c r="J621" s="1">
        <v>480665.92785363598</v>
      </c>
      <c r="K621" s="1">
        <v>480665.92785363598</v>
      </c>
      <c r="L621" s="1">
        <v>480665.92785363598</v>
      </c>
      <c r="M621" s="1">
        <v>292769.24696539639</v>
      </c>
      <c r="N621" s="1">
        <v>292769.24696539639</v>
      </c>
      <c r="O621" s="1">
        <v>243974.37247116369</v>
      </c>
      <c r="P621" s="1">
        <v>243974.37247116369</v>
      </c>
      <c r="Q621" s="1">
        <v>341564.12145962915</v>
      </c>
      <c r="R621" s="1">
        <v>341564.12145962915</v>
      </c>
      <c r="S621" s="1">
        <v>341564.12145962915</v>
      </c>
      <c r="T621" s="1">
        <v>341564.12145962915</v>
      </c>
      <c r="U621" s="1">
        <v>341564.12145962915</v>
      </c>
      <c r="V621" s="1">
        <v>341564.12145962915</v>
      </c>
      <c r="W621" s="4">
        <f t="shared" si="28"/>
        <v>3387966.5096592642</v>
      </c>
      <c r="X621" s="4">
        <f t="shared" si="29"/>
        <v>3387966.5096592642</v>
      </c>
      <c r="Y621" s="5">
        <f t="shared" si="30"/>
        <v>0.58150000000000002</v>
      </c>
    </row>
    <row r="622" spans="1:25" x14ac:dyDescent="0.25">
      <c r="A622" s="1" t="s">
        <v>107</v>
      </c>
      <c r="B622" s="1" t="s">
        <v>59</v>
      </c>
      <c r="C622" s="1" t="s">
        <v>26</v>
      </c>
      <c r="D622" s="1">
        <v>43687966</v>
      </c>
      <c r="E622" s="1">
        <v>3550797.8596301856</v>
      </c>
      <c r="F622" s="1">
        <v>3550797.8596301856</v>
      </c>
      <c r="G622" s="1">
        <v>4438497.3245377317</v>
      </c>
      <c r="H622" s="1">
        <v>4438497.3245377317</v>
      </c>
      <c r="I622" s="1">
        <v>4438497.3245377317</v>
      </c>
      <c r="J622" s="1">
        <v>4438497.3245377317</v>
      </c>
      <c r="K622" s="1">
        <v>4438497.3245377317</v>
      </c>
      <c r="L622" s="1">
        <v>4438497.3245377317</v>
      </c>
      <c r="M622" s="1">
        <v>3241747.0877311341</v>
      </c>
      <c r="N622" s="1">
        <v>3241747.0877311341</v>
      </c>
      <c r="O622" s="1">
        <v>3241747.0877311341</v>
      </c>
      <c r="P622" s="1">
        <v>3241747.0877311341</v>
      </c>
      <c r="Q622" s="1">
        <v>3241747.0877311341</v>
      </c>
      <c r="R622" s="1">
        <v>3241747.0877311341</v>
      </c>
      <c r="S622" s="1">
        <v>3241747.0877311341</v>
      </c>
      <c r="T622" s="1">
        <v>3241747.0877311341</v>
      </c>
      <c r="U622" s="1">
        <v>3241747.0877311341</v>
      </c>
      <c r="V622" s="1">
        <v>3241747.0877311341</v>
      </c>
      <c r="W622" s="4">
        <f t="shared" si="28"/>
        <v>33075025.271899052</v>
      </c>
      <c r="X622" s="4">
        <f t="shared" si="29"/>
        <v>33075025.271899052</v>
      </c>
      <c r="Y622" s="5">
        <f t="shared" si="30"/>
        <v>0.75707404807765721</v>
      </c>
    </row>
    <row r="623" spans="1:25" x14ac:dyDescent="0.25">
      <c r="A623" s="1" t="s">
        <v>107</v>
      </c>
      <c r="B623" s="1" t="s">
        <v>60</v>
      </c>
      <c r="C623" s="1" t="s">
        <v>108</v>
      </c>
      <c r="D623" s="1">
        <v>10112002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5056001</v>
      </c>
      <c r="N623" s="1">
        <v>5056001</v>
      </c>
      <c r="O623" s="1">
        <v>5056001</v>
      </c>
      <c r="P623" s="1">
        <v>5056001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4">
        <f t="shared" si="28"/>
        <v>10112002</v>
      </c>
      <c r="X623" s="4">
        <f t="shared" si="29"/>
        <v>10112002</v>
      </c>
      <c r="Y623" s="5">
        <f t="shared" si="30"/>
        <v>1</v>
      </c>
    </row>
    <row r="624" spans="1:25" x14ac:dyDescent="0.25">
      <c r="A624" s="1" t="s">
        <v>107</v>
      </c>
      <c r="B624" s="1" t="s">
        <v>33</v>
      </c>
      <c r="C624" s="1" t="s">
        <v>34</v>
      </c>
      <c r="D624" s="1">
        <v>48000000</v>
      </c>
      <c r="E624" s="1">
        <v>0</v>
      </c>
      <c r="F624" s="1">
        <v>0</v>
      </c>
      <c r="G624" s="1">
        <v>9600000</v>
      </c>
      <c r="H624" s="1">
        <v>9600000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14400000</v>
      </c>
      <c r="P624" s="1">
        <v>14400000</v>
      </c>
      <c r="Q624" s="1">
        <v>0</v>
      </c>
      <c r="R624" s="1">
        <v>0</v>
      </c>
      <c r="S624" s="1">
        <v>14400000</v>
      </c>
      <c r="T624" s="1">
        <v>14400000</v>
      </c>
      <c r="U624" s="1">
        <v>9600000</v>
      </c>
      <c r="V624" s="1">
        <v>9600000</v>
      </c>
      <c r="W624" s="4">
        <f t="shared" si="28"/>
        <v>48000000</v>
      </c>
      <c r="X624" s="4">
        <f t="shared" si="29"/>
        <v>48000000</v>
      </c>
      <c r="Y624" s="5">
        <f t="shared" si="30"/>
        <v>1</v>
      </c>
    </row>
    <row r="625" spans="1:25" x14ac:dyDescent="0.25">
      <c r="A625" s="1" t="s">
        <v>107</v>
      </c>
      <c r="B625" s="1" t="s">
        <v>35</v>
      </c>
      <c r="C625" s="1" t="s">
        <v>34</v>
      </c>
      <c r="D625" s="1">
        <v>120000000</v>
      </c>
      <c r="E625" s="1">
        <v>0</v>
      </c>
      <c r="F625" s="1">
        <v>0</v>
      </c>
      <c r="G625" s="1">
        <v>33000000</v>
      </c>
      <c r="H625" s="1">
        <v>33000000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29000000</v>
      </c>
      <c r="P625" s="1">
        <v>29000000</v>
      </c>
      <c r="Q625" s="1">
        <v>0</v>
      </c>
      <c r="R625" s="1">
        <v>0</v>
      </c>
      <c r="S625" s="1">
        <v>29000000</v>
      </c>
      <c r="T625" s="1">
        <v>29000000</v>
      </c>
      <c r="U625" s="1">
        <v>29000000</v>
      </c>
      <c r="V625" s="1">
        <v>29000000</v>
      </c>
      <c r="W625" s="4">
        <f t="shared" si="28"/>
        <v>120000000</v>
      </c>
      <c r="X625" s="4">
        <f t="shared" si="29"/>
        <v>120000000</v>
      </c>
      <c r="Y625" s="5">
        <f t="shared" si="30"/>
        <v>1</v>
      </c>
    </row>
    <row r="626" spans="1:25" x14ac:dyDescent="0.25">
      <c r="A626" s="1" t="s">
        <v>107</v>
      </c>
      <c r="B626" s="1" t="s">
        <v>38</v>
      </c>
      <c r="C626" s="1" t="s">
        <v>39</v>
      </c>
      <c r="D626" s="1">
        <v>8003302.2955128867</v>
      </c>
      <c r="E626" s="1">
        <v>528217.95150385052</v>
      </c>
      <c r="F626" s="1">
        <v>528217.95150385052</v>
      </c>
      <c r="G626" s="1">
        <v>660272.43937981315</v>
      </c>
      <c r="H626" s="1">
        <v>660272.43937981315</v>
      </c>
      <c r="I626" s="1">
        <v>660272.43937981315</v>
      </c>
      <c r="J626" s="1">
        <v>660272.43937981315</v>
      </c>
      <c r="K626" s="1">
        <v>660272.43937981315</v>
      </c>
      <c r="L626" s="1">
        <v>660272.43937981315</v>
      </c>
      <c r="M626" s="1">
        <v>402165.94034952257</v>
      </c>
      <c r="N626" s="1">
        <v>402165.94034952257</v>
      </c>
      <c r="O626" s="1">
        <v>335138.28362460213</v>
      </c>
      <c r="P626" s="1">
        <v>335138.28362460213</v>
      </c>
      <c r="Q626" s="1">
        <v>469193.59707444295</v>
      </c>
      <c r="R626" s="1">
        <v>469193.59707444295</v>
      </c>
      <c r="S626" s="1">
        <v>469193.59707444295</v>
      </c>
      <c r="T626" s="1">
        <v>469193.59707444295</v>
      </c>
      <c r="U626" s="1">
        <v>469193.59707444295</v>
      </c>
      <c r="V626" s="1">
        <v>469193.59707444295</v>
      </c>
      <c r="W626" s="4">
        <f t="shared" si="28"/>
        <v>4653920.284840744</v>
      </c>
      <c r="X626" s="4">
        <f t="shared" si="29"/>
        <v>4653920.284840744</v>
      </c>
      <c r="Y626" s="5">
        <f t="shared" si="30"/>
        <v>0.58150000000000002</v>
      </c>
    </row>
    <row r="627" spans="1:25" x14ac:dyDescent="0.25">
      <c r="A627" s="1" t="s">
        <v>107</v>
      </c>
      <c r="B627" s="1" t="s">
        <v>61</v>
      </c>
      <c r="C627" s="1" t="s">
        <v>34</v>
      </c>
      <c r="D627" s="1">
        <v>79813136.320780203</v>
      </c>
      <c r="E627" s="1">
        <v>0</v>
      </c>
      <c r="F627" s="1">
        <v>0</v>
      </c>
      <c r="G627" s="1">
        <v>6385050.9049351458</v>
      </c>
      <c r="H627" s="1">
        <v>6385050.9049351458</v>
      </c>
      <c r="I627" s="1">
        <v>0</v>
      </c>
      <c r="J627" s="1">
        <v>0</v>
      </c>
      <c r="K627" s="1">
        <v>0</v>
      </c>
      <c r="L627" s="1">
        <v>0</v>
      </c>
      <c r="M627" s="1">
        <v>18357021.353961263</v>
      </c>
      <c r="N627" s="1">
        <v>18357021.353961263</v>
      </c>
      <c r="O627" s="1">
        <v>0</v>
      </c>
      <c r="P627" s="1">
        <v>0</v>
      </c>
      <c r="Q627" s="1">
        <v>0</v>
      </c>
      <c r="R627" s="1">
        <v>0</v>
      </c>
      <c r="S627" s="1">
        <v>27535532.030941896</v>
      </c>
      <c r="T627" s="1">
        <v>27535532.030941896</v>
      </c>
      <c r="U627" s="1">
        <v>0</v>
      </c>
      <c r="V627" s="1">
        <v>0</v>
      </c>
      <c r="W627" s="4">
        <f t="shared" si="28"/>
        <v>52277604.289838307</v>
      </c>
      <c r="X627" s="4">
        <f t="shared" si="29"/>
        <v>52277604.289838307</v>
      </c>
      <c r="Y627" s="5">
        <f t="shared" si="30"/>
        <v>0.65499999999658298</v>
      </c>
    </row>
    <row r="628" spans="1:25" x14ac:dyDescent="0.25">
      <c r="A628" s="1" t="s">
        <v>107</v>
      </c>
      <c r="B628" s="1" t="s">
        <v>62</v>
      </c>
      <c r="C628" s="1" t="s">
        <v>63</v>
      </c>
      <c r="D628" s="1">
        <v>17642857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1323214.2857142857</v>
      </c>
      <c r="N628" s="1">
        <v>1323214.2857142857</v>
      </c>
      <c r="O628" s="1">
        <v>1102678.5714285714</v>
      </c>
      <c r="P628" s="1">
        <v>1102678.5714285714</v>
      </c>
      <c r="Q628" s="1">
        <v>1543749.9999999998</v>
      </c>
      <c r="R628" s="1">
        <v>1543749.9999999998</v>
      </c>
      <c r="S628" s="1">
        <v>1543749.9999999998</v>
      </c>
      <c r="T628" s="1">
        <v>1543749.9999999998</v>
      </c>
      <c r="U628" s="1">
        <v>1543749.9999999998</v>
      </c>
      <c r="V628" s="1">
        <v>1543749.9999999998</v>
      </c>
      <c r="W628" s="4">
        <f t="shared" si="28"/>
        <v>7057142.8571428563</v>
      </c>
      <c r="X628" s="4">
        <f t="shared" si="29"/>
        <v>7057142.8571428563</v>
      </c>
      <c r="Y628" s="5">
        <f t="shared" si="30"/>
        <v>0.40000000323886636</v>
      </c>
    </row>
    <row r="629" spans="1:25" x14ac:dyDescent="0.25">
      <c r="A629" s="1" t="s">
        <v>107</v>
      </c>
      <c r="B629" s="1" t="s">
        <v>40</v>
      </c>
      <c r="C629" s="1" t="s">
        <v>27</v>
      </c>
      <c r="D629" s="1">
        <v>99491151</v>
      </c>
      <c r="E629" s="1">
        <v>11416382</v>
      </c>
      <c r="F629" s="1">
        <v>11416382</v>
      </c>
      <c r="G629" s="1">
        <v>18819204</v>
      </c>
      <c r="H629" s="1">
        <v>18819204</v>
      </c>
      <c r="I629" s="1">
        <v>7791952</v>
      </c>
      <c r="J629" s="1">
        <v>7791952</v>
      </c>
      <c r="K629" s="1">
        <v>10602867</v>
      </c>
      <c r="L629" s="1">
        <v>10602867</v>
      </c>
      <c r="M629" s="1">
        <v>0</v>
      </c>
      <c r="N629" s="1">
        <v>0</v>
      </c>
      <c r="O629" s="1">
        <v>14879371</v>
      </c>
      <c r="P629" s="1">
        <v>14879371</v>
      </c>
      <c r="Q629" s="1">
        <v>10672829</v>
      </c>
      <c r="R629" s="1">
        <v>10672829</v>
      </c>
      <c r="S629" s="1">
        <v>6738594</v>
      </c>
      <c r="T629" s="1">
        <v>6738594</v>
      </c>
      <c r="U629" s="1">
        <v>4980711</v>
      </c>
      <c r="V629" s="1">
        <v>4980711</v>
      </c>
      <c r="W629" s="4">
        <f t="shared" si="28"/>
        <v>85901910</v>
      </c>
      <c r="X629" s="4">
        <f t="shared" si="29"/>
        <v>85901910</v>
      </c>
      <c r="Y629" s="5">
        <f t="shared" si="30"/>
        <v>0.86341256620902895</v>
      </c>
    </row>
    <row r="630" spans="1:25" x14ac:dyDescent="0.25">
      <c r="A630" s="1" t="s">
        <v>107</v>
      </c>
      <c r="B630" s="1" t="s">
        <v>41</v>
      </c>
      <c r="C630" s="1" t="s">
        <v>27</v>
      </c>
      <c r="D630" s="1">
        <v>120000000</v>
      </c>
      <c r="E630" s="1">
        <v>0</v>
      </c>
      <c r="F630" s="1">
        <v>0</v>
      </c>
      <c r="G630" s="1">
        <v>7500000</v>
      </c>
      <c r="H630" s="1">
        <v>7500000</v>
      </c>
      <c r="I630" s="1">
        <v>0</v>
      </c>
      <c r="J630" s="1">
        <v>0</v>
      </c>
      <c r="K630" s="1">
        <v>7500000</v>
      </c>
      <c r="L630" s="1">
        <v>7500000</v>
      </c>
      <c r="M630" s="1">
        <v>25500000</v>
      </c>
      <c r="N630" s="1">
        <v>25500000</v>
      </c>
      <c r="O630" s="1">
        <v>54000000</v>
      </c>
      <c r="P630" s="1">
        <v>54000000</v>
      </c>
      <c r="Q630" s="1">
        <v>25500000</v>
      </c>
      <c r="R630" s="1">
        <v>25500000</v>
      </c>
      <c r="S630" s="1">
        <v>0</v>
      </c>
      <c r="T630" s="1">
        <v>0</v>
      </c>
      <c r="U630" s="1">
        <v>0</v>
      </c>
      <c r="V630" s="1">
        <v>0</v>
      </c>
      <c r="W630" s="4">
        <f t="shared" si="28"/>
        <v>120000000</v>
      </c>
      <c r="X630" s="4">
        <f t="shared" si="29"/>
        <v>120000000</v>
      </c>
      <c r="Y630" s="5">
        <f t="shared" si="30"/>
        <v>1</v>
      </c>
    </row>
    <row r="631" spans="1:25" x14ac:dyDescent="0.25">
      <c r="A631" s="1" t="s">
        <v>107</v>
      </c>
      <c r="B631" s="1" t="s">
        <v>42</v>
      </c>
      <c r="C631" s="1" t="s">
        <v>27</v>
      </c>
      <c r="D631" s="1">
        <v>23512952</v>
      </c>
      <c r="E631" s="1">
        <v>0</v>
      </c>
      <c r="F631" s="1">
        <v>0</v>
      </c>
      <c r="G631" s="1">
        <v>14000000</v>
      </c>
      <c r="H631" s="1">
        <v>14000000</v>
      </c>
      <c r="I631" s="1">
        <v>0</v>
      </c>
      <c r="J631" s="1">
        <v>0</v>
      </c>
      <c r="K631" s="1">
        <v>2560949.045188576</v>
      </c>
      <c r="L631" s="1">
        <v>2560949.045188576</v>
      </c>
      <c r="M631" s="1">
        <v>2607001.108054284</v>
      </c>
      <c r="N631" s="1">
        <v>2607001.108054284</v>
      </c>
      <c r="O631" s="1">
        <v>1738000.738702856</v>
      </c>
      <c r="P631" s="1">
        <v>1738000.738702856</v>
      </c>
      <c r="Q631" s="1">
        <v>2607001.108054284</v>
      </c>
      <c r="R631" s="1">
        <v>2607001.108054284</v>
      </c>
      <c r="S631" s="1">
        <v>0</v>
      </c>
      <c r="T631" s="1">
        <v>0</v>
      </c>
      <c r="U631" s="1">
        <v>0</v>
      </c>
      <c r="V631" s="1">
        <v>0</v>
      </c>
      <c r="W631" s="4">
        <f t="shared" si="28"/>
        <v>23512952</v>
      </c>
      <c r="X631" s="4">
        <f t="shared" si="29"/>
        <v>23512952</v>
      </c>
      <c r="Y631" s="5">
        <f t="shared" si="30"/>
        <v>1</v>
      </c>
    </row>
    <row r="632" spans="1:25" x14ac:dyDescent="0.25">
      <c r="A632" s="1" t="s">
        <v>107</v>
      </c>
      <c r="B632" s="1" t="s">
        <v>43</v>
      </c>
      <c r="C632" s="1" t="s">
        <v>31</v>
      </c>
      <c r="D632" s="1">
        <v>3740314</v>
      </c>
      <c r="E632" s="1">
        <v>217268.86852234707</v>
      </c>
      <c r="F632" s="1">
        <v>217268.86852234707</v>
      </c>
      <c r="G632" s="1">
        <v>271586.08565293381</v>
      </c>
      <c r="H632" s="1">
        <v>271586.08565293381</v>
      </c>
      <c r="I632" s="1">
        <v>271586.08565293381</v>
      </c>
      <c r="J632" s="1">
        <v>271586.08565293381</v>
      </c>
      <c r="K632" s="1">
        <v>271586.08565293381</v>
      </c>
      <c r="L632" s="1">
        <v>271586.08565293381</v>
      </c>
      <c r="M632" s="1">
        <v>201944.50798309685</v>
      </c>
      <c r="N632" s="1">
        <v>201944.50798309685</v>
      </c>
      <c r="O632" s="1">
        <v>168287.08998591403</v>
      </c>
      <c r="P632" s="1">
        <v>168287.08998591403</v>
      </c>
      <c r="Q632" s="1">
        <v>208565.27830982747</v>
      </c>
      <c r="R632" s="1">
        <v>208565.27830982747</v>
      </c>
      <c r="S632" s="1">
        <v>235601.92598027963</v>
      </c>
      <c r="T632" s="1">
        <v>235601.92598027963</v>
      </c>
      <c r="U632" s="1">
        <v>235601.92598027963</v>
      </c>
      <c r="V632" s="1">
        <v>235601.92598027963</v>
      </c>
      <c r="W632" s="4">
        <f t="shared" si="28"/>
        <v>2082027.8537205462</v>
      </c>
      <c r="X632" s="4">
        <f t="shared" si="29"/>
        <v>2082027.8537205462</v>
      </c>
      <c r="Y632" s="5">
        <f t="shared" si="30"/>
        <v>0.55664520511394133</v>
      </c>
    </row>
    <row r="633" spans="1:25" x14ac:dyDescent="0.25">
      <c r="A633" s="1" t="s">
        <v>107</v>
      </c>
      <c r="B633" s="1" t="s">
        <v>64</v>
      </c>
      <c r="C633" s="1" t="s">
        <v>23</v>
      </c>
      <c r="D633" s="1">
        <v>4787026.0432022549</v>
      </c>
      <c r="E633" s="1">
        <v>315943.71885134885</v>
      </c>
      <c r="F633" s="1">
        <v>315943.71885134885</v>
      </c>
      <c r="G633" s="1">
        <v>394929.64856418606</v>
      </c>
      <c r="H633" s="1">
        <v>394929.64856418606</v>
      </c>
      <c r="I633" s="1">
        <v>394929.64856418606</v>
      </c>
      <c r="J633" s="1">
        <v>394929.64856418606</v>
      </c>
      <c r="K633" s="1">
        <v>394929.64856418606</v>
      </c>
      <c r="L633" s="1">
        <v>394929.64856418606</v>
      </c>
      <c r="M633" s="1">
        <v>240548.05867091328</v>
      </c>
      <c r="N633" s="1">
        <v>240548.05867091328</v>
      </c>
      <c r="O633" s="1">
        <v>200456.71555909442</v>
      </c>
      <c r="P633" s="1">
        <v>200456.71555909442</v>
      </c>
      <c r="Q633" s="1">
        <v>280639.40178273217</v>
      </c>
      <c r="R633" s="1">
        <v>280639.40178273217</v>
      </c>
      <c r="S633" s="1">
        <v>280639.40178273217</v>
      </c>
      <c r="T633" s="1">
        <v>280639.40178273217</v>
      </c>
      <c r="U633" s="1">
        <v>280639.40178273217</v>
      </c>
      <c r="V633" s="1">
        <v>280639.40178273217</v>
      </c>
      <c r="W633" s="4">
        <f t="shared" si="28"/>
        <v>2783655.6441221111</v>
      </c>
      <c r="X633" s="4">
        <f t="shared" si="29"/>
        <v>2783655.6441221111</v>
      </c>
      <c r="Y633" s="5">
        <f t="shared" si="30"/>
        <v>0.58150000000000002</v>
      </c>
    </row>
    <row r="634" spans="1:25" x14ac:dyDescent="0.25">
      <c r="A634" s="1" t="s">
        <v>107</v>
      </c>
      <c r="B634" s="1" t="s">
        <v>65</v>
      </c>
      <c r="C634" s="1" t="s">
        <v>31</v>
      </c>
      <c r="D634" s="1">
        <v>7163071.0302392039</v>
      </c>
      <c r="E634" s="1">
        <v>472762.68799578754</v>
      </c>
      <c r="F634" s="1">
        <v>472762.68799578754</v>
      </c>
      <c r="G634" s="1">
        <v>590953.3599947344</v>
      </c>
      <c r="H634" s="1">
        <v>590953.3599947344</v>
      </c>
      <c r="I634" s="1">
        <v>590953.3599947344</v>
      </c>
      <c r="J634" s="1">
        <v>590953.3599947344</v>
      </c>
      <c r="K634" s="1">
        <v>590953.3599947344</v>
      </c>
      <c r="L634" s="1">
        <v>590953.3599947344</v>
      </c>
      <c r="M634" s="1">
        <v>359944.31926951994</v>
      </c>
      <c r="N634" s="1">
        <v>359944.31926951994</v>
      </c>
      <c r="O634" s="1">
        <v>299953.59939126665</v>
      </c>
      <c r="P634" s="1">
        <v>299953.59939126665</v>
      </c>
      <c r="Q634" s="1">
        <v>419935.03914777329</v>
      </c>
      <c r="R634" s="1">
        <v>419935.03914777329</v>
      </c>
      <c r="S634" s="1">
        <v>419935.03914777329</v>
      </c>
      <c r="T634" s="1">
        <v>419935.03914777329</v>
      </c>
      <c r="U634" s="1">
        <v>419935.03914777329</v>
      </c>
      <c r="V634" s="1">
        <v>419935.03914777329</v>
      </c>
      <c r="W634" s="4">
        <f t="shared" si="28"/>
        <v>4165325.804084098</v>
      </c>
      <c r="X634" s="4">
        <f t="shared" si="29"/>
        <v>4165325.804084098</v>
      </c>
      <c r="Y634" s="5">
        <f t="shared" si="30"/>
        <v>0.58150000000000013</v>
      </c>
    </row>
    <row r="635" spans="1:25" x14ac:dyDescent="0.25">
      <c r="A635" s="1" t="s">
        <v>107</v>
      </c>
      <c r="B635" s="1" t="s">
        <v>44</v>
      </c>
      <c r="C635" s="1" t="s">
        <v>45</v>
      </c>
      <c r="D635" s="1">
        <v>8003302.2955128867</v>
      </c>
      <c r="E635" s="1">
        <v>528217.95150385052</v>
      </c>
      <c r="F635" s="1">
        <v>528217.95150385052</v>
      </c>
      <c r="G635" s="1">
        <v>660272.43937981315</v>
      </c>
      <c r="H635" s="1">
        <v>660272.43937981315</v>
      </c>
      <c r="I635" s="1">
        <v>660272.43937981315</v>
      </c>
      <c r="J635" s="1">
        <v>660272.43937981315</v>
      </c>
      <c r="K635" s="1">
        <v>660272.43937981315</v>
      </c>
      <c r="L635" s="1">
        <v>660272.43937981315</v>
      </c>
      <c r="M635" s="1">
        <v>402165.94034952257</v>
      </c>
      <c r="N635" s="1">
        <v>402165.94034952257</v>
      </c>
      <c r="O635" s="1">
        <v>335138.28362460213</v>
      </c>
      <c r="P635" s="1">
        <v>335138.28362460213</v>
      </c>
      <c r="Q635" s="1">
        <v>469193.59707444295</v>
      </c>
      <c r="R635" s="1">
        <v>469193.59707444295</v>
      </c>
      <c r="S635" s="1">
        <v>469193.59707444295</v>
      </c>
      <c r="T635" s="1">
        <v>469193.59707444295</v>
      </c>
      <c r="U635" s="1">
        <v>469193.59707444295</v>
      </c>
      <c r="V635" s="1">
        <v>469193.59707444295</v>
      </c>
      <c r="W635" s="4">
        <f t="shared" si="28"/>
        <v>4653920.284840744</v>
      </c>
      <c r="X635" s="4">
        <f t="shared" si="29"/>
        <v>4653920.284840744</v>
      </c>
      <c r="Y635" s="5">
        <f t="shared" si="30"/>
        <v>0.58150000000000002</v>
      </c>
    </row>
    <row r="636" spans="1:25" x14ac:dyDescent="0.25">
      <c r="A636" s="1" t="s">
        <v>107</v>
      </c>
      <c r="B636" s="1" t="s">
        <v>46</v>
      </c>
      <c r="C636" s="1" t="s">
        <v>22</v>
      </c>
      <c r="D636" s="1">
        <v>55575110.116710328</v>
      </c>
      <c r="E636" s="1">
        <v>3671393.1437231349</v>
      </c>
      <c r="F636" s="1">
        <v>3671393.1437231349</v>
      </c>
      <c r="G636" s="1">
        <v>4589241.4296539184</v>
      </c>
      <c r="H636" s="1">
        <v>4589241.4296539184</v>
      </c>
      <c r="I636" s="1">
        <v>4589241.4296539184</v>
      </c>
      <c r="J636" s="1">
        <v>4589241.4296539184</v>
      </c>
      <c r="K636" s="1">
        <v>4589241.4296539184</v>
      </c>
      <c r="L636" s="1">
        <v>4589241.4296539184</v>
      </c>
      <c r="M636" s="1">
        <v>2879598.1099545662</v>
      </c>
      <c r="N636" s="1">
        <v>2879598.1099545662</v>
      </c>
      <c r="O636" s="1">
        <v>2341658.9321404011</v>
      </c>
      <c r="P636" s="1">
        <v>2341658.9321404011</v>
      </c>
      <c r="Q636" s="1">
        <v>3241881.4262622595</v>
      </c>
      <c r="R636" s="1">
        <v>13241881.426262259</v>
      </c>
      <c r="S636" s="1">
        <v>1241881.4262622599</v>
      </c>
      <c r="T636" s="1">
        <v>1241881.4262622599</v>
      </c>
      <c r="U636" s="1">
        <v>1241881.4262622599</v>
      </c>
      <c r="V636" s="1">
        <v>1241881.4262622599</v>
      </c>
      <c r="W636" s="4">
        <f t="shared" si="28"/>
        <v>28386018.753566634</v>
      </c>
      <c r="X636" s="4">
        <f t="shared" si="29"/>
        <v>38386018.753566645</v>
      </c>
      <c r="Y636" s="5">
        <f t="shared" si="30"/>
        <v>0.69070522168924564</v>
      </c>
    </row>
    <row r="637" spans="1:25" x14ac:dyDescent="0.25">
      <c r="A637" s="1" t="s">
        <v>107</v>
      </c>
      <c r="B637" s="1" t="s">
        <v>66</v>
      </c>
      <c r="C637" s="1" t="s">
        <v>24</v>
      </c>
      <c r="D637" s="1">
        <v>186557307.11479989</v>
      </c>
      <c r="E637" s="1">
        <v>15390977.836970991</v>
      </c>
      <c r="F637" s="1">
        <v>15390977.836970991</v>
      </c>
      <c r="G637" s="1">
        <v>15390977.836970991</v>
      </c>
      <c r="H637" s="1">
        <v>15390977.836970991</v>
      </c>
      <c r="I637" s="1">
        <v>15390977.836970991</v>
      </c>
      <c r="J637" s="1">
        <v>15390977.836970991</v>
      </c>
      <c r="K637" s="1">
        <v>15390977.836970991</v>
      </c>
      <c r="L637" s="1">
        <v>15390977.836970991</v>
      </c>
      <c r="M637" s="1">
        <v>15508088.652116038</v>
      </c>
      <c r="N637" s="1">
        <v>15508088.652116038</v>
      </c>
      <c r="O637" s="1">
        <v>15810307</v>
      </c>
      <c r="P637" s="1">
        <v>15810307</v>
      </c>
      <c r="Q637" s="1">
        <v>16254000</v>
      </c>
      <c r="R637" s="1">
        <v>16254000</v>
      </c>
      <c r="S637" s="1">
        <v>15653000</v>
      </c>
      <c r="T637" s="1">
        <v>15653000</v>
      </c>
      <c r="U637" s="1">
        <v>15393000</v>
      </c>
      <c r="V637" s="1">
        <v>15393000</v>
      </c>
      <c r="W637" s="4">
        <f t="shared" si="28"/>
        <v>140182306.99999997</v>
      </c>
      <c r="X637" s="4">
        <f t="shared" si="29"/>
        <v>140182306.99999997</v>
      </c>
      <c r="Y637" s="5">
        <f t="shared" si="30"/>
        <v>0.75141686577699907</v>
      </c>
    </row>
    <row r="638" spans="1:25" x14ac:dyDescent="0.25">
      <c r="A638" s="1" t="s">
        <v>107</v>
      </c>
      <c r="B638" s="1" t="s">
        <v>67</v>
      </c>
      <c r="C638" s="1" t="s">
        <v>68</v>
      </c>
      <c r="D638" s="1">
        <v>5916750.6585043678</v>
      </c>
      <c r="E638" s="1">
        <v>390505.54346128833</v>
      </c>
      <c r="F638" s="1">
        <v>390505.54346128833</v>
      </c>
      <c r="G638" s="1">
        <v>488131.92932661035</v>
      </c>
      <c r="H638" s="1">
        <v>488131.92932661035</v>
      </c>
      <c r="I638" s="1">
        <v>488131.92932661035</v>
      </c>
      <c r="J638" s="1">
        <v>488131.92932661035</v>
      </c>
      <c r="K638" s="1">
        <v>488131.92932661035</v>
      </c>
      <c r="L638" s="1">
        <v>488131.92932661035</v>
      </c>
      <c r="M638" s="1">
        <v>307671.03424222715</v>
      </c>
      <c r="N638" s="1">
        <v>307671.03424222715</v>
      </c>
      <c r="O638" s="1">
        <v>246531.277437682</v>
      </c>
      <c r="P638" s="1">
        <v>246531.277437682</v>
      </c>
      <c r="Q638" s="1">
        <v>345143.78841275477</v>
      </c>
      <c r="R638" s="1">
        <v>345143.78841275477</v>
      </c>
      <c r="S638" s="1">
        <v>345143.78841275477</v>
      </c>
      <c r="T638" s="1">
        <v>345143.78841275477</v>
      </c>
      <c r="U638" s="1">
        <v>345143.78841275477</v>
      </c>
      <c r="V638" s="1">
        <v>345143.78841275477</v>
      </c>
      <c r="W638" s="4">
        <f t="shared" si="28"/>
        <v>3444535.0083592925</v>
      </c>
      <c r="X638" s="4">
        <f t="shared" si="29"/>
        <v>3444535.0083592925</v>
      </c>
      <c r="Y638" s="5">
        <f t="shared" si="30"/>
        <v>0.58216666666666661</v>
      </c>
    </row>
    <row r="639" spans="1:25" x14ac:dyDescent="0.25">
      <c r="A639" s="1" t="s">
        <v>107</v>
      </c>
      <c r="B639" s="1" t="s">
        <v>69</v>
      </c>
      <c r="C639" s="1" t="s">
        <v>28</v>
      </c>
      <c r="D639" s="1">
        <v>4883786.1306784712</v>
      </c>
      <c r="E639" s="1">
        <v>322329.88462477917</v>
      </c>
      <c r="F639" s="1">
        <v>322329.88462477917</v>
      </c>
      <c r="G639" s="1">
        <v>402912.35578097391</v>
      </c>
      <c r="H639" s="1">
        <v>402912.35578097391</v>
      </c>
      <c r="I639" s="1">
        <v>402912.35578097391</v>
      </c>
      <c r="J639" s="1">
        <v>402912.35578097391</v>
      </c>
      <c r="K639" s="1">
        <v>402912.35578097391</v>
      </c>
      <c r="L639" s="1">
        <v>402912.35578097391</v>
      </c>
      <c r="M639" s="1">
        <v>245410.25306659314</v>
      </c>
      <c r="N639" s="1">
        <v>245410.25306659314</v>
      </c>
      <c r="O639" s="1">
        <v>204508.54422216097</v>
      </c>
      <c r="P639" s="1">
        <v>204508.54422216097</v>
      </c>
      <c r="Q639" s="1">
        <v>286311.96191102534</v>
      </c>
      <c r="R639" s="1">
        <v>286311.96191102534</v>
      </c>
      <c r="S639" s="1">
        <v>286311.96191102534</v>
      </c>
      <c r="T639" s="1">
        <v>286311.96191102534</v>
      </c>
      <c r="U639" s="1">
        <v>286311.96191102534</v>
      </c>
      <c r="V639" s="1">
        <v>286311.96191102534</v>
      </c>
      <c r="W639" s="4">
        <f t="shared" si="28"/>
        <v>2839921.6349895312</v>
      </c>
      <c r="X639" s="4">
        <f t="shared" si="29"/>
        <v>2839921.6349895312</v>
      </c>
      <c r="Y639" s="5">
        <f t="shared" si="30"/>
        <v>0.58150000000000002</v>
      </c>
    </row>
    <row r="640" spans="1:25" x14ac:dyDescent="0.25">
      <c r="A640" s="1" t="s">
        <v>107</v>
      </c>
      <c r="B640" s="1" t="s">
        <v>70</v>
      </c>
      <c r="C640" s="1" t="s">
        <v>23</v>
      </c>
      <c r="D640" s="1">
        <v>9646875.0213281233</v>
      </c>
      <c r="E640" s="1">
        <v>636693.75140765624</v>
      </c>
      <c r="F640" s="1">
        <v>636693.75140765624</v>
      </c>
      <c r="G640" s="1">
        <v>795867.18925957021</v>
      </c>
      <c r="H640" s="1">
        <v>795867.18925957021</v>
      </c>
      <c r="I640" s="1">
        <v>795867.18925957021</v>
      </c>
      <c r="J640" s="1">
        <v>795867.18925957021</v>
      </c>
      <c r="K640" s="1">
        <v>795867.18925957021</v>
      </c>
      <c r="L640" s="1">
        <v>795867.18925957021</v>
      </c>
      <c r="M640" s="1">
        <v>484755.4698217382</v>
      </c>
      <c r="N640" s="1">
        <v>484755.4698217382</v>
      </c>
      <c r="O640" s="1">
        <v>403962.89151811518</v>
      </c>
      <c r="P640" s="1">
        <v>403962.89151811518</v>
      </c>
      <c r="Q640" s="1">
        <v>565548.04812536121</v>
      </c>
      <c r="R640" s="1">
        <v>565548.04812536121</v>
      </c>
      <c r="S640" s="1">
        <v>565548.04812536121</v>
      </c>
      <c r="T640" s="1">
        <v>565548.04812536121</v>
      </c>
      <c r="U640" s="1">
        <v>565548.04812536121</v>
      </c>
      <c r="V640" s="1">
        <v>565548.04812536121</v>
      </c>
      <c r="W640" s="4">
        <f t="shared" si="28"/>
        <v>5609657.8249023035</v>
      </c>
      <c r="X640" s="4">
        <f t="shared" si="29"/>
        <v>5609657.8249023035</v>
      </c>
      <c r="Y640" s="5">
        <f t="shared" si="30"/>
        <v>0.58150000000000002</v>
      </c>
    </row>
    <row r="641" spans="1:25" x14ac:dyDescent="0.25">
      <c r="A641" s="1" t="s">
        <v>107</v>
      </c>
      <c r="B641" s="1" t="s">
        <v>71</v>
      </c>
      <c r="C641" s="1" t="s">
        <v>29</v>
      </c>
      <c r="D641" s="1">
        <v>7187638.6211538427</v>
      </c>
      <c r="E641" s="1">
        <v>474384.14899615367</v>
      </c>
      <c r="F641" s="1">
        <v>474384.14899615367</v>
      </c>
      <c r="G641" s="1">
        <v>592980.18624519208</v>
      </c>
      <c r="H641" s="1">
        <v>592980.18624519208</v>
      </c>
      <c r="I641" s="1">
        <v>592980.18624519208</v>
      </c>
      <c r="J641" s="1">
        <v>592980.18624519208</v>
      </c>
      <c r="K641" s="1">
        <v>592980.18624519208</v>
      </c>
      <c r="L641" s="1">
        <v>592980.18624519208</v>
      </c>
      <c r="M641" s="1">
        <v>361178.84071298054</v>
      </c>
      <c r="N641" s="1">
        <v>361178.84071298054</v>
      </c>
      <c r="O641" s="1">
        <v>300982.36726081715</v>
      </c>
      <c r="P641" s="1">
        <v>300982.36726081715</v>
      </c>
      <c r="Q641" s="1">
        <v>421375.31416514399</v>
      </c>
      <c r="R641" s="1">
        <v>421375.31416514399</v>
      </c>
      <c r="S641" s="1">
        <v>421375.31416514399</v>
      </c>
      <c r="T641" s="1">
        <v>421375.31416514399</v>
      </c>
      <c r="U641" s="1">
        <v>421375.31416514399</v>
      </c>
      <c r="V641" s="1">
        <v>421375.31416514399</v>
      </c>
      <c r="W641" s="4">
        <f t="shared" si="28"/>
        <v>4179611.8582009599</v>
      </c>
      <c r="X641" s="4">
        <f t="shared" si="29"/>
        <v>4179611.8582009599</v>
      </c>
      <c r="Y641" s="5">
        <f t="shared" si="30"/>
        <v>0.58150000000000002</v>
      </c>
    </row>
    <row r="642" spans="1:25" x14ac:dyDescent="0.25">
      <c r="A642" s="1" t="s">
        <v>107</v>
      </c>
      <c r="B642" s="1" t="s">
        <v>72</v>
      </c>
      <c r="C642" s="1" t="s">
        <v>73</v>
      </c>
      <c r="D642" s="1">
        <v>4873368.9574125158</v>
      </c>
      <c r="E642" s="1">
        <v>321642.35118922609</v>
      </c>
      <c r="F642" s="1">
        <v>321642.35118922609</v>
      </c>
      <c r="G642" s="1">
        <v>402052.93898653256</v>
      </c>
      <c r="H642" s="1">
        <v>402052.93898653256</v>
      </c>
      <c r="I642" s="1">
        <v>402052.93898653256</v>
      </c>
      <c r="J642" s="1">
        <v>402052.93898653256</v>
      </c>
      <c r="K642" s="1">
        <v>402052.93898653256</v>
      </c>
      <c r="L642" s="1">
        <v>402052.93898653256</v>
      </c>
      <c r="M642" s="1">
        <v>244886.79010997887</v>
      </c>
      <c r="N642" s="1">
        <v>244886.79010997887</v>
      </c>
      <c r="O642" s="1">
        <v>204072.32509164908</v>
      </c>
      <c r="P642" s="1">
        <v>204072.32509164908</v>
      </c>
      <c r="Q642" s="1">
        <v>285701.25512830867</v>
      </c>
      <c r="R642" s="1">
        <v>285701.25512830867</v>
      </c>
      <c r="S642" s="1">
        <v>285701.25512830867</v>
      </c>
      <c r="T642" s="1">
        <v>285701.25512830867</v>
      </c>
      <c r="U642" s="1">
        <v>285701.25512830867</v>
      </c>
      <c r="V642" s="1">
        <v>285701.25512830867</v>
      </c>
      <c r="W642" s="4">
        <f t="shared" si="28"/>
        <v>2833864.0487353774</v>
      </c>
      <c r="X642" s="4">
        <f t="shared" si="29"/>
        <v>2833864.0487353774</v>
      </c>
      <c r="Y642" s="5">
        <f t="shared" si="30"/>
        <v>0.58149999999999991</v>
      </c>
    </row>
    <row r="643" spans="1:25" x14ac:dyDescent="0.25">
      <c r="A643" s="1" t="s">
        <v>107</v>
      </c>
      <c r="B643" s="1" t="s">
        <v>48</v>
      </c>
      <c r="C643" s="1" t="s">
        <v>49</v>
      </c>
      <c r="D643" s="1">
        <v>4001633.3956418978</v>
      </c>
      <c r="E643" s="1">
        <v>264107.80411236529</v>
      </c>
      <c r="F643" s="1">
        <v>264107.80411236529</v>
      </c>
      <c r="G643" s="1">
        <v>330134.7551404566</v>
      </c>
      <c r="H643" s="1">
        <v>330134.7551404566</v>
      </c>
      <c r="I643" s="1">
        <v>330134.7551404566</v>
      </c>
      <c r="J643" s="1">
        <v>330134.7551404566</v>
      </c>
      <c r="K643" s="1">
        <v>330134.7551404566</v>
      </c>
      <c r="L643" s="1">
        <v>330134.7551404566</v>
      </c>
      <c r="M643" s="1">
        <v>201082.07813100543</v>
      </c>
      <c r="N643" s="1">
        <v>201082.07813100543</v>
      </c>
      <c r="O643" s="1">
        <v>167568.39844250452</v>
      </c>
      <c r="P643" s="1">
        <v>167568.39844250452</v>
      </c>
      <c r="Q643" s="1">
        <v>234595.75781950631</v>
      </c>
      <c r="R643" s="1">
        <v>234595.75781950631</v>
      </c>
      <c r="S643" s="1">
        <v>234595.75781950631</v>
      </c>
      <c r="T643" s="1">
        <v>234595.75781950631</v>
      </c>
      <c r="U643" s="1">
        <v>234595.75781950631</v>
      </c>
      <c r="V643" s="1">
        <v>234595.75781950631</v>
      </c>
      <c r="W643" s="4">
        <f t="shared" ref="W643:W706" si="31">U643+S643+Q643+O643+M643+K643+I643+G643+E643</f>
        <v>2326949.8195657642</v>
      </c>
      <c r="X643" s="4">
        <f t="shared" ref="X643:X706" si="32">V643+T643+R643+P643+N643+L643+J643+H643+F643</f>
        <v>2326949.8195657642</v>
      </c>
      <c r="Y643" s="5">
        <f t="shared" ref="Y643:Y706" si="33">X643/D643</f>
        <v>0.58150000000000013</v>
      </c>
    </row>
    <row r="644" spans="1:25" x14ac:dyDescent="0.25">
      <c r="A644" s="1" t="s">
        <v>107</v>
      </c>
      <c r="B644" s="1" t="s">
        <v>53</v>
      </c>
      <c r="C644" s="1" t="s">
        <v>30</v>
      </c>
      <c r="D644" s="1">
        <v>9688786.1158917695</v>
      </c>
      <c r="E644" s="1">
        <v>639459.88364885689</v>
      </c>
      <c r="F644" s="1">
        <v>639459.88364885689</v>
      </c>
      <c r="G644" s="1">
        <v>799324.85456107103</v>
      </c>
      <c r="H644" s="1">
        <v>799324.85456107103</v>
      </c>
      <c r="I644" s="1">
        <v>799324.85456107103</v>
      </c>
      <c r="J644" s="1">
        <v>799324.85456107103</v>
      </c>
      <c r="K644" s="1">
        <v>799324.85456107103</v>
      </c>
      <c r="L644" s="1">
        <v>799324.85456107103</v>
      </c>
      <c r="M644" s="1">
        <v>486861.50232356141</v>
      </c>
      <c r="N644" s="1">
        <v>486861.50232356141</v>
      </c>
      <c r="O644" s="1">
        <v>405717.91860296787</v>
      </c>
      <c r="P644" s="1">
        <v>405717.91860296787</v>
      </c>
      <c r="Q644" s="1">
        <v>568005.08604415494</v>
      </c>
      <c r="R644" s="1">
        <v>568005.08604415494</v>
      </c>
      <c r="S644" s="1">
        <v>568005.08604415494</v>
      </c>
      <c r="T644" s="1">
        <v>568005.08604415494</v>
      </c>
      <c r="U644" s="1">
        <v>568005.08604415494</v>
      </c>
      <c r="V644" s="1">
        <v>568005.08604415494</v>
      </c>
      <c r="W644" s="4">
        <f t="shared" si="31"/>
        <v>5634029.1263910634</v>
      </c>
      <c r="X644" s="4">
        <f t="shared" si="32"/>
        <v>5634029.1263910634</v>
      </c>
      <c r="Y644" s="5">
        <f t="shared" si="33"/>
        <v>0.58149999999999991</v>
      </c>
    </row>
    <row r="645" spans="1:25" x14ac:dyDescent="0.25">
      <c r="A645" s="1" t="s">
        <v>107</v>
      </c>
      <c r="B645" s="1" t="s">
        <v>74</v>
      </c>
      <c r="C645" s="1" t="s">
        <v>75</v>
      </c>
      <c r="D645" s="1">
        <v>5940301.0640891325</v>
      </c>
      <c r="E645" s="1">
        <v>392059.87022988277</v>
      </c>
      <c r="F645" s="1">
        <v>392059.87022988277</v>
      </c>
      <c r="G645" s="1">
        <v>490074.83778735343</v>
      </c>
      <c r="H645" s="1">
        <v>490074.83778735343</v>
      </c>
      <c r="I645" s="1">
        <v>490074.83778735343</v>
      </c>
      <c r="J645" s="1">
        <v>490074.83778735343</v>
      </c>
      <c r="K645" s="1">
        <v>490074.83778735343</v>
      </c>
      <c r="L645" s="1">
        <v>490074.83778735343</v>
      </c>
      <c r="M645" s="1">
        <v>298500.12847047887</v>
      </c>
      <c r="N645" s="1">
        <v>298500.12847047887</v>
      </c>
      <c r="O645" s="1">
        <v>248750.10705873242</v>
      </c>
      <c r="P645" s="1">
        <v>248750.10705873242</v>
      </c>
      <c r="Q645" s="1">
        <v>348250.14988222538</v>
      </c>
      <c r="R645" s="1">
        <v>348250.14988222538</v>
      </c>
      <c r="S645" s="1">
        <v>348250.14988222538</v>
      </c>
      <c r="T645" s="1">
        <v>348250.14988222538</v>
      </c>
      <c r="U645" s="1">
        <v>348250.14988222538</v>
      </c>
      <c r="V645" s="1">
        <v>348250.14988222538</v>
      </c>
      <c r="W645" s="4">
        <f t="shared" si="31"/>
        <v>3454285.0687678303</v>
      </c>
      <c r="X645" s="4">
        <f t="shared" si="32"/>
        <v>3454285.0687678303</v>
      </c>
      <c r="Y645" s="5">
        <f t="shared" si="33"/>
        <v>0.58149999999999991</v>
      </c>
    </row>
    <row r="646" spans="1:25" x14ac:dyDescent="0.25">
      <c r="A646" s="1" t="s">
        <v>107</v>
      </c>
      <c r="B646" s="1" t="s">
        <v>50</v>
      </c>
      <c r="C646" s="1" t="s">
        <v>25</v>
      </c>
      <c r="D646" s="1">
        <v>4201715.0654239915</v>
      </c>
      <c r="E646" s="1">
        <v>277313.19431798346</v>
      </c>
      <c r="F646" s="1">
        <v>277313.19431798346</v>
      </c>
      <c r="G646" s="1">
        <v>346641.49289747933</v>
      </c>
      <c r="H646" s="1">
        <v>346641.49289747933</v>
      </c>
      <c r="I646" s="1">
        <v>346641.49289747933</v>
      </c>
      <c r="J646" s="1">
        <v>346641.49289747933</v>
      </c>
      <c r="K646" s="1">
        <v>346641.49289747933</v>
      </c>
      <c r="L646" s="1">
        <v>346641.49289747933</v>
      </c>
      <c r="M646" s="1">
        <v>211136.18203755555</v>
      </c>
      <c r="N646" s="1">
        <v>211136.18203755555</v>
      </c>
      <c r="O646" s="1">
        <v>175946.81836462964</v>
      </c>
      <c r="P646" s="1">
        <v>175946.81836462964</v>
      </c>
      <c r="Q646" s="1">
        <v>246325.54571048147</v>
      </c>
      <c r="R646" s="1">
        <v>246325.54571048147</v>
      </c>
      <c r="S646" s="1">
        <v>246325.54571048147</v>
      </c>
      <c r="T646" s="1">
        <v>246325.54571048147</v>
      </c>
      <c r="U646" s="1">
        <v>246325.54571048147</v>
      </c>
      <c r="V646" s="1">
        <v>246325.54571048147</v>
      </c>
      <c r="W646" s="4">
        <f t="shared" si="31"/>
        <v>2443297.3105440512</v>
      </c>
      <c r="X646" s="4">
        <f t="shared" si="32"/>
        <v>2443297.3105440512</v>
      </c>
      <c r="Y646" s="5">
        <f t="shared" si="33"/>
        <v>0.58150000000000002</v>
      </c>
    </row>
    <row r="647" spans="1:25" x14ac:dyDescent="0.25">
      <c r="A647" s="1" t="s">
        <v>109</v>
      </c>
      <c r="B647" s="1" t="s">
        <v>59</v>
      </c>
      <c r="C647" s="1" t="s">
        <v>26</v>
      </c>
      <c r="D647" s="1">
        <v>34153496</v>
      </c>
      <c r="E647" s="1">
        <v>3282351.3952758084</v>
      </c>
      <c r="F647" s="1">
        <v>3282351.3952758084</v>
      </c>
      <c r="G647" s="1">
        <v>4102939.2440947602</v>
      </c>
      <c r="H647" s="1">
        <v>4102939.2440947602</v>
      </c>
      <c r="I647" s="1">
        <v>4102939.2440947602</v>
      </c>
      <c r="J647" s="1">
        <v>4102939.2440947602</v>
      </c>
      <c r="K647" s="1">
        <v>4102939.2440947602</v>
      </c>
      <c r="L647" s="1">
        <v>4102939.2440947602</v>
      </c>
      <c r="M647" s="1">
        <v>2217717.3779526204</v>
      </c>
      <c r="N647" s="1">
        <v>2217717.3779526204</v>
      </c>
      <c r="O647" s="1">
        <v>2217717.3779526204</v>
      </c>
      <c r="P647" s="1">
        <v>2217717.3779526204</v>
      </c>
      <c r="Q647" s="1">
        <v>2217717.3779526204</v>
      </c>
      <c r="R647" s="1">
        <v>2217717.3779526204</v>
      </c>
      <c r="S647" s="1">
        <v>2217717.3779526204</v>
      </c>
      <c r="T647" s="1">
        <v>2217717.3779526204</v>
      </c>
      <c r="U647" s="1">
        <v>2217717.3779526204</v>
      </c>
      <c r="V647" s="1">
        <v>2217717.3779526204</v>
      </c>
      <c r="W647" s="4">
        <f t="shared" si="31"/>
        <v>26679756.017323188</v>
      </c>
      <c r="X647" s="4">
        <f t="shared" si="32"/>
        <v>26679756.017323188</v>
      </c>
      <c r="Y647" s="5">
        <f t="shared" si="33"/>
        <v>0.78117203630700616</v>
      </c>
    </row>
    <row r="648" spans="1:25" x14ac:dyDescent="0.25">
      <c r="A648" s="1" t="s">
        <v>109</v>
      </c>
      <c r="B648" s="1" t="s">
        <v>60</v>
      </c>
      <c r="C648" s="1" t="s">
        <v>26</v>
      </c>
      <c r="D648" s="1">
        <v>15579101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7789550.5</v>
      </c>
      <c r="N648" s="1">
        <v>7789550.5</v>
      </c>
      <c r="O648" s="1">
        <v>7789550.5</v>
      </c>
      <c r="P648" s="1">
        <v>7789550.5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4">
        <f t="shared" si="31"/>
        <v>15579101</v>
      </c>
      <c r="X648" s="4">
        <f t="shared" si="32"/>
        <v>15579101</v>
      </c>
      <c r="Y648" s="5">
        <f t="shared" si="33"/>
        <v>1</v>
      </c>
    </row>
    <row r="649" spans="1:25" x14ac:dyDescent="0.25">
      <c r="A649" s="1" t="s">
        <v>109</v>
      </c>
      <c r="B649" s="1" t="s">
        <v>33</v>
      </c>
      <c r="C649" s="1" t="s">
        <v>34</v>
      </c>
      <c r="D649" s="1">
        <v>60000000</v>
      </c>
      <c r="E649" s="1">
        <v>0</v>
      </c>
      <c r="F649" s="1">
        <v>0</v>
      </c>
      <c r="G649" s="1">
        <v>12000000</v>
      </c>
      <c r="H649" s="1">
        <v>12000000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18000000</v>
      </c>
      <c r="P649" s="1">
        <v>18000000</v>
      </c>
      <c r="Q649" s="1">
        <v>0</v>
      </c>
      <c r="R649" s="1">
        <v>0</v>
      </c>
      <c r="S649" s="1">
        <v>18000000</v>
      </c>
      <c r="T649" s="1">
        <v>18000000</v>
      </c>
      <c r="U649" s="1">
        <v>12000000</v>
      </c>
      <c r="V649" s="1">
        <v>12000000</v>
      </c>
      <c r="W649" s="4">
        <f t="shared" si="31"/>
        <v>60000000</v>
      </c>
      <c r="X649" s="4">
        <f t="shared" si="32"/>
        <v>60000000</v>
      </c>
      <c r="Y649" s="5">
        <f t="shared" si="33"/>
        <v>1</v>
      </c>
    </row>
    <row r="650" spans="1:25" x14ac:dyDescent="0.25">
      <c r="A650" s="1" t="s">
        <v>109</v>
      </c>
      <c r="B650" s="1" t="s">
        <v>35</v>
      </c>
      <c r="C650" s="1" t="s">
        <v>34</v>
      </c>
      <c r="D650" s="1">
        <v>150000000</v>
      </c>
      <c r="E650" s="1">
        <v>0</v>
      </c>
      <c r="F650" s="1">
        <v>0</v>
      </c>
      <c r="G650" s="1">
        <v>41250000</v>
      </c>
      <c r="H650" s="1">
        <v>41250000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36250000</v>
      </c>
      <c r="P650" s="1">
        <v>36250000</v>
      </c>
      <c r="Q650" s="1">
        <v>0</v>
      </c>
      <c r="R650" s="1">
        <v>0</v>
      </c>
      <c r="S650" s="1">
        <v>36250000</v>
      </c>
      <c r="T650" s="1">
        <v>36250000</v>
      </c>
      <c r="U650" s="1">
        <v>36250000</v>
      </c>
      <c r="V650" s="1">
        <v>36250000</v>
      </c>
      <c r="W650" s="4">
        <f t="shared" si="31"/>
        <v>150000000</v>
      </c>
      <c r="X650" s="4">
        <f t="shared" si="32"/>
        <v>150000000</v>
      </c>
      <c r="Y650" s="5">
        <f t="shared" si="33"/>
        <v>1</v>
      </c>
    </row>
    <row r="651" spans="1:25" x14ac:dyDescent="0.25">
      <c r="A651" s="1" t="s">
        <v>109</v>
      </c>
      <c r="B651" s="1" t="s">
        <v>38</v>
      </c>
      <c r="C651" s="1" t="s">
        <v>39</v>
      </c>
      <c r="D651" s="1">
        <v>8088907.9214600986</v>
      </c>
      <c r="E651" s="1">
        <v>533867.92281636654</v>
      </c>
      <c r="F651" s="1">
        <v>533867.92281636654</v>
      </c>
      <c r="G651" s="1">
        <v>667334.90352045815</v>
      </c>
      <c r="H651" s="1">
        <v>667334.90352045815</v>
      </c>
      <c r="I651" s="1">
        <v>667334.90352045815</v>
      </c>
      <c r="J651" s="1">
        <v>667334.90352045815</v>
      </c>
      <c r="K651" s="1">
        <v>667334.90352045815</v>
      </c>
      <c r="L651" s="1">
        <v>667334.90352045815</v>
      </c>
      <c r="M651" s="1">
        <v>406467.62305336987</v>
      </c>
      <c r="N651" s="1">
        <v>406467.62305336987</v>
      </c>
      <c r="O651" s="1">
        <v>338723.01921114157</v>
      </c>
      <c r="P651" s="1">
        <v>338723.01921114157</v>
      </c>
      <c r="Q651" s="1">
        <v>474212.22689559817</v>
      </c>
      <c r="R651" s="1">
        <v>474212.22689559817</v>
      </c>
      <c r="S651" s="1">
        <v>474212.22689559817</v>
      </c>
      <c r="T651" s="1">
        <v>474212.22689559817</v>
      </c>
      <c r="U651" s="1">
        <v>474212.22689559817</v>
      </c>
      <c r="V651" s="1">
        <v>474212.22689559817</v>
      </c>
      <c r="W651" s="4">
        <f t="shared" si="31"/>
        <v>4703699.9563290477</v>
      </c>
      <c r="X651" s="4">
        <f t="shared" si="32"/>
        <v>4703699.9563290477</v>
      </c>
      <c r="Y651" s="5">
        <f t="shared" si="33"/>
        <v>0.58150000000000002</v>
      </c>
    </row>
    <row r="652" spans="1:25" x14ac:dyDescent="0.25">
      <c r="A652" s="1" t="s">
        <v>109</v>
      </c>
      <c r="B652" s="1" t="s">
        <v>61</v>
      </c>
      <c r="C652" s="1" t="s">
        <v>34</v>
      </c>
      <c r="D652" s="1">
        <v>110344825.020943</v>
      </c>
      <c r="E652" s="1">
        <v>0</v>
      </c>
      <c r="F652" s="1">
        <v>0</v>
      </c>
      <c r="G652" s="1">
        <v>8827586.0006699581</v>
      </c>
      <c r="H652" s="1">
        <v>8827586.0006699581</v>
      </c>
      <c r="I652" s="1">
        <v>0</v>
      </c>
      <c r="J652" s="1">
        <v>0</v>
      </c>
      <c r="K652" s="1">
        <v>0</v>
      </c>
      <c r="L652" s="1">
        <v>0</v>
      </c>
      <c r="M652" s="1">
        <v>25379309.755068261</v>
      </c>
      <c r="N652" s="1">
        <v>25379309.755068261</v>
      </c>
      <c r="O652" s="1">
        <v>0</v>
      </c>
      <c r="P652" s="1">
        <v>0</v>
      </c>
      <c r="Q652" s="1">
        <v>0</v>
      </c>
      <c r="R652" s="1">
        <v>0</v>
      </c>
      <c r="S652" s="1">
        <v>38068964.632602394</v>
      </c>
      <c r="T652" s="1">
        <v>38068964.632602394</v>
      </c>
      <c r="U652" s="1">
        <v>0</v>
      </c>
      <c r="V652" s="1">
        <v>0</v>
      </c>
      <c r="W652" s="4">
        <f t="shared" si="31"/>
        <v>72275860.388340607</v>
      </c>
      <c r="X652" s="4">
        <f t="shared" si="32"/>
        <v>72275860.388340607</v>
      </c>
      <c r="Y652" s="5">
        <f t="shared" si="33"/>
        <v>0.65499999999658287</v>
      </c>
    </row>
    <row r="653" spans="1:25" x14ac:dyDescent="0.25">
      <c r="A653" s="1" t="s">
        <v>109</v>
      </c>
      <c r="B653" s="1" t="s">
        <v>62</v>
      </c>
      <c r="C653" s="1" t="s">
        <v>63</v>
      </c>
      <c r="D653" s="1">
        <v>46142857</v>
      </c>
      <c r="E653" s="1">
        <v>15399999.999120001</v>
      </c>
      <c r="F653" s="1">
        <v>15399999.999120001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2016964.2857967855</v>
      </c>
      <c r="N653" s="1">
        <v>2016964.2857967855</v>
      </c>
      <c r="O653" s="1">
        <v>1680803.5714973214</v>
      </c>
      <c r="P653" s="1">
        <v>1680803.5714973214</v>
      </c>
      <c r="Q653" s="1">
        <v>2353125.0000962499</v>
      </c>
      <c r="R653" s="1">
        <v>2353125.0000962499</v>
      </c>
      <c r="S653" s="1">
        <v>2353125.0000962499</v>
      </c>
      <c r="T653" s="1">
        <v>2353125.0000962499</v>
      </c>
      <c r="U653" s="1">
        <v>2353125.0000962499</v>
      </c>
      <c r="V653" s="1">
        <v>2353125.0000962499</v>
      </c>
      <c r="W653" s="4">
        <f t="shared" si="31"/>
        <v>26157142.856702857</v>
      </c>
      <c r="X653" s="4">
        <f t="shared" si="32"/>
        <v>26157142.856702857</v>
      </c>
      <c r="Y653" s="5">
        <f t="shared" si="33"/>
        <v>0.56687306676096927</v>
      </c>
    </row>
    <row r="654" spans="1:25" x14ac:dyDescent="0.25">
      <c r="A654" s="1" t="s">
        <v>109</v>
      </c>
      <c r="B654" s="1" t="s">
        <v>40</v>
      </c>
      <c r="C654" s="1" t="s">
        <v>27</v>
      </c>
      <c r="D654" s="1">
        <v>81633199</v>
      </c>
      <c r="E654" s="1">
        <v>4982806</v>
      </c>
      <c r="F654" s="1">
        <v>4982806</v>
      </c>
      <c r="G654" s="1">
        <v>11356354.993642032</v>
      </c>
      <c r="H654" s="1">
        <v>11356354.993642032</v>
      </c>
      <c r="I654" s="1">
        <v>8626323</v>
      </c>
      <c r="J654" s="1">
        <v>8626323</v>
      </c>
      <c r="K654" s="1">
        <v>7873897</v>
      </c>
      <c r="L654" s="1">
        <v>7873897</v>
      </c>
      <c r="M654" s="1">
        <v>0</v>
      </c>
      <c r="N654" s="1">
        <v>0</v>
      </c>
      <c r="O654" s="1">
        <v>7715548.0063579679</v>
      </c>
      <c r="P654" s="1">
        <v>7715548.0063579679</v>
      </c>
      <c r="Q654" s="1">
        <v>11752540</v>
      </c>
      <c r="R654" s="1">
        <v>11752540</v>
      </c>
      <c r="S654" s="1">
        <v>10121947</v>
      </c>
      <c r="T654" s="1">
        <v>10121947</v>
      </c>
      <c r="U654" s="1">
        <v>4646869</v>
      </c>
      <c r="V654" s="1">
        <v>4646869</v>
      </c>
      <c r="W654" s="4">
        <f t="shared" si="31"/>
        <v>67076285</v>
      </c>
      <c r="X654" s="4">
        <f t="shared" si="32"/>
        <v>67076285</v>
      </c>
      <c r="Y654" s="5">
        <f t="shared" si="33"/>
        <v>0.82167899606629402</v>
      </c>
    </row>
    <row r="655" spans="1:25" x14ac:dyDescent="0.25">
      <c r="A655" s="1" t="s">
        <v>109</v>
      </c>
      <c r="B655" s="1" t="s">
        <v>41</v>
      </c>
      <c r="C655" s="1" t="s">
        <v>27</v>
      </c>
      <c r="D655" s="1">
        <v>95481573</v>
      </c>
      <c r="E655" s="1">
        <v>1750000</v>
      </c>
      <c r="F655" s="1">
        <v>1750000</v>
      </c>
      <c r="G655" s="1">
        <v>0</v>
      </c>
      <c r="H655" s="1">
        <v>0</v>
      </c>
      <c r="I655" s="1">
        <v>0</v>
      </c>
      <c r="J655" s="1">
        <v>0</v>
      </c>
      <c r="K655" s="1">
        <v>5450000</v>
      </c>
      <c r="L655" s="1">
        <v>5450000</v>
      </c>
      <c r="M655" s="1">
        <v>0</v>
      </c>
      <c r="N655" s="1">
        <v>0</v>
      </c>
      <c r="O655" s="1">
        <v>11180000</v>
      </c>
      <c r="P655" s="1">
        <v>11180000</v>
      </c>
      <c r="Q655" s="1">
        <v>38550787</v>
      </c>
      <c r="R655" s="1">
        <v>38550787</v>
      </c>
      <c r="S655" s="1">
        <v>38550786</v>
      </c>
      <c r="T655" s="1">
        <v>38550786</v>
      </c>
      <c r="U655" s="1">
        <v>0</v>
      </c>
      <c r="V655" s="1">
        <v>0</v>
      </c>
      <c r="W655" s="4">
        <f t="shared" si="31"/>
        <v>95481573</v>
      </c>
      <c r="X655" s="4">
        <f t="shared" si="32"/>
        <v>95481573</v>
      </c>
      <c r="Y655" s="5">
        <f t="shared" si="33"/>
        <v>1</v>
      </c>
    </row>
    <row r="656" spans="1:25" x14ac:dyDescent="0.25">
      <c r="A656" s="1" t="s">
        <v>109</v>
      </c>
      <c r="B656" s="1" t="s">
        <v>42</v>
      </c>
      <c r="C656" s="1" t="s">
        <v>27</v>
      </c>
      <c r="D656" s="1">
        <v>27475364</v>
      </c>
      <c r="E656" s="1">
        <v>0</v>
      </c>
      <c r="F656" s="1">
        <v>0</v>
      </c>
      <c r="G656" s="1">
        <v>13737682</v>
      </c>
      <c r="H656" s="1">
        <v>13737682</v>
      </c>
      <c r="I656" s="1">
        <v>0</v>
      </c>
      <c r="J656" s="1">
        <v>0</v>
      </c>
      <c r="K656" s="1">
        <v>13737682</v>
      </c>
      <c r="L656" s="1">
        <v>13737682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4">
        <f t="shared" si="31"/>
        <v>27475364</v>
      </c>
      <c r="X656" s="4">
        <f t="shared" si="32"/>
        <v>27475364</v>
      </c>
      <c r="Y656" s="5">
        <f t="shared" si="33"/>
        <v>1</v>
      </c>
    </row>
    <row r="657" spans="1:25" x14ac:dyDescent="0.25">
      <c r="A657" s="1" t="s">
        <v>109</v>
      </c>
      <c r="B657" s="1" t="s">
        <v>43</v>
      </c>
      <c r="C657" s="1" t="s">
        <v>31</v>
      </c>
      <c r="D657" s="1">
        <v>4764123</v>
      </c>
      <c r="E657" s="1">
        <v>276740.27070511685</v>
      </c>
      <c r="F657" s="1">
        <v>276740.27070511685</v>
      </c>
      <c r="G657" s="1">
        <v>345925.33838139608</v>
      </c>
      <c r="H657" s="1">
        <v>345925.33838139608</v>
      </c>
      <c r="I657" s="1">
        <v>345925.33838139608</v>
      </c>
      <c r="J657" s="1">
        <v>345925.33838139608</v>
      </c>
      <c r="K657" s="1">
        <v>345925.33838139608</v>
      </c>
      <c r="L657" s="1">
        <v>345925.33838139608</v>
      </c>
      <c r="M657" s="1">
        <v>257221.28617292322</v>
      </c>
      <c r="N657" s="1">
        <v>257221.28617292322</v>
      </c>
      <c r="O657" s="1">
        <v>214351.07181076935</v>
      </c>
      <c r="P657" s="1">
        <v>214351.07181076935</v>
      </c>
      <c r="Q657" s="1">
        <v>265654.64878655144</v>
      </c>
      <c r="R657" s="1">
        <v>265654.64878655144</v>
      </c>
      <c r="S657" s="1">
        <v>300091.50053507707</v>
      </c>
      <c r="T657" s="1">
        <v>300091.50053507707</v>
      </c>
      <c r="U657" s="1">
        <v>300091.50053507707</v>
      </c>
      <c r="V657" s="1">
        <v>300091.50053507707</v>
      </c>
      <c r="W657" s="4">
        <f t="shared" si="31"/>
        <v>2651926.2936897031</v>
      </c>
      <c r="X657" s="4">
        <f t="shared" si="32"/>
        <v>2651926.2936897031</v>
      </c>
      <c r="Y657" s="5">
        <f t="shared" si="33"/>
        <v>0.55664521963217639</v>
      </c>
    </row>
    <row r="658" spans="1:25" x14ac:dyDescent="0.25">
      <c r="A658" s="1" t="s">
        <v>109</v>
      </c>
      <c r="B658" s="1" t="s">
        <v>64</v>
      </c>
      <c r="C658" s="1" t="s">
        <v>23</v>
      </c>
      <c r="D658" s="1">
        <v>3782816.9144317373</v>
      </c>
      <c r="E658" s="1">
        <v>249665.91635249468</v>
      </c>
      <c r="F658" s="1">
        <v>249665.91635249468</v>
      </c>
      <c r="G658" s="1">
        <v>312082.39544061833</v>
      </c>
      <c r="H658" s="1">
        <v>312082.39544061833</v>
      </c>
      <c r="I658" s="1">
        <v>312082.39544061833</v>
      </c>
      <c r="J658" s="1">
        <v>312082.39544061833</v>
      </c>
      <c r="K658" s="1">
        <v>312082.39544061833</v>
      </c>
      <c r="L658" s="1">
        <v>312082.39544061833</v>
      </c>
      <c r="M658" s="1">
        <v>190086.54995019478</v>
      </c>
      <c r="N658" s="1">
        <v>190086.54995019478</v>
      </c>
      <c r="O658" s="1">
        <v>158405.45829182898</v>
      </c>
      <c r="P658" s="1">
        <v>158405.45829182898</v>
      </c>
      <c r="Q658" s="1">
        <v>221767.64160856057</v>
      </c>
      <c r="R658" s="1">
        <v>221767.64160856057</v>
      </c>
      <c r="S658" s="1">
        <v>221767.64160856057</v>
      </c>
      <c r="T658" s="1">
        <v>221767.64160856057</v>
      </c>
      <c r="U658" s="1">
        <v>221767.64160856057</v>
      </c>
      <c r="V658" s="1">
        <v>221767.64160856057</v>
      </c>
      <c r="W658" s="4">
        <f t="shared" si="31"/>
        <v>2199708.0357420552</v>
      </c>
      <c r="X658" s="4">
        <f t="shared" si="32"/>
        <v>2199708.0357420552</v>
      </c>
      <c r="Y658" s="5">
        <f t="shared" si="33"/>
        <v>0.58150000000000002</v>
      </c>
    </row>
    <row r="659" spans="1:25" x14ac:dyDescent="0.25">
      <c r="A659" s="1" t="s">
        <v>109</v>
      </c>
      <c r="B659" s="1" t="s">
        <v>65</v>
      </c>
      <c r="C659" s="1" t="s">
        <v>31</v>
      </c>
      <c r="D659" s="1">
        <v>3631185.8266109037</v>
      </c>
      <c r="E659" s="1">
        <v>239658.26455631966</v>
      </c>
      <c r="F659" s="1">
        <v>239658.26455631966</v>
      </c>
      <c r="G659" s="1">
        <v>299572.83069539955</v>
      </c>
      <c r="H659" s="1">
        <v>299572.83069539955</v>
      </c>
      <c r="I659" s="1">
        <v>299572.83069539955</v>
      </c>
      <c r="J659" s="1">
        <v>299572.83069539955</v>
      </c>
      <c r="K659" s="1">
        <v>299572.83069539955</v>
      </c>
      <c r="L659" s="1">
        <v>299572.83069539955</v>
      </c>
      <c r="M659" s="1">
        <v>182467.0877871979</v>
      </c>
      <c r="N659" s="1">
        <v>182467.0877871979</v>
      </c>
      <c r="O659" s="1">
        <v>152055.9064893316</v>
      </c>
      <c r="P659" s="1">
        <v>152055.9064893316</v>
      </c>
      <c r="Q659" s="1">
        <v>212878.26908506421</v>
      </c>
      <c r="R659" s="1">
        <v>212878.26908506421</v>
      </c>
      <c r="S659" s="1">
        <v>212878.26908506421</v>
      </c>
      <c r="T659" s="1">
        <v>212878.26908506421</v>
      </c>
      <c r="U659" s="1">
        <v>212878.26908506421</v>
      </c>
      <c r="V659" s="1">
        <v>212878.26908506421</v>
      </c>
      <c r="W659" s="4">
        <f t="shared" si="31"/>
        <v>2111534.5581742404</v>
      </c>
      <c r="X659" s="4">
        <f t="shared" si="32"/>
        <v>2111534.5581742404</v>
      </c>
      <c r="Y659" s="5">
        <f t="shared" si="33"/>
        <v>0.58150000000000002</v>
      </c>
    </row>
    <row r="660" spans="1:25" x14ac:dyDescent="0.25">
      <c r="A660" s="1" t="s">
        <v>109</v>
      </c>
      <c r="B660" s="1" t="s">
        <v>44</v>
      </c>
      <c r="C660" s="1" t="s">
        <v>45</v>
      </c>
      <c r="D660" s="1">
        <v>8088907.9214600986</v>
      </c>
      <c r="E660" s="1">
        <v>533867.92281636654</v>
      </c>
      <c r="F660" s="1">
        <v>533867.92281636654</v>
      </c>
      <c r="G660" s="1">
        <v>667334.90352045815</v>
      </c>
      <c r="H660" s="1">
        <v>667334.90352045815</v>
      </c>
      <c r="I660" s="1">
        <v>667334.90352045815</v>
      </c>
      <c r="J660" s="1">
        <v>667334.90352045815</v>
      </c>
      <c r="K660" s="1">
        <v>667334.90352045815</v>
      </c>
      <c r="L660" s="1">
        <v>667334.90352045815</v>
      </c>
      <c r="M660" s="1">
        <v>406467.62305336987</v>
      </c>
      <c r="N660" s="1">
        <v>406467.62305336987</v>
      </c>
      <c r="O660" s="1">
        <v>338723.01921114157</v>
      </c>
      <c r="P660" s="1">
        <v>338723.01921114157</v>
      </c>
      <c r="Q660" s="1">
        <v>474212.22689559817</v>
      </c>
      <c r="R660" s="1">
        <v>474212.22689559817</v>
      </c>
      <c r="S660" s="1">
        <v>474212.22689559817</v>
      </c>
      <c r="T660" s="1">
        <v>474212.22689559817</v>
      </c>
      <c r="U660" s="1">
        <v>474212.22689559817</v>
      </c>
      <c r="V660" s="1">
        <v>474212.22689559817</v>
      </c>
      <c r="W660" s="4">
        <f t="shared" si="31"/>
        <v>4703699.9563290477</v>
      </c>
      <c r="X660" s="4">
        <f t="shared" si="32"/>
        <v>4703699.9563290477</v>
      </c>
      <c r="Y660" s="5">
        <f t="shared" si="33"/>
        <v>0.58150000000000002</v>
      </c>
    </row>
    <row r="661" spans="1:25" x14ac:dyDescent="0.25">
      <c r="A661" s="1" t="s">
        <v>109</v>
      </c>
      <c r="B661" s="1" t="s">
        <v>46</v>
      </c>
      <c r="C661" s="1" t="s">
        <v>22</v>
      </c>
      <c r="D661" s="1">
        <v>71398492.503422812</v>
      </c>
      <c r="E661" s="1">
        <v>4716714.6461562533</v>
      </c>
      <c r="F661" s="1">
        <v>4716714.6461562533</v>
      </c>
      <c r="G661" s="1">
        <v>5895893.3076953162</v>
      </c>
      <c r="H661" s="1">
        <v>5895893.3076953162</v>
      </c>
      <c r="I661" s="1">
        <v>5895893.3076953162</v>
      </c>
      <c r="J661" s="1">
        <v>5895893.3076953162</v>
      </c>
      <c r="K661" s="1">
        <v>5895893.3076953162</v>
      </c>
      <c r="L661" s="1">
        <v>5895893.3076953162</v>
      </c>
      <c r="M661" s="1">
        <v>3699479.2027347116</v>
      </c>
      <c r="N661" s="1">
        <v>3699479.2027347116</v>
      </c>
      <c r="O661" s="1">
        <v>3008377.6237400286</v>
      </c>
      <c r="P661" s="1">
        <v>3008377.6237400286</v>
      </c>
      <c r="Q661" s="1">
        <v>4164912.0662808097</v>
      </c>
      <c r="R661" s="1">
        <v>4164912.0662808097</v>
      </c>
      <c r="S661" s="1">
        <v>4164912.0662808097</v>
      </c>
      <c r="T661" s="1">
        <v>4164912.0662808097</v>
      </c>
      <c r="U661" s="1">
        <v>4164912.0662808097</v>
      </c>
      <c r="V661" s="1">
        <v>4164912.0662808097</v>
      </c>
      <c r="W661" s="4">
        <f t="shared" si="31"/>
        <v>41606987.594559364</v>
      </c>
      <c r="X661" s="4">
        <f t="shared" si="32"/>
        <v>41606987.594559364</v>
      </c>
      <c r="Y661" s="5">
        <f t="shared" si="33"/>
        <v>0.58274322238056697</v>
      </c>
    </row>
    <row r="662" spans="1:25" x14ac:dyDescent="0.25">
      <c r="A662" s="1" t="s">
        <v>109</v>
      </c>
      <c r="B662" s="1" t="s">
        <v>66</v>
      </c>
      <c r="C662" s="1" t="s">
        <v>24</v>
      </c>
      <c r="D662" s="1">
        <v>228521059.54164469</v>
      </c>
      <c r="E662" s="1">
        <v>18852987.412185688</v>
      </c>
      <c r="F662" s="1">
        <v>18852987.412185688</v>
      </c>
      <c r="G662" s="1">
        <v>18852987.412185688</v>
      </c>
      <c r="H662" s="1">
        <v>18852987.412185688</v>
      </c>
      <c r="I662" s="1">
        <v>18852987.412185688</v>
      </c>
      <c r="J662" s="1">
        <v>18852987.412185688</v>
      </c>
      <c r="K662" s="1">
        <v>18852987.412185688</v>
      </c>
      <c r="L662" s="1">
        <v>18852987.412185688</v>
      </c>
      <c r="M662" s="1">
        <v>23995154.35125725</v>
      </c>
      <c r="N662" s="1">
        <v>23995154.35125725</v>
      </c>
      <c r="O662" s="1">
        <v>18455254</v>
      </c>
      <c r="P662" s="1">
        <v>18455254</v>
      </c>
      <c r="Q662" s="1">
        <v>20349033</v>
      </c>
      <c r="R662" s="1">
        <v>20349033</v>
      </c>
      <c r="S662" s="1">
        <v>17314205</v>
      </c>
      <c r="T662" s="1">
        <v>17314205</v>
      </c>
      <c r="U662" s="1">
        <v>19122787</v>
      </c>
      <c r="V662" s="1">
        <v>19122787</v>
      </c>
      <c r="W662" s="4">
        <f t="shared" si="31"/>
        <v>174648383.00000003</v>
      </c>
      <c r="X662" s="4">
        <f t="shared" si="32"/>
        <v>174648383.00000003</v>
      </c>
      <c r="Y662" s="5">
        <f t="shared" si="33"/>
        <v>0.76425509031990491</v>
      </c>
    </row>
    <row r="663" spans="1:25" x14ac:dyDescent="0.25">
      <c r="A663" s="1" t="s">
        <v>109</v>
      </c>
      <c r="B663" s="1" t="s">
        <v>67</v>
      </c>
      <c r="C663" s="1" t="s">
        <v>68</v>
      </c>
      <c r="D663" s="1">
        <v>1972248.5732405321</v>
      </c>
      <c r="E663" s="1">
        <v>130168.40583387513</v>
      </c>
      <c r="F663" s="1">
        <v>130168.40583387513</v>
      </c>
      <c r="G663" s="1">
        <v>162710.50729234391</v>
      </c>
      <c r="H663" s="1">
        <v>162710.50729234391</v>
      </c>
      <c r="I663" s="1">
        <v>162710.50729234391</v>
      </c>
      <c r="J663" s="1">
        <v>162710.50729234391</v>
      </c>
      <c r="K663" s="1">
        <v>162710.50729234391</v>
      </c>
      <c r="L663" s="1">
        <v>162710.50729234391</v>
      </c>
      <c r="M663" s="1">
        <v>102556.92580850759</v>
      </c>
      <c r="N663" s="1">
        <v>102556.92580850759</v>
      </c>
      <c r="O663" s="1">
        <v>82177.023885022165</v>
      </c>
      <c r="P663" s="1">
        <v>82177.023885022165</v>
      </c>
      <c r="Q663" s="1">
        <v>115047.83343903102</v>
      </c>
      <c r="R663" s="1">
        <v>115047.83343903102</v>
      </c>
      <c r="S663" s="1">
        <v>115047.83343903102</v>
      </c>
      <c r="T663" s="1">
        <v>115047.83343903102</v>
      </c>
      <c r="U663" s="1">
        <v>115047.83343903102</v>
      </c>
      <c r="V663" s="1">
        <v>115047.83343903102</v>
      </c>
      <c r="W663" s="4">
        <f t="shared" si="31"/>
        <v>1148177.3777215295</v>
      </c>
      <c r="X663" s="4">
        <f t="shared" si="32"/>
        <v>1148177.3777215295</v>
      </c>
      <c r="Y663" s="5">
        <f t="shared" si="33"/>
        <v>0.5821666666666665</v>
      </c>
    </row>
    <row r="664" spans="1:25" x14ac:dyDescent="0.25">
      <c r="A664" s="1" t="s">
        <v>109</v>
      </c>
      <c r="B664" s="1" t="s">
        <v>69</v>
      </c>
      <c r="C664" s="1" t="s">
        <v>28</v>
      </c>
      <c r="D664" s="1">
        <v>5256602.2323720725</v>
      </c>
      <c r="E664" s="1">
        <v>346935.74733655684</v>
      </c>
      <c r="F664" s="1">
        <v>346935.74733655684</v>
      </c>
      <c r="G664" s="1">
        <v>433669.68417069601</v>
      </c>
      <c r="H664" s="1">
        <v>433669.68417069601</v>
      </c>
      <c r="I664" s="1">
        <v>433669.68417069601</v>
      </c>
      <c r="J664" s="1">
        <v>433669.68417069601</v>
      </c>
      <c r="K664" s="1">
        <v>433669.68417069601</v>
      </c>
      <c r="L664" s="1">
        <v>433669.68417069601</v>
      </c>
      <c r="M664" s="1">
        <v>264144.26217669662</v>
      </c>
      <c r="N664" s="1">
        <v>264144.26217669662</v>
      </c>
      <c r="O664" s="1">
        <v>220120.21848058054</v>
      </c>
      <c r="P664" s="1">
        <v>220120.21848058054</v>
      </c>
      <c r="Q664" s="1">
        <v>308168.30587281275</v>
      </c>
      <c r="R664" s="1">
        <v>308168.30587281275</v>
      </c>
      <c r="S664" s="1">
        <v>308168.30587281275</v>
      </c>
      <c r="T664" s="1">
        <v>308168.30587281275</v>
      </c>
      <c r="U664" s="1">
        <v>308168.30587281275</v>
      </c>
      <c r="V664" s="1">
        <v>308168.30587281275</v>
      </c>
      <c r="W664" s="4">
        <f t="shared" si="31"/>
        <v>3056714.1981243603</v>
      </c>
      <c r="X664" s="4">
        <f t="shared" si="32"/>
        <v>3056714.1981243603</v>
      </c>
      <c r="Y664" s="5">
        <f t="shared" si="33"/>
        <v>0.58150000000000002</v>
      </c>
    </row>
    <row r="665" spans="1:25" x14ac:dyDescent="0.25">
      <c r="A665" s="1" t="s">
        <v>109</v>
      </c>
      <c r="B665" s="1" t="s">
        <v>70</v>
      </c>
      <c r="C665" s="1" t="s">
        <v>23</v>
      </c>
      <c r="D665" s="1">
        <v>6890625.0152343744</v>
      </c>
      <c r="E665" s="1">
        <v>454781.25100546872</v>
      </c>
      <c r="F665" s="1">
        <v>454781.25100546872</v>
      </c>
      <c r="G665" s="1">
        <v>568476.56375683588</v>
      </c>
      <c r="H665" s="1">
        <v>568476.56375683588</v>
      </c>
      <c r="I665" s="1">
        <v>568476.56375683588</v>
      </c>
      <c r="J665" s="1">
        <v>568476.56375683588</v>
      </c>
      <c r="K665" s="1">
        <v>568476.56375683588</v>
      </c>
      <c r="L665" s="1">
        <v>568476.56375683588</v>
      </c>
      <c r="M665" s="1">
        <v>346253.90701552731</v>
      </c>
      <c r="N665" s="1">
        <v>346253.90701552731</v>
      </c>
      <c r="O665" s="1">
        <v>288544.92251293943</v>
      </c>
      <c r="P665" s="1">
        <v>288544.92251293943</v>
      </c>
      <c r="Q665" s="1">
        <v>403962.89151811518</v>
      </c>
      <c r="R665" s="1">
        <v>403962.89151811518</v>
      </c>
      <c r="S665" s="1">
        <v>403962.89151811518</v>
      </c>
      <c r="T665" s="1">
        <v>403962.89151811518</v>
      </c>
      <c r="U665" s="1">
        <v>403962.89151811518</v>
      </c>
      <c r="V665" s="1">
        <v>403962.89151811518</v>
      </c>
      <c r="W665" s="4">
        <f t="shared" si="31"/>
        <v>4006898.4463587888</v>
      </c>
      <c r="X665" s="4">
        <f t="shared" si="32"/>
        <v>4006898.4463587888</v>
      </c>
      <c r="Y665" s="5">
        <f t="shared" si="33"/>
        <v>0.58150000000000002</v>
      </c>
    </row>
    <row r="666" spans="1:25" x14ac:dyDescent="0.25">
      <c r="A666" s="1" t="s">
        <v>109</v>
      </c>
      <c r="B666" s="1" t="s">
        <v>71</v>
      </c>
      <c r="C666" s="1" t="s">
        <v>29</v>
      </c>
      <c r="D666" s="1">
        <v>7072821.1211538427</v>
      </c>
      <c r="E666" s="1">
        <v>466806.19399615371</v>
      </c>
      <c r="F666" s="1">
        <v>466806.19399615371</v>
      </c>
      <c r="G666" s="1">
        <v>583507.7424951921</v>
      </c>
      <c r="H666" s="1">
        <v>583507.7424951921</v>
      </c>
      <c r="I666" s="1">
        <v>583507.7424951921</v>
      </c>
      <c r="J666" s="1">
        <v>583507.7424951921</v>
      </c>
      <c r="K666" s="1">
        <v>583507.7424951921</v>
      </c>
      <c r="L666" s="1">
        <v>583507.7424951921</v>
      </c>
      <c r="M666" s="1">
        <v>355409.26133798051</v>
      </c>
      <c r="N666" s="1">
        <v>355409.26133798051</v>
      </c>
      <c r="O666" s="1">
        <v>296174.38444831711</v>
      </c>
      <c r="P666" s="1">
        <v>296174.38444831711</v>
      </c>
      <c r="Q666" s="1">
        <v>414644.13822764391</v>
      </c>
      <c r="R666" s="1">
        <v>414644.13822764391</v>
      </c>
      <c r="S666" s="1">
        <v>414644.13822764391</v>
      </c>
      <c r="T666" s="1">
        <v>414644.13822764391</v>
      </c>
      <c r="U666" s="1">
        <v>414644.13822764391</v>
      </c>
      <c r="V666" s="1">
        <v>414644.13822764391</v>
      </c>
      <c r="W666" s="4">
        <f t="shared" si="31"/>
        <v>4112845.4819509597</v>
      </c>
      <c r="X666" s="4">
        <f t="shared" si="32"/>
        <v>4112845.4819509597</v>
      </c>
      <c r="Y666" s="5">
        <f t="shared" si="33"/>
        <v>0.58150000000000002</v>
      </c>
    </row>
    <row r="667" spans="1:25" x14ac:dyDescent="0.25">
      <c r="A667" s="1" t="s">
        <v>109</v>
      </c>
      <c r="B667" s="1" t="s">
        <v>72</v>
      </c>
      <c r="C667" s="1" t="s">
        <v>73</v>
      </c>
      <c r="D667" s="1">
        <v>6032264.6003415389</v>
      </c>
      <c r="E667" s="1">
        <v>398129.46362254163</v>
      </c>
      <c r="F667" s="1">
        <v>398129.46362254163</v>
      </c>
      <c r="G667" s="1">
        <v>497661.82952817698</v>
      </c>
      <c r="H667" s="1">
        <v>497661.82952817698</v>
      </c>
      <c r="I667" s="1">
        <v>497661.82952817698</v>
      </c>
      <c r="J667" s="1">
        <v>497661.82952817698</v>
      </c>
      <c r="K667" s="1">
        <v>497661.82952817698</v>
      </c>
      <c r="L667" s="1">
        <v>497661.82952817698</v>
      </c>
      <c r="M667" s="1">
        <v>303121.29616716231</v>
      </c>
      <c r="N667" s="1">
        <v>303121.29616716231</v>
      </c>
      <c r="O667" s="1">
        <v>252601.08013930195</v>
      </c>
      <c r="P667" s="1">
        <v>252601.08013930195</v>
      </c>
      <c r="Q667" s="1">
        <v>353641.51219502272</v>
      </c>
      <c r="R667" s="1">
        <v>353641.51219502272</v>
      </c>
      <c r="S667" s="1">
        <v>353641.51219502272</v>
      </c>
      <c r="T667" s="1">
        <v>353641.51219502272</v>
      </c>
      <c r="U667" s="1">
        <v>353641.51219502272</v>
      </c>
      <c r="V667" s="1">
        <v>353641.51219502272</v>
      </c>
      <c r="W667" s="4">
        <f t="shared" si="31"/>
        <v>3507761.8650986054</v>
      </c>
      <c r="X667" s="4">
        <f t="shared" si="32"/>
        <v>3507761.8650986054</v>
      </c>
      <c r="Y667" s="5">
        <f t="shared" si="33"/>
        <v>0.58150000000000013</v>
      </c>
    </row>
    <row r="668" spans="1:25" x14ac:dyDescent="0.25">
      <c r="A668" s="1" t="s">
        <v>109</v>
      </c>
      <c r="B668" s="1" t="s">
        <v>48</v>
      </c>
      <c r="C668" s="1" t="s">
        <v>49</v>
      </c>
      <c r="D668" s="1">
        <v>4398674.9260647492</v>
      </c>
      <c r="E668" s="1">
        <v>290312.54512027348</v>
      </c>
      <c r="F668" s="1">
        <v>290312.54512027348</v>
      </c>
      <c r="G668" s="1">
        <v>362890.68140034185</v>
      </c>
      <c r="H668" s="1">
        <v>362890.68140034185</v>
      </c>
      <c r="I668" s="1">
        <v>362890.68140034185</v>
      </c>
      <c r="J668" s="1">
        <v>362890.68140034185</v>
      </c>
      <c r="K668" s="1">
        <v>362890.68140034185</v>
      </c>
      <c r="L668" s="1">
        <v>362890.68140034185</v>
      </c>
      <c r="M668" s="1">
        <v>221033.41503475362</v>
      </c>
      <c r="N668" s="1">
        <v>221033.41503475362</v>
      </c>
      <c r="O668" s="1">
        <v>184194.51252896135</v>
      </c>
      <c r="P668" s="1">
        <v>184194.51252896135</v>
      </c>
      <c r="Q668" s="1">
        <v>257872.31754054586</v>
      </c>
      <c r="R668" s="1">
        <v>257872.31754054586</v>
      </c>
      <c r="S668" s="1">
        <v>257872.31754054586</v>
      </c>
      <c r="T668" s="1">
        <v>257872.31754054586</v>
      </c>
      <c r="U668" s="1">
        <v>257872.31754054586</v>
      </c>
      <c r="V668" s="1">
        <v>257872.31754054586</v>
      </c>
      <c r="W668" s="4">
        <f t="shared" si="31"/>
        <v>2557829.4695066521</v>
      </c>
      <c r="X668" s="4">
        <f t="shared" si="32"/>
        <v>2557829.4695066521</v>
      </c>
      <c r="Y668" s="5">
        <f t="shared" si="33"/>
        <v>0.58150000000000013</v>
      </c>
    </row>
    <row r="669" spans="1:25" x14ac:dyDescent="0.25">
      <c r="A669" s="1" t="s">
        <v>109</v>
      </c>
      <c r="B669" s="1" t="s">
        <v>53</v>
      </c>
      <c r="C669" s="1" t="s">
        <v>30</v>
      </c>
      <c r="D669" s="1">
        <v>3286014.9262045384</v>
      </c>
      <c r="E669" s="1">
        <v>216876.98512949955</v>
      </c>
      <c r="F669" s="1">
        <v>216876.98512949955</v>
      </c>
      <c r="G669" s="1">
        <v>271096.23141187441</v>
      </c>
      <c r="H669" s="1">
        <v>271096.23141187441</v>
      </c>
      <c r="I669" s="1">
        <v>271096.23141187441</v>
      </c>
      <c r="J669" s="1">
        <v>271096.23141187441</v>
      </c>
      <c r="K669" s="1">
        <v>271096.23141187441</v>
      </c>
      <c r="L669" s="1">
        <v>271096.23141187441</v>
      </c>
      <c r="M669" s="1">
        <v>165122.25004177805</v>
      </c>
      <c r="N669" s="1">
        <v>165122.25004177805</v>
      </c>
      <c r="O669" s="1">
        <v>137601.87503481505</v>
      </c>
      <c r="P669" s="1">
        <v>137601.87503481505</v>
      </c>
      <c r="Q669" s="1">
        <v>192642.62504874106</v>
      </c>
      <c r="R669" s="1">
        <v>192642.62504874106</v>
      </c>
      <c r="S669" s="1">
        <v>192642.62504874106</v>
      </c>
      <c r="T669" s="1">
        <v>192642.62504874106</v>
      </c>
      <c r="U669" s="1">
        <v>192642.62504874106</v>
      </c>
      <c r="V669" s="1">
        <v>192642.62504874106</v>
      </c>
      <c r="W669" s="4">
        <f t="shared" si="31"/>
        <v>1910817.6795879391</v>
      </c>
      <c r="X669" s="4">
        <f t="shared" si="32"/>
        <v>1910817.6795879391</v>
      </c>
      <c r="Y669" s="5">
        <f t="shared" si="33"/>
        <v>0.58150000000000002</v>
      </c>
    </row>
    <row r="670" spans="1:25" x14ac:dyDescent="0.25">
      <c r="A670" s="1" t="s">
        <v>109</v>
      </c>
      <c r="B670" s="1" t="s">
        <v>74</v>
      </c>
      <c r="C670" s="1" t="s">
        <v>75</v>
      </c>
      <c r="D670" s="1">
        <v>7977315.6356384186</v>
      </c>
      <c r="E670" s="1">
        <v>526502.83195213566</v>
      </c>
      <c r="F670" s="1">
        <v>526502.83195213566</v>
      </c>
      <c r="G670" s="1">
        <v>658128.53994016955</v>
      </c>
      <c r="H670" s="1">
        <v>658128.53994016955</v>
      </c>
      <c r="I670" s="1">
        <v>658128.53994016955</v>
      </c>
      <c r="J670" s="1">
        <v>658128.53994016955</v>
      </c>
      <c r="K670" s="1">
        <v>658128.53994016955</v>
      </c>
      <c r="L670" s="1">
        <v>658128.53994016955</v>
      </c>
      <c r="M670" s="1">
        <v>400860.11069083051</v>
      </c>
      <c r="N670" s="1">
        <v>400860.11069083051</v>
      </c>
      <c r="O670" s="1">
        <v>334050.09224235878</v>
      </c>
      <c r="P670" s="1">
        <v>334050.09224235878</v>
      </c>
      <c r="Q670" s="1">
        <v>467670.12913930224</v>
      </c>
      <c r="R670" s="1">
        <v>467670.12913930224</v>
      </c>
      <c r="S670" s="1">
        <v>467670.12913930224</v>
      </c>
      <c r="T670" s="1">
        <v>467670.12913930224</v>
      </c>
      <c r="U670" s="1">
        <v>467670.12913930224</v>
      </c>
      <c r="V670" s="1">
        <v>467670.12913930224</v>
      </c>
      <c r="W670" s="4">
        <f t="shared" si="31"/>
        <v>4638809.0421237405</v>
      </c>
      <c r="X670" s="4">
        <f t="shared" si="32"/>
        <v>4638809.0421237405</v>
      </c>
      <c r="Y670" s="5">
        <f t="shared" si="33"/>
        <v>0.58150000000000002</v>
      </c>
    </row>
    <row r="671" spans="1:25" x14ac:dyDescent="0.25">
      <c r="A671" s="1" t="s">
        <v>109</v>
      </c>
      <c r="B671" s="1" t="s">
        <v>50</v>
      </c>
      <c r="C671" s="1" t="s">
        <v>25</v>
      </c>
      <c r="D671" s="1">
        <v>4618608.6723679854</v>
      </c>
      <c r="E671" s="1">
        <v>304828.17237628705</v>
      </c>
      <c r="F671" s="1">
        <v>304828.17237628705</v>
      </c>
      <c r="G671" s="1">
        <v>381035.21547035879</v>
      </c>
      <c r="H671" s="1">
        <v>381035.21547035879</v>
      </c>
      <c r="I671" s="1">
        <v>381035.21547035879</v>
      </c>
      <c r="J671" s="1">
        <v>381035.21547035879</v>
      </c>
      <c r="K671" s="1">
        <v>381035.21547035879</v>
      </c>
      <c r="L671" s="1">
        <v>381035.21547035879</v>
      </c>
      <c r="M671" s="1">
        <v>232085.08578649128</v>
      </c>
      <c r="N671" s="1">
        <v>232085.08578649128</v>
      </c>
      <c r="O671" s="1">
        <v>193404.2381554094</v>
      </c>
      <c r="P671" s="1">
        <v>193404.2381554094</v>
      </c>
      <c r="Q671" s="1">
        <v>270765.93341757316</v>
      </c>
      <c r="R671" s="1">
        <v>270765.93341757316</v>
      </c>
      <c r="S671" s="1">
        <v>270765.93341757316</v>
      </c>
      <c r="T671" s="1">
        <v>270765.93341757316</v>
      </c>
      <c r="U671" s="1">
        <v>270765.93341757316</v>
      </c>
      <c r="V671" s="1">
        <v>270765.93341757316</v>
      </c>
      <c r="W671" s="4">
        <f t="shared" si="31"/>
        <v>2685720.9429819835</v>
      </c>
      <c r="X671" s="4">
        <f t="shared" si="32"/>
        <v>2685720.9429819835</v>
      </c>
      <c r="Y671" s="5">
        <f t="shared" si="33"/>
        <v>0.58150000000000002</v>
      </c>
    </row>
    <row r="672" spans="1:25" x14ac:dyDescent="0.25">
      <c r="A672" s="1" t="s">
        <v>110</v>
      </c>
      <c r="B672" s="1" t="s">
        <v>59</v>
      </c>
      <c r="C672" s="1" t="s">
        <v>26</v>
      </c>
      <c r="D672" s="1">
        <v>37011249.700000003</v>
      </c>
      <c r="E672" s="1">
        <v>3463610.0460572988</v>
      </c>
      <c r="F672" s="1">
        <v>3463610.0460572988</v>
      </c>
      <c r="G672" s="1">
        <v>4329512.5575716235</v>
      </c>
      <c r="H672" s="1">
        <v>4329512.5575716235</v>
      </c>
      <c r="I672" s="1">
        <v>4329512.5575716235</v>
      </c>
      <c r="J672" s="1">
        <v>4329512.5575716235</v>
      </c>
      <c r="K672" s="1">
        <v>4329512.5575716235</v>
      </c>
      <c r="L672" s="1">
        <v>4329512.5575716235</v>
      </c>
      <c r="M672" s="1">
        <v>2461649.9337141886</v>
      </c>
      <c r="N672" s="1">
        <v>2461649.9337141886</v>
      </c>
      <c r="O672" s="1">
        <v>2461649.9337141886</v>
      </c>
      <c r="P672" s="1">
        <v>2461649.9337141886</v>
      </c>
      <c r="Q672" s="1">
        <v>2461649.9337141886</v>
      </c>
      <c r="R672" s="1">
        <v>2461649.9337141886</v>
      </c>
      <c r="S672" s="1">
        <v>2461649.9337141886</v>
      </c>
      <c r="T672" s="1">
        <v>2461649.9337141886</v>
      </c>
      <c r="U672" s="1">
        <v>2461649.9337141886</v>
      </c>
      <c r="V672" s="1">
        <v>2461649.9337141886</v>
      </c>
      <c r="W672" s="4">
        <f t="shared" si="31"/>
        <v>28760397.387343112</v>
      </c>
      <c r="X672" s="4">
        <f t="shared" si="32"/>
        <v>28760397.387343112</v>
      </c>
      <c r="Y672" s="5">
        <f t="shared" si="33"/>
        <v>0.77707177197378208</v>
      </c>
    </row>
    <row r="673" spans="1:25" x14ac:dyDescent="0.25">
      <c r="A673" s="1" t="s">
        <v>110</v>
      </c>
      <c r="B673" s="1" t="s">
        <v>60</v>
      </c>
      <c r="C673" s="1" t="s">
        <v>26</v>
      </c>
      <c r="D673" s="1">
        <v>15467690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7733845</v>
      </c>
      <c r="N673" s="1">
        <v>7733845</v>
      </c>
      <c r="O673" s="1">
        <v>7733845</v>
      </c>
      <c r="P673" s="1">
        <v>7733845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4">
        <f t="shared" si="31"/>
        <v>15467690</v>
      </c>
      <c r="X673" s="4">
        <f t="shared" si="32"/>
        <v>15467690</v>
      </c>
      <c r="Y673" s="5">
        <f t="shared" si="33"/>
        <v>1</v>
      </c>
    </row>
    <row r="674" spans="1:25" x14ac:dyDescent="0.25">
      <c r="A674" s="1" t="s">
        <v>110</v>
      </c>
      <c r="B674" s="1" t="s">
        <v>33</v>
      </c>
      <c r="C674" s="1" t="s">
        <v>34</v>
      </c>
      <c r="D674" s="1">
        <v>48000000</v>
      </c>
      <c r="E674" s="1">
        <v>0</v>
      </c>
      <c r="F674" s="1">
        <v>0</v>
      </c>
      <c r="G674" s="1">
        <v>9600000</v>
      </c>
      <c r="H674" s="1">
        <v>9600000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14400000</v>
      </c>
      <c r="P674" s="1">
        <v>14400000</v>
      </c>
      <c r="Q674" s="1">
        <v>0</v>
      </c>
      <c r="R674" s="1">
        <v>0</v>
      </c>
      <c r="S674" s="1">
        <v>14400000</v>
      </c>
      <c r="T674" s="1">
        <v>14400000</v>
      </c>
      <c r="U674" s="1">
        <v>9600000</v>
      </c>
      <c r="V674" s="1">
        <v>9600000</v>
      </c>
      <c r="W674" s="4">
        <f t="shared" si="31"/>
        <v>48000000</v>
      </c>
      <c r="X674" s="4">
        <f t="shared" si="32"/>
        <v>48000000</v>
      </c>
      <c r="Y674" s="5">
        <f t="shared" si="33"/>
        <v>1</v>
      </c>
    </row>
    <row r="675" spans="1:25" x14ac:dyDescent="0.25">
      <c r="A675" s="1" t="s">
        <v>110</v>
      </c>
      <c r="B675" s="1" t="s">
        <v>35</v>
      </c>
      <c r="C675" s="1" t="s">
        <v>34</v>
      </c>
      <c r="D675" s="1">
        <v>120000000</v>
      </c>
      <c r="E675" s="1">
        <v>0</v>
      </c>
      <c r="F675" s="1">
        <v>0</v>
      </c>
      <c r="G675" s="1">
        <v>33000000</v>
      </c>
      <c r="H675" s="1">
        <v>33000000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29000000</v>
      </c>
      <c r="P675" s="1">
        <v>29000000</v>
      </c>
      <c r="Q675" s="1">
        <v>0</v>
      </c>
      <c r="R675" s="1">
        <v>0</v>
      </c>
      <c r="S675" s="1">
        <v>29000000</v>
      </c>
      <c r="T675" s="1">
        <v>29000000</v>
      </c>
      <c r="U675" s="1">
        <v>29000000</v>
      </c>
      <c r="V675" s="1">
        <v>29000000</v>
      </c>
      <c r="W675" s="4">
        <f t="shared" si="31"/>
        <v>120000000</v>
      </c>
      <c r="X675" s="4">
        <f t="shared" si="32"/>
        <v>120000000</v>
      </c>
      <c r="Y675" s="5">
        <f t="shared" si="33"/>
        <v>1</v>
      </c>
    </row>
    <row r="676" spans="1:25" x14ac:dyDescent="0.25">
      <c r="A676" s="1" t="s">
        <v>110</v>
      </c>
      <c r="B676" s="1" t="s">
        <v>38</v>
      </c>
      <c r="C676" s="1" t="s">
        <v>39</v>
      </c>
      <c r="D676" s="1">
        <v>7491838.8451576922</v>
      </c>
      <c r="E676" s="1">
        <v>494461.3637804077</v>
      </c>
      <c r="F676" s="1">
        <v>494461.3637804077</v>
      </c>
      <c r="G676" s="1">
        <v>618076.70472550963</v>
      </c>
      <c r="H676" s="1">
        <v>618076.70472550963</v>
      </c>
      <c r="I676" s="1">
        <v>618076.70472550963</v>
      </c>
      <c r="J676" s="1">
        <v>618076.70472550963</v>
      </c>
      <c r="K676" s="1">
        <v>618076.70472550963</v>
      </c>
      <c r="L676" s="1">
        <v>618076.70472550963</v>
      </c>
      <c r="M676" s="1">
        <v>376464.90196917404</v>
      </c>
      <c r="N676" s="1">
        <v>376464.90196917404</v>
      </c>
      <c r="O676" s="1">
        <v>313720.75164097839</v>
      </c>
      <c r="P676" s="1">
        <v>313720.75164097839</v>
      </c>
      <c r="Q676" s="1">
        <v>439209.05229736969</v>
      </c>
      <c r="R676" s="1">
        <v>439209.05229736969</v>
      </c>
      <c r="S676" s="1">
        <v>439209.05229736969</v>
      </c>
      <c r="T676" s="1">
        <v>439209.05229736969</v>
      </c>
      <c r="U676" s="1">
        <v>439209.05229736969</v>
      </c>
      <c r="V676" s="1">
        <v>439209.05229736969</v>
      </c>
      <c r="W676" s="4">
        <f t="shared" si="31"/>
        <v>4356504.2884591976</v>
      </c>
      <c r="X676" s="4">
        <f t="shared" si="32"/>
        <v>4356504.2884591976</v>
      </c>
      <c r="Y676" s="5">
        <f t="shared" si="33"/>
        <v>0.58149999999999991</v>
      </c>
    </row>
    <row r="677" spans="1:25" x14ac:dyDescent="0.25">
      <c r="A677" s="1" t="s">
        <v>110</v>
      </c>
      <c r="B677" s="1" t="s">
        <v>61</v>
      </c>
      <c r="C677" s="1" t="s">
        <v>34</v>
      </c>
      <c r="D677" s="1">
        <v>73616622.485993803</v>
      </c>
      <c r="E677" s="1">
        <v>0</v>
      </c>
      <c r="F677" s="1">
        <v>0</v>
      </c>
      <c r="G677" s="1">
        <v>5889329.7982086968</v>
      </c>
      <c r="H677" s="1">
        <v>5889329.7982086968</v>
      </c>
      <c r="I677" s="1">
        <v>0</v>
      </c>
      <c r="J677" s="1">
        <v>0</v>
      </c>
      <c r="K677" s="1">
        <v>0</v>
      </c>
      <c r="L677" s="1">
        <v>0</v>
      </c>
      <c r="M677" s="1">
        <v>16931823.171946276</v>
      </c>
      <c r="N677" s="1">
        <v>16931823.171946276</v>
      </c>
      <c r="O677" s="1">
        <v>0</v>
      </c>
      <c r="P677" s="1">
        <v>0</v>
      </c>
      <c r="Q677" s="1">
        <v>0</v>
      </c>
      <c r="R677" s="1">
        <v>0</v>
      </c>
      <c r="S677" s="1">
        <v>25397734.757919416</v>
      </c>
      <c r="T677" s="1">
        <v>25397734.757919416</v>
      </c>
      <c r="U677" s="1">
        <v>0</v>
      </c>
      <c r="V677" s="1">
        <v>0</v>
      </c>
      <c r="W677" s="4">
        <f t="shared" si="31"/>
        <v>48218887.728074387</v>
      </c>
      <c r="X677" s="4">
        <f t="shared" si="32"/>
        <v>48218887.728074387</v>
      </c>
      <c r="Y677" s="5">
        <f t="shared" si="33"/>
        <v>0.65499999999658287</v>
      </c>
    </row>
    <row r="678" spans="1:25" x14ac:dyDescent="0.25">
      <c r="A678" s="1" t="s">
        <v>110</v>
      </c>
      <c r="B678" s="1" t="s">
        <v>62</v>
      </c>
      <c r="C678" s="1" t="s">
        <v>63</v>
      </c>
      <c r="D678" s="1">
        <v>29642857</v>
      </c>
      <c r="E678" s="1">
        <v>14079999.999120001</v>
      </c>
      <c r="F678" s="1">
        <v>14079999.999120001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903214.28579678561</v>
      </c>
      <c r="N678" s="1">
        <v>903214.28579678561</v>
      </c>
      <c r="O678" s="1">
        <v>752678.57149732136</v>
      </c>
      <c r="P678" s="1">
        <v>752678.57149732136</v>
      </c>
      <c r="Q678" s="1">
        <v>1053750.0000962499</v>
      </c>
      <c r="R678" s="1">
        <v>1053750.0000962499</v>
      </c>
      <c r="S678" s="1">
        <v>1053750.0000962499</v>
      </c>
      <c r="T678" s="1">
        <v>1053750.0000962499</v>
      </c>
      <c r="U678" s="1">
        <v>1053750.0000962499</v>
      </c>
      <c r="V678" s="1">
        <v>1053750.0000962499</v>
      </c>
      <c r="W678" s="4">
        <f t="shared" si="31"/>
        <v>18897142.856702857</v>
      </c>
      <c r="X678" s="4">
        <f t="shared" si="32"/>
        <v>18897142.856702857</v>
      </c>
      <c r="Y678" s="5">
        <f t="shared" si="33"/>
        <v>0.63749397896103122</v>
      </c>
    </row>
    <row r="679" spans="1:25" x14ac:dyDescent="0.25">
      <c r="A679" s="1" t="s">
        <v>110</v>
      </c>
      <c r="B679" s="1" t="s">
        <v>40</v>
      </c>
      <c r="C679" s="1" t="s">
        <v>27</v>
      </c>
      <c r="D679" s="1">
        <v>64979442</v>
      </c>
      <c r="E679" s="1">
        <v>4970916</v>
      </c>
      <c r="F679" s="1">
        <v>4970916</v>
      </c>
      <c r="G679" s="1">
        <v>7685740</v>
      </c>
      <c r="H679" s="1">
        <v>7685740</v>
      </c>
      <c r="I679" s="1">
        <v>13577841</v>
      </c>
      <c r="J679" s="1">
        <v>13577841</v>
      </c>
      <c r="K679" s="1">
        <v>5984689</v>
      </c>
      <c r="L679" s="1">
        <v>5984689</v>
      </c>
      <c r="M679" s="1">
        <v>0</v>
      </c>
      <c r="N679" s="1">
        <v>0</v>
      </c>
      <c r="O679" s="1">
        <v>8485162</v>
      </c>
      <c r="P679" s="1">
        <v>8485162</v>
      </c>
      <c r="Q679" s="1">
        <v>9180574</v>
      </c>
      <c r="R679" s="1">
        <v>9180574</v>
      </c>
      <c r="S679" s="1">
        <v>3320904</v>
      </c>
      <c r="T679" s="1">
        <v>3320904</v>
      </c>
      <c r="U679" s="1">
        <v>3820904</v>
      </c>
      <c r="V679" s="1">
        <v>3820904</v>
      </c>
      <c r="W679" s="4">
        <f t="shared" si="31"/>
        <v>57026730</v>
      </c>
      <c r="X679" s="4">
        <f t="shared" si="32"/>
        <v>57026730</v>
      </c>
      <c r="Y679" s="5">
        <f t="shared" si="33"/>
        <v>0.87761187607612878</v>
      </c>
    </row>
    <row r="680" spans="1:25" x14ac:dyDescent="0.25">
      <c r="A680" s="1" t="s">
        <v>110</v>
      </c>
      <c r="B680" s="1" t="s">
        <v>41</v>
      </c>
      <c r="C680" s="1" t="s">
        <v>27</v>
      </c>
      <c r="D680" s="1">
        <v>24149874</v>
      </c>
      <c r="E680" s="1">
        <v>0</v>
      </c>
      <c r="F680" s="1">
        <v>0</v>
      </c>
      <c r="G680" s="1">
        <v>24149874</v>
      </c>
      <c r="H680" s="1">
        <v>24149874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4">
        <f t="shared" si="31"/>
        <v>24149874</v>
      </c>
      <c r="X680" s="4">
        <f t="shared" si="32"/>
        <v>24149874</v>
      </c>
      <c r="Y680" s="5">
        <f t="shared" si="33"/>
        <v>1</v>
      </c>
    </row>
    <row r="681" spans="1:25" x14ac:dyDescent="0.25">
      <c r="A681" s="1" t="s">
        <v>110</v>
      </c>
      <c r="B681" s="1" t="s">
        <v>42</v>
      </c>
      <c r="C681" s="1" t="s">
        <v>27</v>
      </c>
      <c r="D681" s="1">
        <v>179600853</v>
      </c>
      <c r="E681" s="1">
        <v>0</v>
      </c>
      <c r="F681" s="1">
        <v>0</v>
      </c>
      <c r="G681" s="1">
        <v>32311895.32319203</v>
      </c>
      <c r="H681" s="1">
        <v>32311895.32319203</v>
      </c>
      <c r="I681" s="1">
        <v>0</v>
      </c>
      <c r="J681" s="1">
        <v>0</v>
      </c>
      <c r="K681" s="1">
        <v>0</v>
      </c>
      <c r="L681" s="1">
        <v>0</v>
      </c>
      <c r="M681" s="1">
        <v>55233359.128802985</v>
      </c>
      <c r="N681" s="1">
        <v>55233359.128802985</v>
      </c>
      <c r="O681" s="1">
        <v>36822239.419201992</v>
      </c>
      <c r="P681" s="1">
        <v>36822239.419201992</v>
      </c>
      <c r="Q681" s="1">
        <v>55233359.128802985</v>
      </c>
      <c r="R681" s="1">
        <v>55233359.128802985</v>
      </c>
      <c r="S681" s="1">
        <v>0</v>
      </c>
      <c r="T681" s="1">
        <v>0</v>
      </c>
      <c r="U681" s="1">
        <v>0</v>
      </c>
      <c r="V681" s="1">
        <v>0</v>
      </c>
      <c r="W681" s="4">
        <f t="shared" si="31"/>
        <v>179600853</v>
      </c>
      <c r="X681" s="4">
        <f t="shared" si="32"/>
        <v>179600853</v>
      </c>
      <c r="Y681" s="5">
        <f t="shared" si="33"/>
        <v>1</v>
      </c>
    </row>
    <row r="682" spans="1:25" x14ac:dyDescent="0.25">
      <c r="A682" s="1" t="s">
        <v>110</v>
      </c>
      <c r="B682" s="1" t="s">
        <v>43</v>
      </c>
      <c r="C682" s="1" t="s">
        <v>31</v>
      </c>
      <c r="D682" s="1">
        <v>9120481</v>
      </c>
      <c r="E682" s="1">
        <v>529794.18953641877</v>
      </c>
      <c r="F682" s="1">
        <v>529794.18953641877</v>
      </c>
      <c r="G682" s="1">
        <v>662242.73692052346</v>
      </c>
      <c r="H682" s="1">
        <v>662242.73692052346</v>
      </c>
      <c r="I682" s="1">
        <v>662242.73692052346</v>
      </c>
      <c r="J682" s="1">
        <v>662242.73692052346</v>
      </c>
      <c r="K682" s="1">
        <v>662242.73692052346</v>
      </c>
      <c r="L682" s="1">
        <v>662242.73692052346</v>
      </c>
      <c r="M682" s="1">
        <v>492426.86108631955</v>
      </c>
      <c r="N682" s="1">
        <v>492426.86108631955</v>
      </c>
      <c r="O682" s="1">
        <v>410355.717571933</v>
      </c>
      <c r="P682" s="1">
        <v>410355.717571933</v>
      </c>
      <c r="Q682" s="1">
        <v>508571.00441759027</v>
      </c>
      <c r="R682" s="1">
        <v>508571.00441759027</v>
      </c>
      <c r="S682" s="1">
        <v>574498.00460070616</v>
      </c>
      <c r="T682" s="1">
        <v>574498.00460070616</v>
      </c>
      <c r="U682" s="1">
        <v>574498.00460070616</v>
      </c>
      <c r="V682" s="1">
        <v>574498.00460070616</v>
      </c>
      <c r="W682" s="4">
        <f t="shared" si="31"/>
        <v>5076871.992575245</v>
      </c>
      <c r="X682" s="4">
        <f t="shared" si="32"/>
        <v>5076871.992575245</v>
      </c>
      <c r="Y682" s="5">
        <f t="shared" si="33"/>
        <v>0.5566452024378149</v>
      </c>
    </row>
    <row r="683" spans="1:25" x14ac:dyDescent="0.25">
      <c r="A683" s="1" t="s">
        <v>110</v>
      </c>
      <c r="B683" s="1" t="s">
        <v>64</v>
      </c>
      <c r="C683" s="1" t="s">
        <v>23</v>
      </c>
      <c r="D683" s="1">
        <v>3904511.5508832326</v>
      </c>
      <c r="E683" s="1">
        <v>257697.76235829337</v>
      </c>
      <c r="F683" s="1">
        <v>257697.76235829337</v>
      </c>
      <c r="G683" s="1">
        <v>322122.2029478667</v>
      </c>
      <c r="H683" s="1">
        <v>322122.2029478667</v>
      </c>
      <c r="I683" s="1">
        <v>322122.2029478667</v>
      </c>
      <c r="J683" s="1">
        <v>322122.2029478667</v>
      </c>
      <c r="K683" s="1">
        <v>322122.2029478667</v>
      </c>
      <c r="L683" s="1">
        <v>322122.2029478667</v>
      </c>
      <c r="M683" s="1">
        <v>196201.70543188244</v>
      </c>
      <c r="N683" s="1">
        <v>196201.70543188244</v>
      </c>
      <c r="O683" s="1">
        <v>163501.42119323538</v>
      </c>
      <c r="P683" s="1">
        <v>163501.42119323538</v>
      </c>
      <c r="Q683" s="1">
        <v>228901.98967052953</v>
      </c>
      <c r="R683" s="1">
        <v>228901.98967052953</v>
      </c>
      <c r="S683" s="1">
        <v>228901.98967052953</v>
      </c>
      <c r="T683" s="1">
        <v>228901.98967052953</v>
      </c>
      <c r="U683" s="1">
        <v>228901.98967052953</v>
      </c>
      <c r="V683" s="1">
        <v>228901.98967052953</v>
      </c>
      <c r="W683" s="4">
        <f t="shared" si="31"/>
        <v>2270473.4668385996</v>
      </c>
      <c r="X683" s="4">
        <f t="shared" si="32"/>
        <v>2270473.4668385996</v>
      </c>
      <c r="Y683" s="5">
        <f t="shared" si="33"/>
        <v>0.58150000000000002</v>
      </c>
    </row>
    <row r="684" spans="1:25" x14ac:dyDescent="0.25">
      <c r="A684" s="1" t="s">
        <v>110</v>
      </c>
      <c r="B684" s="1" t="s">
        <v>65</v>
      </c>
      <c r="C684" s="1" t="s">
        <v>31</v>
      </c>
      <c r="D684" s="1">
        <v>7579400.4163915413</v>
      </c>
      <c r="E684" s="1">
        <v>500240.42748184176</v>
      </c>
      <c r="F684" s="1">
        <v>500240.42748184176</v>
      </c>
      <c r="G684" s="1">
        <v>625300.5343523022</v>
      </c>
      <c r="H684" s="1">
        <v>625300.5343523022</v>
      </c>
      <c r="I684" s="1">
        <v>625300.5343523022</v>
      </c>
      <c r="J684" s="1">
        <v>625300.5343523022</v>
      </c>
      <c r="K684" s="1">
        <v>625300.5343523022</v>
      </c>
      <c r="L684" s="1">
        <v>625300.5343523022</v>
      </c>
      <c r="M684" s="1">
        <v>380864.8709236749</v>
      </c>
      <c r="N684" s="1">
        <v>380864.8709236749</v>
      </c>
      <c r="O684" s="1">
        <v>317387.39243639575</v>
      </c>
      <c r="P684" s="1">
        <v>317387.39243639575</v>
      </c>
      <c r="Q684" s="1">
        <v>444342.34941095405</v>
      </c>
      <c r="R684" s="1">
        <v>444342.34941095405</v>
      </c>
      <c r="S684" s="1">
        <v>444342.34941095405</v>
      </c>
      <c r="T684" s="1">
        <v>444342.34941095405</v>
      </c>
      <c r="U684" s="1">
        <v>444342.34941095405</v>
      </c>
      <c r="V684" s="1">
        <v>444342.34941095405</v>
      </c>
      <c r="W684" s="4">
        <f t="shared" si="31"/>
        <v>4407421.3421316817</v>
      </c>
      <c r="X684" s="4">
        <f t="shared" si="32"/>
        <v>4407421.3421316817</v>
      </c>
      <c r="Y684" s="5">
        <f t="shared" si="33"/>
        <v>0.58150000000000002</v>
      </c>
    </row>
    <row r="685" spans="1:25" x14ac:dyDescent="0.25">
      <c r="A685" s="1" t="s">
        <v>110</v>
      </c>
      <c r="B685" s="1" t="s">
        <v>44</v>
      </c>
      <c r="C685" s="1" t="s">
        <v>45</v>
      </c>
      <c r="D685" s="1">
        <v>7491838.8451576922</v>
      </c>
      <c r="E685" s="1">
        <v>494461.3637804077</v>
      </c>
      <c r="F685" s="1">
        <v>494461.3637804077</v>
      </c>
      <c r="G685" s="1">
        <v>618076.70472550963</v>
      </c>
      <c r="H685" s="1">
        <v>618076.70472550963</v>
      </c>
      <c r="I685" s="1">
        <v>618076.70472550963</v>
      </c>
      <c r="J685" s="1">
        <v>618076.70472550963</v>
      </c>
      <c r="K685" s="1">
        <v>618076.70472550963</v>
      </c>
      <c r="L685" s="1">
        <v>618076.70472550963</v>
      </c>
      <c r="M685" s="1">
        <v>376464.90196917404</v>
      </c>
      <c r="N685" s="1">
        <v>376464.90196917404</v>
      </c>
      <c r="O685" s="1">
        <v>313720.75164097839</v>
      </c>
      <c r="P685" s="1">
        <v>313720.75164097839</v>
      </c>
      <c r="Q685" s="1">
        <v>439209.05229736969</v>
      </c>
      <c r="R685" s="1">
        <v>439209.05229736969</v>
      </c>
      <c r="S685" s="1">
        <v>439209.05229736969</v>
      </c>
      <c r="T685" s="1">
        <v>439209.05229736969</v>
      </c>
      <c r="U685" s="1">
        <v>439209.05229736969</v>
      </c>
      <c r="V685" s="1">
        <v>439209.05229736969</v>
      </c>
      <c r="W685" s="4">
        <f t="shared" si="31"/>
        <v>4356504.2884591976</v>
      </c>
      <c r="X685" s="4">
        <f t="shared" si="32"/>
        <v>4356504.2884591976</v>
      </c>
      <c r="Y685" s="5">
        <f t="shared" si="33"/>
        <v>0.58149999999999991</v>
      </c>
    </row>
    <row r="686" spans="1:25" x14ac:dyDescent="0.25">
      <c r="A686" s="1" t="s">
        <v>110</v>
      </c>
      <c r="B686" s="1" t="s">
        <v>46</v>
      </c>
      <c r="C686" s="1" t="s">
        <v>22</v>
      </c>
      <c r="D686" s="1">
        <v>46349476.3068076</v>
      </c>
      <c r="E686" s="1">
        <v>3061930.9466164331</v>
      </c>
      <c r="F686" s="1">
        <v>3061930.9466164331</v>
      </c>
      <c r="G686" s="1">
        <v>3827413.683270541</v>
      </c>
      <c r="H686" s="1">
        <v>3827413.683270541</v>
      </c>
      <c r="I686" s="1">
        <v>3827413.683270541</v>
      </c>
      <c r="J686" s="1">
        <v>3827413.683270541</v>
      </c>
      <c r="K686" s="1">
        <v>3827413.683270541</v>
      </c>
      <c r="L686" s="1">
        <v>3827413.683270541</v>
      </c>
      <c r="M686" s="1">
        <v>2401576.2468158538</v>
      </c>
      <c r="N686" s="1">
        <v>2401576.2468158538</v>
      </c>
      <c r="O686" s="1">
        <v>1952936.5747712997</v>
      </c>
      <c r="P686" s="1">
        <v>1952936.5747712997</v>
      </c>
      <c r="Q686" s="1">
        <v>2703719.4535552021</v>
      </c>
      <c r="R686" s="1">
        <v>2703719.4535552021</v>
      </c>
      <c r="S686" s="1">
        <v>2703719.4535552021</v>
      </c>
      <c r="T686" s="1">
        <v>2703719.4535552021</v>
      </c>
      <c r="U686" s="1">
        <v>2703719.4535552021</v>
      </c>
      <c r="V686" s="1">
        <v>2703719.4535552021</v>
      </c>
      <c r="W686" s="4">
        <f t="shared" si="31"/>
        <v>27009843.178680815</v>
      </c>
      <c r="X686" s="4">
        <f t="shared" si="32"/>
        <v>27009843.178680815</v>
      </c>
      <c r="Y686" s="5">
        <f t="shared" si="33"/>
        <v>0.58274322238056731</v>
      </c>
    </row>
    <row r="687" spans="1:25" x14ac:dyDescent="0.25">
      <c r="A687" s="1" t="s">
        <v>110</v>
      </c>
      <c r="B687" s="1" t="s">
        <v>66</v>
      </c>
      <c r="C687" s="1" t="s">
        <v>24</v>
      </c>
      <c r="D687" s="1">
        <v>193821417.92563578</v>
      </c>
      <c r="E687" s="1">
        <v>15990266.978864953</v>
      </c>
      <c r="F687" s="1">
        <v>15990266.978864953</v>
      </c>
      <c r="G687" s="1">
        <v>15990266.978864953</v>
      </c>
      <c r="H687" s="1">
        <v>15990266.978864953</v>
      </c>
      <c r="I687" s="1">
        <v>15990266.978864953</v>
      </c>
      <c r="J687" s="1">
        <v>15990266.978864953</v>
      </c>
      <c r="K687" s="1">
        <v>15990266.978864953</v>
      </c>
      <c r="L687" s="1">
        <v>15990266.978864953</v>
      </c>
      <c r="M687" s="1">
        <v>18735223.984540179</v>
      </c>
      <c r="N687" s="1">
        <v>18735223.984540179</v>
      </c>
      <c r="O687" s="1">
        <v>14962425.58</v>
      </c>
      <c r="P687" s="1">
        <v>14962425.58</v>
      </c>
      <c r="Q687" s="1">
        <v>18154507.579999998</v>
      </c>
      <c r="R687" s="1">
        <v>18154507.579999998</v>
      </c>
      <c r="S687" s="1">
        <v>14962425.58</v>
      </c>
      <c r="T687" s="1">
        <v>14962425.58</v>
      </c>
      <c r="U687" s="1">
        <v>14963425.58</v>
      </c>
      <c r="V687" s="1">
        <v>14963425.58</v>
      </c>
      <c r="W687" s="4">
        <f t="shared" si="31"/>
        <v>145739076.21999997</v>
      </c>
      <c r="X687" s="4">
        <f t="shared" si="32"/>
        <v>145739076.21999997</v>
      </c>
      <c r="Y687" s="5">
        <f t="shared" si="33"/>
        <v>0.75192451783587844</v>
      </c>
    </row>
    <row r="688" spans="1:25" x14ac:dyDescent="0.25">
      <c r="A688" s="1" t="s">
        <v>110</v>
      </c>
      <c r="B688" s="1" t="s">
        <v>67</v>
      </c>
      <c r="C688" s="1" t="s">
        <v>68</v>
      </c>
      <c r="D688" s="1">
        <v>5916750.6585043678</v>
      </c>
      <c r="E688" s="1">
        <v>390505.54346128833</v>
      </c>
      <c r="F688" s="1">
        <v>390505.54346128833</v>
      </c>
      <c r="G688" s="1">
        <v>488131.92932661035</v>
      </c>
      <c r="H688" s="1">
        <v>488131.92932661035</v>
      </c>
      <c r="I688" s="1">
        <v>488131.92932661035</v>
      </c>
      <c r="J688" s="1">
        <v>488131.92932661035</v>
      </c>
      <c r="K688" s="1">
        <v>488131.92932661035</v>
      </c>
      <c r="L688" s="1">
        <v>488131.92932661035</v>
      </c>
      <c r="M688" s="1">
        <v>307671.03424222715</v>
      </c>
      <c r="N688" s="1">
        <v>307671.03424222715</v>
      </c>
      <c r="O688" s="1">
        <v>246531.277437682</v>
      </c>
      <c r="P688" s="1">
        <v>246531.277437682</v>
      </c>
      <c r="Q688" s="1">
        <v>345143.78841275477</v>
      </c>
      <c r="R688" s="1">
        <v>345143.78841275477</v>
      </c>
      <c r="S688" s="1">
        <v>345143.78841275477</v>
      </c>
      <c r="T688" s="1">
        <v>345143.78841275477</v>
      </c>
      <c r="U688" s="1">
        <v>345143.78841275477</v>
      </c>
      <c r="V688" s="1">
        <v>345143.78841275477</v>
      </c>
      <c r="W688" s="4">
        <f t="shared" si="31"/>
        <v>3444535.0083592925</v>
      </c>
      <c r="X688" s="4">
        <f t="shared" si="32"/>
        <v>3444535.0083592925</v>
      </c>
      <c r="Y688" s="5">
        <f t="shared" si="33"/>
        <v>0.58216666666666661</v>
      </c>
    </row>
    <row r="689" spans="1:25" x14ac:dyDescent="0.25">
      <c r="A689" s="1" t="s">
        <v>110</v>
      </c>
      <c r="B689" s="1" t="s">
        <v>69</v>
      </c>
      <c r="C689" s="1" t="s">
        <v>28</v>
      </c>
      <c r="D689" s="1">
        <v>7583036.5232253047</v>
      </c>
      <c r="E689" s="1">
        <v>500480.41053287016</v>
      </c>
      <c r="F689" s="1">
        <v>500480.41053287016</v>
      </c>
      <c r="G689" s="1">
        <v>625600.51316608768</v>
      </c>
      <c r="H689" s="1">
        <v>625600.51316608768</v>
      </c>
      <c r="I689" s="1">
        <v>625600.51316608768</v>
      </c>
      <c r="J689" s="1">
        <v>625600.51316608768</v>
      </c>
      <c r="K689" s="1">
        <v>625600.51316608768</v>
      </c>
      <c r="L689" s="1">
        <v>625600.51316608768</v>
      </c>
      <c r="M689" s="1">
        <v>381047.58529207151</v>
      </c>
      <c r="N689" s="1">
        <v>381047.58529207151</v>
      </c>
      <c r="O689" s="1">
        <v>317539.65441005962</v>
      </c>
      <c r="P689" s="1">
        <v>317539.65441005962</v>
      </c>
      <c r="Q689" s="1">
        <v>444555.51617408346</v>
      </c>
      <c r="R689" s="1">
        <v>444555.51617408346</v>
      </c>
      <c r="S689" s="1">
        <v>444555.51617408346</v>
      </c>
      <c r="T689" s="1">
        <v>444555.51617408346</v>
      </c>
      <c r="U689" s="1">
        <v>444555.51617408346</v>
      </c>
      <c r="V689" s="1">
        <v>444555.51617408346</v>
      </c>
      <c r="W689" s="4">
        <f t="shared" si="31"/>
        <v>4409535.7382555148</v>
      </c>
      <c r="X689" s="4">
        <f t="shared" si="32"/>
        <v>4409535.7382555148</v>
      </c>
      <c r="Y689" s="5">
        <f t="shared" si="33"/>
        <v>0.58150000000000002</v>
      </c>
    </row>
    <row r="690" spans="1:25" x14ac:dyDescent="0.25">
      <c r="A690" s="1" t="s">
        <v>110</v>
      </c>
      <c r="B690" s="1" t="s">
        <v>70</v>
      </c>
      <c r="C690" s="1" t="s">
        <v>23</v>
      </c>
      <c r="D690" s="1">
        <v>8268750.0182812503</v>
      </c>
      <c r="E690" s="1">
        <v>545737.50120656262</v>
      </c>
      <c r="F690" s="1">
        <v>545737.50120656262</v>
      </c>
      <c r="G690" s="1">
        <v>682171.87650820322</v>
      </c>
      <c r="H690" s="1">
        <v>682171.87650820322</v>
      </c>
      <c r="I690" s="1">
        <v>682171.87650820322</v>
      </c>
      <c r="J690" s="1">
        <v>682171.87650820322</v>
      </c>
      <c r="K690" s="1">
        <v>682171.87650820322</v>
      </c>
      <c r="L690" s="1">
        <v>682171.87650820322</v>
      </c>
      <c r="M690" s="1">
        <v>415504.68841863284</v>
      </c>
      <c r="N690" s="1">
        <v>415504.68841863284</v>
      </c>
      <c r="O690" s="1">
        <v>346253.90701552737</v>
      </c>
      <c r="P690" s="1">
        <v>346253.90701552737</v>
      </c>
      <c r="Q690" s="1">
        <v>484755.46982173825</v>
      </c>
      <c r="R690" s="1">
        <v>484755.46982173825</v>
      </c>
      <c r="S690" s="1">
        <v>484755.46982173825</v>
      </c>
      <c r="T690" s="1">
        <v>484755.46982173825</v>
      </c>
      <c r="U690" s="1">
        <v>484755.46982173825</v>
      </c>
      <c r="V690" s="1">
        <v>484755.46982173825</v>
      </c>
      <c r="W690" s="4">
        <f t="shared" si="31"/>
        <v>4808278.135630548</v>
      </c>
      <c r="X690" s="4">
        <f t="shared" si="32"/>
        <v>4808278.135630548</v>
      </c>
      <c r="Y690" s="5">
        <f t="shared" si="33"/>
        <v>0.58150000000000013</v>
      </c>
    </row>
    <row r="691" spans="1:25" x14ac:dyDescent="0.25">
      <c r="A691" s="1" t="s">
        <v>110</v>
      </c>
      <c r="B691" s="1" t="s">
        <v>71</v>
      </c>
      <c r="C691" s="1" t="s">
        <v>29</v>
      </c>
      <c r="D691" s="1">
        <v>7542344.3711538436</v>
      </c>
      <c r="E691" s="1">
        <v>497794.72849615378</v>
      </c>
      <c r="F691" s="1">
        <v>497794.72849615378</v>
      </c>
      <c r="G691" s="1">
        <v>622243.41062019218</v>
      </c>
      <c r="H691" s="1">
        <v>622243.41062019218</v>
      </c>
      <c r="I691" s="1">
        <v>622243.41062019218</v>
      </c>
      <c r="J691" s="1">
        <v>622243.41062019218</v>
      </c>
      <c r="K691" s="1">
        <v>622243.41062019218</v>
      </c>
      <c r="L691" s="1">
        <v>622243.41062019218</v>
      </c>
      <c r="M691" s="1">
        <v>379002.80465048057</v>
      </c>
      <c r="N691" s="1">
        <v>379002.80465048057</v>
      </c>
      <c r="O691" s="1">
        <v>315835.67054206715</v>
      </c>
      <c r="P691" s="1">
        <v>315835.67054206715</v>
      </c>
      <c r="Q691" s="1">
        <v>442169.93875889399</v>
      </c>
      <c r="R691" s="1">
        <v>442169.93875889399</v>
      </c>
      <c r="S691" s="1">
        <v>442169.93875889399</v>
      </c>
      <c r="T691" s="1">
        <v>442169.93875889399</v>
      </c>
      <c r="U691" s="1">
        <v>442169.93875889399</v>
      </c>
      <c r="V691" s="1">
        <v>442169.93875889399</v>
      </c>
      <c r="W691" s="4">
        <f t="shared" si="31"/>
        <v>4385873.2518259594</v>
      </c>
      <c r="X691" s="4">
        <f t="shared" si="32"/>
        <v>4385873.2518259594</v>
      </c>
      <c r="Y691" s="5">
        <f t="shared" si="33"/>
        <v>0.58149999999999991</v>
      </c>
    </row>
    <row r="692" spans="1:25" x14ac:dyDescent="0.25">
      <c r="A692" s="1" t="s">
        <v>110</v>
      </c>
      <c r="B692" s="1" t="s">
        <v>72</v>
      </c>
      <c r="C692" s="1" t="s">
        <v>73</v>
      </c>
      <c r="D692" s="1">
        <v>4653414.9334939513</v>
      </c>
      <c r="E692" s="1">
        <v>307125.38561060082</v>
      </c>
      <c r="F692" s="1">
        <v>307125.38561060082</v>
      </c>
      <c r="G692" s="1">
        <v>383906.73201325099</v>
      </c>
      <c r="H692" s="1">
        <v>383906.73201325099</v>
      </c>
      <c r="I692" s="1">
        <v>383906.73201325099</v>
      </c>
      <c r="J692" s="1">
        <v>383906.73201325099</v>
      </c>
      <c r="K692" s="1">
        <v>383906.73201325099</v>
      </c>
      <c r="L692" s="1">
        <v>383906.73201325099</v>
      </c>
      <c r="M692" s="1">
        <v>233834.10040807107</v>
      </c>
      <c r="N692" s="1">
        <v>233834.10040807107</v>
      </c>
      <c r="O692" s="1">
        <v>194861.75034005922</v>
      </c>
      <c r="P692" s="1">
        <v>194861.75034005922</v>
      </c>
      <c r="Q692" s="1">
        <v>272806.45047608291</v>
      </c>
      <c r="R692" s="1">
        <v>272806.45047608291</v>
      </c>
      <c r="S692" s="1">
        <v>272806.45047608291</v>
      </c>
      <c r="T692" s="1">
        <v>272806.45047608291</v>
      </c>
      <c r="U692" s="1">
        <v>272806.45047608291</v>
      </c>
      <c r="V692" s="1">
        <v>272806.45047608291</v>
      </c>
      <c r="W692" s="4">
        <f t="shared" si="31"/>
        <v>2705960.783826733</v>
      </c>
      <c r="X692" s="4">
        <f t="shared" si="32"/>
        <v>2705960.783826733</v>
      </c>
      <c r="Y692" s="5">
        <f t="shared" si="33"/>
        <v>0.58150000000000002</v>
      </c>
    </row>
    <row r="693" spans="1:25" x14ac:dyDescent="0.25">
      <c r="A693" s="1" t="s">
        <v>110</v>
      </c>
      <c r="B693" s="1" t="s">
        <v>48</v>
      </c>
      <c r="C693" s="1" t="s">
        <v>49</v>
      </c>
      <c r="D693" s="1">
        <v>4281557.5150560187</v>
      </c>
      <c r="E693" s="1">
        <v>282582.79599369731</v>
      </c>
      <c r="F693" s="1">
        <v>282582.79599369731</v>
      </c>
      <c r="G693" s="1">
        <v>353228.49499212159</v>
      </c>
      <c r="H693" s="1">
        <v>353228.49499212159</v>
      </c>
      <c r="I693" s="1">
        <v>353228.49499212159</v>
      </c>
      <c r="J693" s="1">
        <v>353228.49499212159</v>
      </c>
      <c r="K693" s="1">
        <v>353228.49499212159</v>
      </c>
      <c r="L693" s="1">
        <v>353228.49499212159</v>
      </c>
      <c r="M693" s="1">
        <v>215148.26513156493</v>
      </c>
      <c r="N693" s="1">
        <v>215148.26513156493</v>
      </c>
      <c r="O693" s="1">
        <v>179290.22094297077</v>
      </c>
      <c r="P693" s="1">
        <v>179290.22094297077</v>
      </c>
      <c r="Q693" s="1">
        <v>251006.30932015905</v>
      </c>
      <c r="R693" s="1">
        <v>251006.30932015905</v>
      </c>
      <c r="S693" s="1">
        <v>251006.30932015905</v>
      </c>
      <c r="T693" s="1">
        <v>251006.30932015905</v>
      </c>
      <c r="U693" s="1">
        <v>251006.30932015905</v>
      </c>
      <c r="V693" s="1">
        <v>251006.30932015905</v>
      </c>
      <c r="W693" s="4">
        <f t="shared" si="31"/>
        <v>2489725.6950050751</v>
      </c>
      <c r="X693" s="4">
        <f t="shared" si="32"/>
        <v>2489725.6950050751</v>
      </c>
      <c r="Y693" s="5">
        <f t="shared" si="33"/>
        <v>0.58150000000000002</v>
      </c>
    </row>
    <row r="694" spans="1:25" x14ac:dyDescent="0.25">
      <c r="A694" s="1" t="s">
        <v>110</v>
      </c>
      <c r="B694" s="1" t="s">
        <v>53</v>
      </c>
      <c r="C694" s="1" t="s">
        <v>30</v>
      </c>
      <c r="D694" s="1">
        <v>9688786.1158917695</v>
      </c>
      <c r="E694" s="1">
        <v>639459.88364885689</v>
      </c>
      <c r="F694" s="1">
        <v>639459.88364885689</v>
      </c>
      <c r="G694" s="1">
        <v>799324.85456107103</v>
      </c>
      <c r="H694" s="1">
        <v>799324.85456107103</v>
      </c>
      <c r="I694" s="1">
        <v>799324.85456107103</v>
      </c>
      <c r="J694" s="1">
        <v>799324.85456107103</v>
      </c>
      <c r="K694" s="1">
        <v>799324.85456107103</v>
      </c>
      <c r="L694" s="1">
        <v>799324.85456107103</v>
      </c>
      <c r="M694" s="1">
        <v>486861.50232356141</v>
      </c>
      <c r="N694" s="1">
        <v>486861.50232356141</v>
      </c>
      <c r="O694" s="1">
        <v>405717.91860296787</v>
      </c>
      <c r="P694" s="1">
        <v>405717.91860296787</v>
      </c>
      <c r="Q694" s="1">
        <v>568005.08604415494</v>
      </c>
      <c r="R694" s="1">
        <v>568005.08604415494</v>
      </c>
      <c r="S694" s="1">
        <v>568005.08604415494</v>
      </c>
      <c r="T694" s="1">
        <v>568005.08604415494</v>
      </c>
      <c r="U694" s="1">
        <v>568005.08604415494</v>
      </c>
      <c r="V694" s="1">
        <v>568005.08604415494</v>
      </c>
      <c r="W694" s="4">
        <f t="shared" si="31"/>
        <v>5634029.1263910634</v>
      </c>
      <c r="X694" s="4">
        <f t="shared" si="32"/>
        <v>5634029.1263910634</v>
      </c>
      <c r="Y694" s="5">
        <f t="shared" si="33"/>
        <v>0.58149999999999991</v>
      </c>
    </row>
    <row r="695" spans="1:25" x14ac:dyDescent="0.25">
      <c r="A695" s="1" t="s">
        <v>110</v>
      </c>
      <c r="B695" s="1" t="s">
        <v>74</v>
      </c>
      <c r="C695" s="1" t="s">
        <v>75</v>
      </c>
      <c r="D695" s="1">
        <v>4090015.3309198152</v>
      </c>
      <c r="E695" s="1">
        <v>269941.0118407078</v>
      </c>
      <c r="F695" s="1">
        <v>269941.0118407078</v>
      </c>
      <c r="G695" s="1">
        <v>337426.26480088476</v>
      </c>
      <c r="H695" s="1">
        <v>337426.26480088476</v>
      </c>
      <c r="I695" s="1">
        <v>337426.26480088476</v>
      </c>
      <c r="J695" s="1">
        <v>337426.26480088476</v>
      </c>
      <c r="K695" s="1">
        <v>337426.26480088476</v>
      </c>
      <c r="L695" s="1">
        <v>337426.26480088476</v>
      </c>
      <c r="M695" s="1">
        <v>205523.27037872071</v>
      </c>
      <c r="N695" s="1">
        <v>205523.27037872071</v>
      </c>
      <c r="O695" s="1">
        <v>171269.39198226726</v>
      </c>
      <c r="P695" s="1">
        <v>171269.39198226726</v>
      </c>
      <c r="Q695" s="1">
        <v>239777.14877517414</v>
      </c>
      <c r="R695" s="1">
        <v>239777.14877517414</v>
      </c>
      <c r="S695" s="1">
        <v>239777.14877517414</v>
      </c>
      <c r="T695" s="1">
        <v>239777.14877517414</v>
      </c>
      <c r="U695" s="1">
        <v>239777.14877517414</v>
      </c>
      <c r="V695" s="1">
        <v>239777.14877517414</v>
      </c>
      <c r="W695" s="4">
        <f t="shared" si="31"/>
        <v>2378343.9149298724</v>
      </c>
      <c r="X695" s="4">
        <f t="shared" si="32"/>
        <v>2378343.9149298724</v>
      </c>
      <c r="Y695" s="5">
        <f t="shared" si="33"/>
        <v>0.58149999999999991</v>
      </c>
    </row>
    <row r="696" spans="1:25" x14ac:dyDescent="0.25">
      <c r="A696" s="1" t="s">
        <v>110</v>
      </c>
      <c r="B696" s="1" t="s">
        <v>50</v>
      </c>
      <c r="C696" s="1" t="s">
        <v>25</v>
      </c>
      <c r="D696" s="1">
        <v>4495635.3908088189</v>
      </c>
      <c r="E696" s="1">
        <v>296711.93579338206</v>
      </c>
      <c r="F696" s="1">
        <v>296711.93579338206</v>
      </c>
      <c r="G696" s="1">
        <v>370889.91974172759</v>
      </c>
      <c r="H696" s="1">
        <v>370889.91974172759</v>
      </c>
      <c r="I696" s="1">
        <v>370889.91974172759</v>
      </c>
      <c r="J696" s="1">
        <v>370889.91974172759</v>
      </c>
      <c r="K696" s="1">
        <v>370889.91974172759</v>
      </c>
      <c r="L696" s="1">
        <v>370889.91974172759</v>
      </c>
      <c r="M696" s="1">
        <v>225905.6783881431</v>
      </c>
      <c r="N696" s="1">
        <v>225905.6783881431</v>
      </c>
      <c r="O696" s="1">
        <v>188254.73199011927</v>
      </c>
      <c r="P696" s="1">
        <v>188254.73199011927</v>
      </c>
      <c r="Q696" s="1">
        <v>263556.62478616694</v>
      </c>
      <c r="R696" s="1">
        <v>263556.62478616694</v>
      </c>
      <c r="S696" s="1">
        <v>263556.62478616694</v>
      </c>
      <c r="T696" s="1">
        <v>263556.62478616694</v>
      </c>
      <c r="U696" s="1">
        <v>263556.62478616694</v>
      </c>
      <c r="V696" s="1">
        <v>263556.62478616694</v>
      </c>
      <c r="W696" s="4">
        <f t="shared" si="31"/>
        <v>2614211.979755328</v>
      </c>
      <c r="X696" s="4">
        <f t="shared" si="32"/>
        <v>2614211.979755328</v>
      </c>
      <c r="Y696" s="5">
        <f t="shared" si="33"/>
        <v>0.58150000000000002</v>
      </c>
    </row>
    <row r="697" spans="1:25" x14ac:dyDescent="0.25">
      <c r="A697" s="1" t="s">
        <v>111</v>
      </c>
      <c r="B697" s="1" t="s">
        <v>59</v>
      </c>
      <c r="C697" s="1" t="s">
        <v>26</v>
      </c>
      <c r="D697" s="1">
        <v>50318076.817830458</v>
      </c>
      <c r="E697" s="1">
        <v>4441242.2879768107</v>
      </c>
      <c r="F697" s="1">
        <v>4441242.2879768107</v>
      </c>
      <c r="G697" s="1">
        <v>5551552.8599710129</v>
      </c>
      <c r="H697" s="1">
        <v>5551552.8599710129</v>
      </c>
      <c r="I697" s="1">
        <v>5551552.8599710129</v>
      </c>
      <c r="J697" s="1">
        <v>5551552.8599710129</v>
      </c>
      <c r="K697" s="1">
        <v>5551552.8599710129</v>
      </c>
      <c r="L697" s="1">
        <v>5551552.8599710129</v>
      </c>
      <c r="M697" s="1">
        <v>3513983.1722432994</v>
      </c>
      <c r="N697" s="1">
        <v>3513983.1722432994</v>
      </c>
      <c r="O697" s="1">
        <v>3513983.1722432994</v>
      </c>
      <c r="P697" s="1">
        <v>3513983.1722432994</v>
      </c>
      <c r="Q697" s="1">
        <v>3513983.1722432994</v>
      </c>
      <c r="R697" s="1">
        <v>3513983.1722432994</v>
      </c>
      <c r="S697" s="1">
        <v>3513983.1722432994</v>
      </c>
      <c r="T697" s="1">
        <v>3513983.1722432994</v>
      </c>
      <c r="U697" s="1">
        <v>3513983.1722432994</v>
      </c>
      <c r="V697" s="1">
        <v>3513983.1722432994</v>
      </c>
      <c r="W697" s="4">
        <f t="shared" si="31"/>
        <v>38665816.729106344</v>
      </c>
      <c r="X697" s="4">
        <f t="shared" si="32"/>
        <v>38665816.729106344</v>
      </c>
      <c r="Y697" s="5">
        <f t="shared" si="33"/>
        <v>0.76842795222660265</v>
      </c>
    </row>
    <row r="698" spans="1:25" x14ac:dyDescent="0.25">
      <c r="A698" s="1" t="s">
        <v>111</v>
      </c>
      <c r="B698" s="1" t="s">
        <v>60</v>
      </c>
      <c r="C698" s="1" t="s">
        <v>26</v>
      </c>
      <c r="D698" s="1">
        <v>16973473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8486736.5</v>
      </c>
      <c r="N698" s="1">
        <v>8486736.5</v>
      </c>
      <c r="O698" s="1">
        <v>8486736.5</v>
      </c>
      <c r="P698" s="1">
        <v>8486736.5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4">
        <f t="shared" si="31"/>
        <v>16973473</v>
      </c>
      <c r="X698" s="4">
        <f t="shared" si="32"/>
        <v>16973473</v>
      </c>
      <c r="Y698" s="5">
        <f t="shared" si="33"/>
        <v>1</v>
      </c>
    </row>
    <row r="699" spans="1:25" x14ac:dyDescent="0.25">
      <c r="A699" s="1" t="s">
        <v>111</v>
      </c>
      <c r="B699" s="1" t="s">
        <v>33</v>
      </c>
      <c r="C699" s="1" t="s">
        <v>34</v>
      </c>
      <c r="D699" s="1">
        <v>60000000</v>
      </c>
      <c r="E699" s="1">
        <v>0</v>
      </c>
      <c r="F699" s="1">
        <v>0</v>
      </c>
      <c r="G699" s="1">
        <v>12000000</v>
      </c>
      <c r="H699" s="1">
        <v>12000000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18000000</v>
      </c>
      <c r="P699" s="1">
        <v>18000000</v>
      </c>
      <c r="Q699" s="1">
        <v>0</v>
      </c>
      <c r="R699" s="1">
        <v>0</v>
      </c>
      <c r="S699" s="1">
        <v>18000000</v>
      </c>
      <c r="T699" s="1">
        <v>18000000</v>
      </c>
      <c r="U699" s="1">
        <v>12000000</v>
      </c>
      <c r="V699" s="1">
        <v>12000000</v>
      </c>
      <c r="W699" s="4">
        <f t="shared" si="31"/>
        <v>60000000</v>
      </c>
      <c r="X699" s="4">
        <f t="shared" si="32"/>
        <v>60000000</v>
      </c>
      <c r="Y699" s="5">
        <f t="shared" si="33"/>
        <v>1</v>
      </c>
    </row>
    <row r="700" spans="1:25" x14ac:dyDescent="0.25">
      <c r="A700" s="1" t="s">
        <v>111</v>
      </c>
      <c r="B700" s="1" t="s">
        <v>35</v>
      </c>
      <c r="C700" s="1" t="s">
        <v>34</v>
      </c>
      <c r="D700" s="1">
        <v>150000000</v>
      </c>
      <c r="E700" s="1">
        <v>0</v>
      </c>
      <c r="F700" s="1">
        <v>0</v>
      </c>
      <c r="G700" s="1">
        <v>41250000</v>
      </c>
      <c r="H700" s="1">
        <v>41250000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36250000</v>
      </c>
      <c r="P700" s="1">
        <v>36250000</v>
      </c>
      <c r="Q700" s="1">
        <v>0</v>
      </c>
      <c r="R700" s="1">
        <v>0</v>
      </c>
      <c r="S700" s="1">
        <v>36250000</v>
      </c>
      <c r="T700" s="1">
        <v>36250000</v>
      </c>
      <c r="U700" s="1">
        <v>36250000</v>
      </c>
      <c r="V700" s="1">
        <v>36250000</v>
      </c>
      <c r="W700" s="4">
        <f t="shared" si="31"/>
        <v>150000000</v>
      </c>
      <c r="X700" s="4">
        <f t="shared" si="32"/>
        <v>150000000</v>
      </c>
      <c r="Y700" s="5">
        <f t="shared" si="33"/>
        <v>1</v>
      </c>
    </row>
    <row r="701" spans="1:25" x14ac:dyDescent="0.25">
      <c r="A701" s="1" t="s">
        <v>111</v>
      </c>
      <c r="B701" s="1" t="s">
        <v>38</v>
      </c>
      <c r="C701" s="1" t="s">
        <v>39</v>
      </c>
      <c r="D701" s="1">
        <v>8365142.959398536</v>
      </c>
      <c r="E701" s="1">
        <v>552099.43532030343</v>
      </c>
      <c r="F701" s="1">
        <v>552099.43532030343</v>
      </c>
      <c r="G701" s="1">
        <v>690124.29415037925</v>
      </c>
      <c r="H701" s="1">
        <v>690124.29415037925</v>
      </c>
      <c r="I701" s="1">
        <v>690124.29415037925</v>
      </c>
      <c r="J701" s="1">
        <v>690124.29415037925</v>
      </c>
      <c r="K701" s="1">
        <v>690124.29415037925</v>
      </c>
      <c r="L701" s="1">
        <v>690124.29415037925</v>
      </c>
      <c r="M701" s="1">
        <v>420348.43370977632</v>
      </c>
      <c r="N701" s="1">
        <v>420348.43370977632</v>
      </c>
      <c r="O701" s="1">
        <v>350290.36142481363</v>
      </c>
      <c r="P701" s="1">
        <v>350290.36142481363</v>
      </c>
      <c r="Q701" s="1">
        <v>490406.50599473907</v>
      </c>
      <c r="R701" s="1">
        <v>490406.50599473907</v>
      </c>
      <c r="S701" s="1">
        <v>490406.50599473907</v>
      </c>
      <c r="T701" s="1">
        <v>490406.50599473907</v>
      </c>
      <c r="U701" s="1">
        <v>490406.50599473907</v>
      </c>
      <c r="V701" s="1">
        <v>490406.50599473907</v>
      </c>
      <c r="W701" s="4">
        <f t="shared" si="31"/>
        <v>4864330.6308902493</v>
      </c>
      <c r="X701" s="4">
        <f t="shared" si="32"/>
        <v>4864330.6308902493</v>
      </c>
      <c r="Y701" s="5">
        <f t="shared" si="33"/>
        <v>0.58150000000000002</v>
      </c>
    </row>
    <row r="702" spans="1:25" x14ac:dyDescent="0.25">
      <c r="A702" s="1" t="s">
        <v>111</v>
      </c>
      <c r="B702" s="1" t="s">
        <v>61</v>
      </c>
      <c r="C702" s="1" t="s">
        <v>34</v>
      </c>
      <c r="D702" s="1">
        <v>95532594.990703598</v>
      </c>
      <c r="E702" s="1">
        <v>0</v>
      </c>
      <c r="F702" s="1">
        <v>0</v>
      </c>
      <c r="G702" s="1">
        <v>7642607.5983857792</v>
      </c>
      <c r="H702" s="1">
        <v>7642607.5983857792</v>
      </c>
      <c r="I702" s="1">
        <v>0</v>
      </c>
      <c r="J702" s="1">
        <v>0</v>
      </c>
      <c r="K702" s="1">
        <v>0</v>
      </c>
      <c r="L702" s="1">
        <v>0</v>
      </c>
      <c r="M702" s="1">
        <v>21972496.848079454</v>
      </c>
      <c r="N702" s="1">
        <v>21972496.848079454</v>
      </c>
      <c r="O702" s="1">
        <v>0</v>
      </c>
      <c r="P702" s="1">
        <v>0</v>
      </c>
      <c r="Q702" s="1">
        <v>0</v>
      </c>
      <c r="R702" s="1">
        <v>0</v>
      </c>
      <c r="S702" s="1">
        <v>32958745.272119179</v>
      </c>
      <c r="T702" s="1">
        <v>32958745.272119179</v>
      </c>
      <c r="U702" s="1">
        <v>0</v>
      </c>
      <c r="V702" s="1">
        <v>0</v>
      </c>
      <c r="W702" s="4">
        <f t="shared" si="31"/>
        <v>62573849.718584418</v>
      </c>
      <c r="X702" s="4">
        <f t="shared" si="32"/>
        <v>62573849.718584418</v>
      </c>
      <c r="Y702" s="5">
        <f t="shared" si="33"/>
        <v>0.65499999999658298</v>
      </c>
    </row>
    <row r="703" spans="1:25" x14ac:dyDescent="0.25">
      <c r="A703" s="1" t="s">
        <v>111</v>
      </c>
      <c r="B703" s="1" t="s">
        <v>62</v>
      </c>
      <c r="C703" s="1" t="s">
        <v>63</v>
      </c>
      <c r="D703" s="1">
        <v>47142857</v>
      </c>
      <c r="E703" s="1">
        <v>18039999.999120001</v>
      </c>
      <c r="F703" s="1">
        <v>18039999.999120001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1844464.2857967855</v>
      </c>
      <c r="N703" s="1">
        <v>1844464.2857967855</v>
      </c>
      <c r="O703" s="1">
        <v>1537053.5714973214</v>
      </c>
      <c r="P703" s="1">
        <v>1537053.5714973214</v>
      </c>
      <c r="Q703" s="1">
        <v>2151875.0000962499</v>
      </c>
      <c r="R703" s="1">
        <v>2151875.0000962499</v>
      </c>
      <c r="S703" s="1">
        <v>2151875.0000962499</v>
      </c>
      <c r="T703" s="1">
        <v>2151875.0000962499</v>
      </c>
      <c r="U703" s="1">
        <v>2151875.0000962499</v>
      </c>
      <c r="V703" s="1">
        <v>2151875.0000962499</v>
      </c>
      <c r="W703" s="4">
        <f t="shared" si="31"/>
        <v>27877142.856702857</v>
      </c>
      <c r="X703" s="4">
        <f t="shared" si="32"/>
        <v>27877142.856702857</v>
      </c>
      <c r="Y703" s="5">
        <f t="shared" si="33"/>
        <v>0.59133333511591923</v>
      </c>
    </row>
    <row r="704" spans="1:25" x14ac:dyDescent="0.25">
      <c r="A704" s="1" t="s">
        <v>111</v>
      </c>
      <c r="B704" s="1" t="s">
        <v>40</v>
      </c>
      <c r="C704" s="1" t="s">
        <v>27</v>
      </c>
      <c r="D704" s="1">
        <v>83067332</v>
      </c>
      <c r="E704" s="1">
        <v>4415926</v>
      </c>
      <c r="F704" s="1">
        <v>4415926</v>
      </c>
      <c r="G704" s="1">
        <v>10923653</v>
      </c>
      <c r="H704" s="1">
        <v>10923653</v>
      </c>
      <c r="I704" s="1">
        <v>5969621</v>
      </c>
      <c r="J704" s="1">
        <v>5969621</v>
      </c>
      <c r="K704" s="1">
        <v>6969545</v>
      </c>
      <c r="L704" s="1">
        <v>6969545</v>
      </c>
      <c r="M704" s="1">
        <v>0</v>
      </c>
      <c r="N704" s="1">
        <v>0</v>
      </c>
      <c r="O704" s="1">
        <v>11097154</v>
      </c>
      <c r="P704" s="1">
        <v>11097154</v>
      </c>
      <c r="Q704" s="1">
        <v>11415311</v>
      </c>
      <c r="R704" s="1">
        <v>11415311</v>
      </c>
      <c r="S704" s="1">
        <v>8133043</v>
      </c>
      <c r="T704" s="1">
        <v>8133043</v>
      </c>
      <c r="U704" s="1">
        <v>9009133</v>
      </c>
      <c r="V704" s="1">
        <v>9009133</v>
      </c>
      <c r="W704" s="4">
        <f t="shared" si="31"/>
        <v>67933386</v>
      </c>
      <c r="X704" s="4">
        <f t="shared" si="32"/>
        <v>67933386</v>
      </c>
      <c r="Y704" s="5">
        <f t="shared" si="33"/>
        <v>0.81781109811014518</v>
      </c>
    </row>
    <row r="705" spans="1:25" x14ac:dyDescent="0.25">
      <c r="A705" s="1" t="s">
        <v>111</v>
      </c>
      <c r="B705" s="1" t="s">
        <v>41</v>
      </c>
      <c r="C705" s="1" t="s">
        <v>27</v>
      </c>
      <c r="D705" s="1">
        <v>137153742</v>
      </c>
      <c r="E705" s="1">
        <v>0</v>
      </c>
      <c r="F705" s="1">
        <v>0</v>
      </c>
      <c r="G705" s="1">
        <v>0</v>
      </c>
      <c r="H705" s="1">
        <v>0</v>
      </c>
      <c r="I705" s="1">
        <v>28222369.48114416</v>
      </c>
      <c r="J705" s="1">
        <v>28222369.48114416</v>
      </c>
      <c r="K705" s="1">
        <v>15165732</v>
      </c>
      <c r="L705" s="1">
        <v>15165732</v>
      </c>
      <c r="M705" s="1">
        <v>11900876.06957094</v>
      </c>
      <c r="N705" s="1">
        <v>11900876.06957094</v>
      </c>
      <c r="O705" s="1">
        <v>41158156.37971396</v>
      </c>
      <c r="P705" s="1">
        <v>41158156.37971396</v>
      </c>
      <c r="Q705" s="1">
        <v>40706608.069570944</v>
      </c>
      <c r="R705" s="1">
        <v>40706608.069570944</v>
      </c>
      <c r="S705" s="1">
        <v>0</v>
      </c>
      <c r="T705" s="1">
        <v>0</v>
      </c>
      <c r="U705" s="1">
        <v>0</v>
      </c>
      <c r="V705" s="1">
        <v>0</v>
      </c>
      <c r="W705" s="4">
        <f t="shared" si="31"/>
        <v>137153742</v>
      </c>
      <c r="X705" s="4">
        <f t="shared" si="32"/>
        <v>137153742</v>
      </c>
      <c r="Y705" s="5">
        <f t="shared" si="33"/>
        <v>1</v>
      </c>
    </row>
    <row r="706" spans="1:25" x14ac:dyDescent="0.25">
      <c r="A706" s="1" t="s">
        <v>111</v>
      </c>
      <c r="B706" s="1" t="s">
        <v>42</v>
      </c>
      <c r="C706" s="1" t="s">
        <v>27</v>
      </c>
      <c r="D706" s="1">
        <v>29447692.446053505</v>
      </c>
      <c r="E706" s="1">
        <v>0</v>
      </c>
      <c r="F706" s="1">
        <v>0</v>
      </c>
      <c r="G706" s="1">
        <v>10723846.446053499</v>
      </c>
      <c r="H706" s="1">
        <v>10723846.446053499</v>
      </c>
      <c r="I706" s="1">
        <v>0</v>
      </c>
      <c r="J706" s="1">
        <v>0</v>
      </c>
      <c r="K706" s="1">
        <v>0</v>
      </c>
      <c r="L706" s="1">
        <v>0</v>
      </c>
      <c r="M706" s="1">
        <v>7021442.2500000028</v>
      </c>
      <c r="N706" s="1">
        <v>7021442.2500000028</v>
      </c>
      <c r="O706" s="1">
        <v>4680961.5000000019</v>
      </c>
      <c r="P706" s="1">
        <v>4680961.5000000019</v>
      </c>
      <c r="Q706" s="1">
        <v>7021442.2500000028</v>
      </c>
      <c r="R706" s="1">
        <v>7021442.2500000028</v>
      </c>
      <c r="S706" s="1">
        <v>0</v>
      </c>
      <c r="T706" s="1">
        <v>0</v>
      </c>
      <c r="U706" s="1">
        <v>0</v>
      </c>
      <c r="V706" s="1">
        <v>0</v>
      </c>
      <c r="W706" s="4">
        <f t="shared" si="31"/>
        <v>29447692.446053505</v>
      </c>
      <c r="X706" s="4">
        <f t="shared" si="32"/>
        <v>29447692.446053505</v>
      </c>
      <c r="Y706" s="5">
        <f t="shared" si="33"/>
        <v>1</v>
      </c>
    </row>
    <row r="707" spans="1:25" x14ac:dyDescent="0.25">
      <c r="A707" s="1" t="s">
        <v>111</v>
      </c>
      <c r="B707" s="1" t="s">
        <v>43</v>
      </c>
      <c r="C707" s="1" t="s">
        <v>31</v>
      </c>
      <c r="D707" s="1">
        <v>4361844.4234332498</v>
      </c>
      <c r="E707" s="1">
        <v>253372.54099212299</v>
      </c>
      <c r="F707" s="1">
        <v>253372.54099212299</v>
      </c>
      <c r="G707" s="1">
        <v>316715.67624015373</v>
      </c>
      <c r="H707" s="1">
        <v>316715.67624015373</v>
      </c>
      <c r="I707" s="1">
        <v>316715.67624015373</v>
      </c>
      <c r="J707" s="1">
        <v>316715.67624015373</v>
      </c>
      <c r="K707" s="1">
        <v>316715.67624015373</v>
      </c>
      <c r="L707" s="1">
        <v>316715.67624015373</v>
      </c>
      <c r="M707" s="1">
        <v>235501.72408532866</v>
      </c>
      <c r="N707" s="1">
        <v>235501.72408532866</v>
      </c>
      <c r="O707" s="1">
        <v>196251.43673777388</v>
      </c>
      <c r="P707" s="1">
        <v>196251.43673777388</v>
      </c>
      <c r="Q707" s="1">
        <v>287563.72117100656</v>
      </c>
      <c r="R707" s="1">
        <v>287563.72117100656</v>
      </c>
      <c r="S707" s="1">
        <v>274752.01143288345</v>
      </c>
      <c r="T707" s="1">
        <v>274752.01143288345</v>
      </c>
      <c r="U707" s="1">
        <v>274752.01143288345</v>
      </c>
      <c r="V707" s="1">
        <v>274752.01143288345</v>
      </c>
      <c r="W707" s="4">
        <f t="shared" ref="W707:W770" si="34">U707+S707+Q707+O707+M707+K707+I707+G707+E707</f>
        <v>2472340.4745724602</v>
      </c>
      <c r="X707" s="4">
        <f t="shared" ref="X707:X770" si="35">V707+T707+R707+P707+N707+L707+J707+H707+F707</f>
        <v>2472340.4745724602</v>
      </c>
      <c r="Y707" s="5">
        <f t="shared" ref="Y707:Y770" si="36">X707/D707</f>
        <v>0.56681078795250961</v>
      </c>
    </row>
    <row r="708" spans="1:25" x14ac:dyDescent="0.25">
      <c r="A708" s="1" t="s">
        <v>111</v>
      </c>
      <c r="B708" s="1" t="s">
        <v>64</v>
      </c>
      <c r="C708" s="1" t="s">
        <v>23</v>
      </c>
      <c r="D708" s="1">
        <v>10133185.734986868</v>
      </c>
      <c r="E708" s="1">
        <v>668790.25850913336</v>
      </c>
      <c r="F708" s="1">
        <v>668790.25850913336</v>
      </c>
      <c r="G708" s="1">
        <v>835987.82313641661</v>
      </c>
      <c r="H708" s="1">
        <v>835987.82313641661</v>
      </c>
      <c r="I708" s="1">
        <v>835987.82313641661</v>
      </c>
      <c r="J708" s="1">
        <v>835987.82313641661</v>
      </c>
      <c r="K708" s="1">
        <v>835987.82313641661</v>
      </c>
      <c r="L708" s="1">
        <v>835987.82313641661</v>
      </c>
      <c r="M708" s="1">
        <v>509192.58318309003</v>
      </c>
      <c r="N708" s="1">
        <v>509192.58318309003</v>
      </c>
      <c r="O708" s="1">
        <v>424327.15265257505</v>
      </c>
      <c r="P708" s="1">
        <v>424327.15265257505</v>
      </c>
      <c r="Q708" s="1">
        <v>594058.013713605</v>
      </c>
      <c r="R708" s="1">
        <v>594058.013713605</v>
      </c>
      <c r="S708" s="1">
        <v>594058.013713605</v>
      </c>
      <c r="T708" s="1">
        <v>594058.013713605</v>
      </c>
      <c r="U708" s="1">
        <v>594058.013713605</v>
      </c>
      <c r="V708" s="1">
        <v>594058.013713605</v>
      </c>
      <c r="W708" s="4">
        <f t="shared" si="34"/>
        <v>5892447.5048948629</v>
      </c>
      <c r="X708" s="4">
        <f t="shared" si="35"/>
        <v>5892447.5048948629</v>
      </c>
      <c r="Y708" s="5">
        <f t="shared" si="36"/>
        <v>0.58149999999999991</v>
      </c>
    </row>
    <row r="709" spans="1:25" x14ac:dyDescent="0.25">
      <c r="A709" s="1" t="s">
        <v>111</v>
      </c>
      <c r="B709" s="1" t="s">
        <v>65</v>
      </c>
      <c r="C709" s="1" t="s">
        <v>31</v>
      </c>
      <c r="D709" s="1">
        <v>5169706.60919045</v>
      </c>
      <c r="E709" s="1">
        <v>341200.63620656973</v>
      </c>
      <c r="F709" s="1">
        <v>341200.63620656973</v>
      </c>
      <c r="G709" s="1">
        <v>426500.79525821214</v>
      </c>
      <c r="H709" s="1">
        <v>426500.79525821214</v>
      </c>
      <c r="I709" s="1">
        <v>426500.79525821214</v>
      </c>
      <c r="J709" s="1">
        <v>426500.79525821214</v>
      </c>
      <c r="K709" s="1">
        <v>426500.79525821214</v>
      </c>
      <c r="L709" s="1">
        <v>426500.79525821214</v>
      </c>
      <c r="M709" s="1">
        <v>259777.7571118201</v>
      </c>
      <c r="N709" s="1">
        <v>259777.7571118201</v>
      </c>
      <c r="O709" s="1">
        <v>216481.46425985009</v>
      </c>
      <c r="P709" s="1">
        <v>216481.46425985009</v>
      </c>
      <c r="Q709" s="1">
        <v>303074.04996379011</v>
      </c>
      <c r="R709" s="1">
        <v>303074.04996379011</v>
      </c>
      <c r="S709" s="1">
        <v>303074.04996379011</v>
      </c>
      <c r="T709" s="1">
        <v>303074.04996379011</v>
      </c>
      <c r="U709" s="1">
        <v>303074.04996379011</v>
      </c>
      <c r="V709" s="1">
        <v>303074.04996379011</v>
      </c>
      <c r="W709" s="4">
        <f t="shared" si="34"/>
        <v>3006184.3932442465</v>
      </c>
      <c r="X709" s="4">
        <f t="shared" si="35"/>
        <v>3006184.3932442465</v>
      </c>
      <c r="Y709" s="5">
        <f t="shared" si="36"/>
        <v>0.58149999999999991</v>
      </c>
    </row>
    <row r="710" spans="1:25" x14ac:dyDescent="0.25">
      <c r="A710" s="1" t="s">
        <v>111</v>
      </c>
      <c r="B710" s="1" t="s">
        <v>44</v>
      </c>
      <c r="C710" s="1" t="s">
        <v>45</v>
      </c>
      <c r="D710" s="1">
        <v>8365142.959398536</v>
      </c>
      <c r="E710" s="1">
        <v>552099.43532030343</v>
      </c>
      <c r="F710" s="1">
        <v>552099.43532030343</v>
      </c>
      <c r="G710" s="1">
        <v>690124.29415037925</v>
      </c>
      <c r="H710" s="1">
        <v>690124.29415037925</v>
      </c>
      <c r="I710" s="1">
        <v>690124.29415037925</v>
      </c>
      <c r="J710" s="1">
        <v>690124.29415037925</v>
      </c>
      <c r="K710" s="1">
        <v>690124.29415037925</v>
      </c>
      <c r="L710" s="1">
        <v>690124.29415037925</v>
      </c>
      <c r="M710" s="1">
        <v>420348.43370977632</v>
      </c>
      <c r="N710" s="1">
        <v>420348.43370977632</v>
      </c>
      <c r="O710" s="1">
        <v>350290.36142481363</v>
      </c>
      <c r="P710" s="1">
        <v>350290.36142481363</v>
      </c>
      <c r="Q710" s="1">
        <v>490406.50599473907</v>
      </c>
      <c r="R710" s="1">
        <v>490406.50599473907</v>
      </c>
      <c r="S710" s="1">
        <v>490406.50599473907</v>
      </c>
      <c r="T710" s="1">
        <v>490406.50599473907</v>
      </c>
      <c r="U710" s="1">
        <v>490406.50599473907</v>
      </c>
      <c r="V710" s="1">
        <v>490406.50599473907</v>
      </c>
      <c r="W710" s="4">
        <f t="shared" si="34"/>
        <v>4864330.6308902493</v>
      </c>
      <c r="X710" s="4">
        <f t="shared" si="35"/>
        <v>4864330.6308902493</v>
      </c>
      <c r="Y710" s="5">
        <f t="shared" si="36"/>
        <v>0.58150000000000002</v>
      </c>
    </row>
    <row r="711" spans="1:25" x14ac:dyDescent="0.25">
      <c r="A711" s="1" t="s">
        <v>111</v>
      </c>
      <c r="B711" s="1" t="s">
        <v>46</v>
      </c>
      <c r="C711" s="1" t="s">
        <v>22</v>
      </c>
      <c r="D711" s="1">
        <v>80331705.463707015</v>
      </c>
      <c r="E711" s="1">
        <v>5306858.9885593578</v>
      </c>
      <c r="F711" s="1">
        <v>5306858.9885593578</v>
      </c>
      <c r="G711" s="1">
        <v>6633573.7356991973</v>
      </c>
      <c r="H711" s="1">
        <v>6633573.7356991973</v>
      </c>
      <c r="I711" s="1">
        <v>6633573.7356991973</v>
      </c>
      <c r="J711" s="1">
        <v>6633573.7356991973</v>
      </c>
      <c r="K711" s="1">
        <v>6633573.7356991973</v>
      </c>
      <c r="L711" s="1">
        <v>6633573.7356991973</v>
      </c>
      <c r="M711" s="1">
        <v>4162349.4175167298</v>
      </c>
      <c r="N711" s="1">
        <v>4162349.4175167298</v>
      </c>
      <c r="O711" s="1">
        <v>3384778.8198372074</v>
      </c>
      <c r="P711" s="1">
        <v>3384778.8198372074</v>
      </c>
      <c r="Q711" s="1">
        <v>4686016.1560787875</v>
      </c>
      <c r="R711" s="1">
        <v>4686016.1560787875</v>
      </c>
      <c r="S711" s="1">
        <v>4686016.1560787875</v>
      </c>
      <c r="T711" s="1">
        <v>4686016.1560787875</v>
      </c>
      <c r="U711" s="1">
        <v>4686016.1560787875</v>
      </c>
      <c r="V711" s="1">
        <v>4686016.1560787875</v>
      </c>
      <c r="W711" s="4">
        <f t="shared" si="34"/>
        <v>46812756.901247256</v>
      </c>
      <c r="X711" s="4">
        <f t="shared" si="35"/>
        <v>46812756.901247256</v>
      </c>
      <c r="Y711" s="5">
        <f t="shared" si="36"/>
        <v>0.58274322238056742</v>
      </c>
    </row>
    <row r="712" spans="1:25" x14ac:dyDescent="0.25">
      <c r="A712" s="1" t="s">
        <v>111</v>
      </c>
      <c r="B712" s="1" t="s">
        <v>66</v>
      </c>
      <c r="C712" s="1" t="s">
        <v>24</v>
      </c>
      <c r="D712" s="1">
        <v>264650890.71621689</v>
      </c>
      <c r="E712" s="1">
        <v>21833698.484087896</v>
      </c>
      <c r="F712" s="1">
        <v>21833698.484087896</v>
      </c>
      <c r="G712" s="1">
        <v>21833698.484087896</v>
      </c>
      <c r="H712" s="1">
        <v>21833698.484087896</v>
      </c>
      <c r="I712" s="1">
        <v>21833698.484087896</v>
      </c>
      <c r="J712" s="1">
        <v>21833698.484087896</v>
      </c>
      <c r="K712" s="1">
        <v>21833698.484087896</v>
      </c>
      <c r="L712" s="1">
        <v>21833698.484087896</v>
      </c>
      <c r="M712" s="1">
        <v>23558205.77986531</v>
      </c>
      <c r="N712" s="1">
        <v>23558205.77986531</v>
      </c>
      <c r="O712" s="1">
        <v>22050000</v>
      </c>
      <c r="P712" s="1">
        <v>22050000</v>
      </c>
      <c r="Q712" s="1">
        <v>22935000</v>
      </c>
      <c r="R712" s="1">
        <v>22935000</v>
      </c>
      <c r="S712" s="1">
        <v>22300000</v>
      </c>
      <c r="T712" s="1">
        <v>22300000</v>
      </c>
      <c r="U712" s="1">
        <v>21770000</v>
      </c>
      <c r="V712" s="1">
        <v>21770000</v>
      </c>
      <c r="W712" s="4">
        <f t="shared" si="34"/>
        <v>199947999.71621686</v>
      </c>
      <c r="X712" s="4">
        <f t="shared" si="35"/>
        <v>199947999.71621686</v>
      </c>
      <c r="Y712" s="5">
        <f t="shared" si="36"/>
        <v>0.75551606561800522</v>
      </c>
    </row>
    <row r="713" spans="1:25" x14ac:dyDescent="0.25">
      <c r="A713" s="1" t="s">
        <v>111</v>
      </c>
      <c r="B713" s="1" t="s">
        <v>67</v>
      </c>
      <c r="C713" s="1" t="s">
        <v>68</v>
      </c>
      <c r="D713" s="1">
        <v>5916750.6585043678</v>
      </c>
      <c r="E713" s="1">
        <v>390505.54346128833</v>
      </c>
      <c r="F713" s="1">
        <v>390505.54346128833</v>
      </c>
      <c r="G713" s="1">
        <v>488131.92932661035</v>
      </c>
      <c r="H713" s="1">
        <v>488131.92932661035</v>
      </c>
      <c r="I713" s="1">
        <v>488131.92932661035</v>
      </c>
      <c r="J713" s="1">
        <v>488131.92932661035</v>
      </c>
      <c r="K713" s="1">
        <v>488131.92932661035</v>
      </c>
      <c r="L713" s="1">
        <v>488131.92932661035</v>
      </c>
      <c r="M713" s="1">
        <v>307671.03424222715</v>
      </c>
      <c r="N713" s="1">
        <v>307671.03424222715</v>
      </c>
      <c r="O713" s="1">
        <v>246531.277437682</v>
      </c>
      <c r="P713" s="1">
        <v>246531.277437682</v>
      </c>
      <c r="Q713" s="1">
        <v>345143.78841275477</v>
      </c>
      <c r="R713" s="1">
        <v>345143.78841275477</v>
      </c>
      <c r="S713" s="1">
        <v>345143.78841275477</v>
      </c>
      <c r="T713" s="1">
        <v>345143.78841275477</v>
      </c>
      <c r="U713" s="1">
        <v>345143.78841275477</v>
      </c>
      <c r="V713" s="1">
        <v>345143.78841275477</v>
      </c>
      <c r="W713" s="4">
        <f t="shared" si="34"/>
        <v>3444535.0083592925</v>
      </c>
      <c r="X713" s="4">
        <f t="shared" si="35"/>
        <v>3444535.0083592925</v>
      </c>
      <c r="Y713" s="5">
        <f t="shared" si="36"/>
        <v>0.58216666666666661</v>
      </c>
    </row>
    <row r="714" spans="1:25" x14ac:dyDescent="0.25">
      <c r="A714" s="1" t="s">
        <v>111</v>
      </c>
      <c r="B714" s="1" t="s">
        <v>47</v>
      </c>
      <c r="C714" s="1" t="s">
        <v>34</v>
      </c>
      <c r="D714" s="1">
        <v>11415625.887323946</v>
      </c>
      <c r="E714" s="1">
        <v>0</v>
      </c>
      <c r="F714" s="1">
        <v>0</v>
      </c>
      <c r="G714" s="1">
        <v>48846.981494704778</v>
      </c>
      <c r="H714" s="1">
        <v>48846.981494704778</v>
      </c>
      <c r="I714" s="1">
        <v>0</v>
      </c>
      <c r="J714" s="1">
        <v>0</v>
      </c>
      <c r="K714" s="1">
        <v>0</v>
      </c>
      <c r="L714" s="1">
        <v>0</v>
      </c>
      <c r="M714" s="1">
        <v>11366778.905829241</v>
      </c>
      <c r="N714" s="1">
        <v>11366778.905829241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4">
        <f t="shared" si="34"/>
        <v>11415625.887323946</v>
      </c>
      <c r="X714" s="4">
        <f t="shared" si="35"/>
        <v>11415625.887323946</v>
      </c>
      <c r="Y714" s="5">
        <f t="shared" si="36"/>
        <v>1</v>
      </c>
    </row>
    <row r="715" spans="1:25" x14ac:dyDescent="0.25">
      <c r="A715" s="1" t="s">
        <v>111</v>
      </c>
      <c r="B715" s="1" t="s">
        <v>69</v>
      </c>
      <c r="C715" s="1" t="s">
        <v>28</v>
      </c>
      <c r="D715" s="1">
        <v>6194635.0501373634</v>
      </c>
      <c r="E715" s="1">
        <v>408845.91330906603</v>
      </c>
      <c r="F715" s="1">
        <v>408845.91330906603</v>
      </c>
      <c r="G715" s="1">
        <v>511057.3916363325</v>
      </c>
      <c r="H715" s="1">
        <v>511057.3916363325</v>
      </c>
      <c r="I715" s="1">
        <v>511057.3916363325</v>
      </c>
      <c r="J715" s="1">
        <v>511057.3916363325</v>
      </c>
      <c r="K715" s="1">
        <v>511057.3916363325</v>
      </c>
      <c r="L715" s="1">
        <v>511057.3916363325</v>
      </c>
      <c r="M715" s="1">
        <v>311280.41126940248</v>
      </c>
      <c r="N715" s="1">
        <v>311280.41126940248</v>
      </c>
      <c r="O715" s="1">
        <v>259400.34272450209</v>
      </c>
      <c r="P715" s="1">
        <v>259400.34272450209</v>
      </c>
      <c r="Q715" s="1">
        <v>363160.47981430287</v>
      </c>
      <c r="R715" s="1">
        <v>363160.47981430287</v>
      </c>
      <c r="S715" s="1">
        <v>363160.47981430287</v>
      </c>
      <c r="T715" s="1">
        <v>363160.47981430287</v>
      </c>
      <c r="U715" s="1">
        <v>363160.47981430287</v>
      </c>
      <c r="V715" s="1">
        <v>363160.47981430287</v>
      </c>
      <c r="W715" s="4">
        <f t="shared" si="34"/>
        <v>3602180.2816548767</v>
      </c>
      <c r="X715" s="4">
        <f t="shared" si="35"/>
        <v>3602180.2816548767</v>
      </c>
      <c r="Y715" s="5">
        <f t="shared" si="36"/>
        <v>0.58150000000000002</v>
      </c>
    </row>
    <row r="716" spans="1:25" x14ac:dyDescent="0.25">
      <c r="A716" s="1" t="s">
        <v>111</v>
      </c>
      <c r="B716" s="1" t="s">
        <v>70</v>
      </c>
      <c r="C716" s="1" t="s">
        <v>23</v>
      </c>
      <c r="D716" s="1">
        <v>8268750.0182812503</v>
      </c>
      <c r="E716" s="1">
        <v>545737.50120656262</v>
      </c>
      <c r="F716" s="1">
        <v>545737.50120656262</v>
      </c>
      <c r="G716" s="1">
        <v>682171.87650820322</v>
      </c>
      <c r="H716" s="1">
        <v>682171.87650820322</v>
      </c>
      <c r="I716" s="1">
        <v>682171.87650820322</v>
      </c>
      <c r="J716" s="1">
        <v>682171.87650820322</v>
      </c>
      <c r="K716" s="1">
        <v>682171.87650820322</v>
      </c>
      <c r="L716" s="1">
        <v>682171.87650820322</v>
      </c>
      <c r="M716" s="1">
        <v>415504.68841863284</v>
      </c>
      <c r="N716" s="1">
        <v>415504.68841863284</v>
      </c>
      <c r="O716" s="1">
        <v>346253.90701552737</v>
      </c>
      <c r="P716" s="1">
        <v>346253.90701552737</v>
      </c>
      <c r="Q716" s="1">
        <v>484755.46982173825</v>
      </c>
      <c r="R716" s="1">
        <v>484755.46982173825</v>
      </c>
      <c r="S716" s="1">
        <v>484755.46982173825</v>
      </c>
      <c r="T716" s="1">
        <v>484755.46982173825</v>
      </c>
      <c r="U716" s="1">
        <v>484755.46982173825</v>
      </c>
      <c r="V716" s="1">
        <v>484755.46982173825</v>
      </c>
      <c r="W716" s="4">
        <f t="shared" si="34"/>
        <v>4808278.135630548</v>
      </c>
      <c r="X716" s="4">
        <f t="shared" si="35"/>
        <v>4808278.135630548</v>
      </c>
      <c r="Y716" s="5">
        <f t="shared" si="36"/>
        <v>0.58150000000000013</v>
      </c>
    </row>
    <row r="717" spans="1:25" x14ac:dyDescent="0.25">
      <c r="A717" s="1" t="s">
        <v>111</v>
      </c>
      <c r="B717" s="1" t="s">
        <v>71</v>
      </c>
      <c r="C717" s="1" t="s">
        <v>29</v>
      </c>
      <c r="D717" s="1">
        <v>7028205.5711538428</v>
      </c>
      <c r="E717" s="1">
        <v>463861.56769615365</v>
      </c>
      <c r="F717" s="1">
        <v>463861.56769615365</v>
      </c>
      <c r="G717" s="1">
        <v>579826.95962019206</v>
      </c>
      <c r="H717" s="1">
        <v>579826.95962019206</v>
      </c>
      <c r="I717" s="1">
        <v>579826.95962019206</v>
      </c>
      <c r="J717" s="1">
        <v>579826.95962019206</v>
      </c>
      <c r="K717" s="1">
        <v>579826.95962019206</v>
      </c>
      <c r="L717" s="1">
        <v>579826.95962019206</v>
      </c>
      <c r="M717" s="1">
        <v>353167.32995048061</v>
      </c>
      <c r="N717" s="1">
        <v>353167.32995048061</v>
      </c>
      <c r="O717" s="1">
        <v>294306.10829206719</v>
      </c>
      <c r="P717" s="1">
        <v>294306.10829206719</v>
      </c>
      <c r="Q717" s="1">
        <v>412028.55160889402</v>
      </c>
      <c r="R717" s="1">
        <v>412028.55160889402</v>
      </c>
      <c r="S717" s="1">
        <v>412028.55160889402</v>
      </c>
      <c r="T717" s="1">
        <v>412028.55160889402</v>
      </c>
      <c r="U717" s="1">
        <v>412028.55160889402</v>
      </c>
      <c r="V717" s="1">
        <v>412028.55160889402</v>
      </c>
      <c r="W717" s="4">
        <f t="shared" si="34"/>
        <v>4086901.5396259599</v>
      </c>
      <c r="X717" s="4">
        <f t="shared" si="35"/>
        <v>4086901.5396259599</v>
      </c>
      <c r="Y717" s="5">
        <f t="shared" si="36"/>
        <v>0.58150000000000002</v>
      </c>
    </row>
    <row r="718" spans="1:25" x14ac:dyDescent="0.25">
      <c r="A718" s="1" t="s">
        <v>111</v>
      </c>
      <c r="B718" s="1" t="s">
        <v>72</v>
      </c>
      <c r="C718" s="1" t="s">
        <v>73</v>
      </c>
      <c r="D718" s="1">
        <v>6384063.3470905442</v>
      </c>
      <c r="E718" s="1">
        <v>421348.180907976</v>
      </c>
      <c r="F718" s="1">
        <v>421348.180907976</v>
      </c>
      <c r="G718" s="1">
        <v>526685.22613496997</v>
      </c>
      <c r="H718" s="1">
        <v>526685.22613496997</v>
      </c>
      <c r="I718" s="1">
        <v>526685.22613496997</v>
      </c>
      <c r="J718" s="1">
        <v>526685.22613496997</v>
      </c>
      <c r="K718" s="1">
        <v>526685.22613496997</v>
      </c>
      <c r="L718" s="1">
        <v>526685.22613496997</v>
      </c>
      <c r="M718" s="1">
        <v>320799.18319129985</v>
      </c>
      <c r="N718" s="1">
        <v>320799.18319129985</v>
      </c>
      <c r="O718" s="1">
        <v>267332.65265941655</v>
      </c>
      <c r="P718" s="1">
        <v>267332.65265941655</v>
      </c>
      <c r="Q718" s="1">
        <v>374265.71372318314</v>
      </c>
      <c r="R718" s="1">
        <v>374265.71372318314</v>
      </c>
      <c r="S718" s="1">
        <v>374265.71372318314</v>
      </c>
      <c r="T718" s="1">
        <v>374265.71372318314</v>
      </c>
      <c r="U718" s="1">
        <v>374265.71372318314</v>
      </c>
      <c r="V718" s="1">
        <v>374265.71372318314</v>
      </c>
      <c r="W718" s="4">
        <f t="shared" si="34"/>
        <v>3712332.8363331514</v>
      </c>
      <c r="X718" s="4">
        <f t="shared" si="35"/>
        <v>3712332.8363331514</v>
      </c>
      <c r="Y718" s="5">
        <f t="shared" si="36"/>
        <v>0.58150000000000002</v>
      </c>
    </row>
    <row r="719" spans="1:25" x14ac:dyDescent="0.25">
      <c r="A719" s="1" t="s">
        <v>111</v>
      </c>
      <c r="B719" s="1" t="s">
        <v>48</v>
      </c>
      <c r="C719" s="1" t="s">
        <v>49</v>
      </c>
      <c r="D719" s="1">
        <v>4663262.8905674908</v>
      </c>
      <c r="E719" s="1">
        <v>307775.35077745438</v>
      </c>
      <c r="F719" s="1">
        <v>307775.35077745438</v>
      </c>
      <c r="G719" s="1">
        <v>384719.18847181799</v>
      </c>
      <c r="H719" s="1">
        <v>384719.18847181799</v>
      </c>
      <c r="I719" s="1">
        <v>384719.18847181799</v>
      </c>
      <c r="J719" s="1">
        <v>384719.18847181799</v>
      </c>
      <c r="K719" s="1">
        <v>384719.18847181799</v>
      </c>
      <c r="L719" s="1">
        <v>384719.18847181799</v>
      </c>
      <c r="M719" s="1">
        <v>234328.9602510164</v>
      </c>
      <c r="N719" s="1">
        <v>234328.9602510164</v>
      </c>
      <c r="O719" s="1">
        <v>195274.13354251368</v>
      </c>
      <c r="P719" s="1">
        <v>195274.13354251368</v>
      </c>
      <c r="Q719" s="1">
        <v>273383.78695951914</v>
      </c>
      <c r="R719" s="1">
        <v>273383.78695951914</v>
      </c>
      <c r="S719" s="1">
        <v>273383.78695951914</v>
      </c>
      <c r="T719" s="1">
        <v>273383.78695951914</v>
      </c>
      <c r="U719" s="1">
        <v>273383.78695951914</v>
      </c>
      <c r="V719" s="1">
        <v>273383.78695951914</v>
      </c>
      <c r="W719" s="4">
        <f t="shared" si="34"/>
        <v>2711687.3708649953</v>
      </c>
      <c r="X719" s="4">
        <f t="shared" si="35"/>
        <v>2711687.3708649953</v>
      </c>
      <c r="Y719" s="5">
        <f t="shared" si="36"/>
        <v>0.58149999999999991</v>
      </c>
    </row>
    <row r="720" spans="1:25" x14ac:dyDescent="0.25">
      <c r="A720" s="1" t="s">
        <v>111</v>
      </c>
      <c r="B720" s="1" t="s">
        <v>53</v>
      </c>
      <c r="C720" s="1" t="s">
        <v>30</v>
      </c>
      <c r="D720" s="1">
        <v>3286014.9262045384</v>
      </c>
      <c r="E720" s="1">
        <v>216876.98512949955</v>
      </c>
      <c r="F720" s="1">
        <v>216876.98512949955</v>
      </c>
      <c r="G720" s="1">
        <v>271096.23141187441</v>
      </c>
      <c r="H720" s="1">
        <v>271096.23141187441</v>
      </c>
      <c r="I720" s="1">
        <v>271096.23141187441</v>
      </c>
      <c r="J720" s="1">
        <v>271096.23141187441</v>
      </c>
      <c r="K720" s="1">
        <v>271096.23141187441</v>
      </c>
      <c r="L720" s="1">
        <v>271096.23141187441</v>
      </c>
      <c r="M720" s="1">
        <v>165122.25004177805</v>
      </c>
      <c r="N720" s="1">
        <v>165122.25004177805</v>
      </c>
      <c r="O720" s="1">
        <v>137601.87503481505</v>
      </c>
      <c r="P720" s="1">
        <v>137601.87503481505</v>
      </c>
      <c r="Q720" s="1">
        <v>192642.62504874106</v>
      </c>
      <c r="R720" s="1">
        <v>192642.62504874106</v>
      </c>
      <c r="S720" s="1">
        <v>192642.62504874106</v>
      </c>
      <c r="T720" s="1">
        <v>192642.62504874106</v>
      </c>
      <c r="U720" s="1">
        <v>192642.62504874106</v>
      </c>
      <c r="V720" s="1">
        <v>192642.62504874106</v>
      </c>
      <c r="W720" s="4">
        <f t="shared" si="34"/>
        <v>1910817.6795879391</v>
      </c>
      <c r="X720" s="4">
        <f t="shared" si="35"/>
        <v>1910817.6795879391</v>
      </c>
      <c r="Y720" s="5">
        <f t="shared" si="36"/>
        <v>0.58150000000000002</v>
      </c>
    </row>
    <row r="721" spans="1:25" x14ac:dyDescent="0.25">
      <c r="A721" s="1" t="s">
        <v>111</v>
      </c>
      <c r="B721" s="1" t="s">
        <v>74</v>
      </c>
      <c r="C721" s="1" t="s">
        <v>75</v>
      </c>
      <c r="D721" s="1">
        <v>5940301.0640891325</v>
      </c>
      <c r="E721" s="1">
        <v>392059.87022988277</v>
      </c>
      <c r="F721" s="1">
        <v>392059.87022988277</v>
      </c>
      <c r="G721" s="1">
        <v>490074.83778735343</v>
      </c>
      <c r="H721" s="1">
        <v>490074.83778735343</v>
      </c>
      <c r="I721" s="1">
        <v>490074.83778735343</v>
      </c>
      <c r="J721" s="1">
        <v>490074.83778735343</v>
      </c>
      <c r="K721" s="1">
        <v>490074.83778735343</v>
      </c>
      <c r="L721" s="1">
        <v>490074.83778735343</v>
      </c>
      <c r="M721" s="1">
        <v>298500.12847047887</v>
      </c>
      <c r="N721" s="1">
        <v>298500.12847047887</v>
      </c>
      <c r="O721" s="1">
        <v>248750.10705873242</v>
      </c>
      <c r="P721" s="1">
        <v>248750.10705873242</v>
      </c>
      <c r="Q721" s="1">
        <v>348250.14988222538</v>
      </c>
      <c r="R721" s="1">
        <v>348250.14988222538</v>
      </c>
      <c r="S721" s="1">
        <v>348250.14988222538</v>
      </c>
      <c r="T721" s="1">
        <v>348250.14988222538</v>
      </c>
      <c r="U721" s="1">
        <v>348250.14988222538</v>
      </c>
      <c r="V721" s="1">
        <v>348250.14988222538</v>
      </c>
      <c r="W721" s="4">
        <f t="shared" si="34"/>
        <v>3454285.0687678303</v>
      </c>
      <c r="X721" s="4">
        <f t="shared" si="35"/>
        <v>3454285.0687678303</v>
      </c>
      <c r="Y721" s="5">
        <f t="shared" si="36"/>
        <v>0.58149999999999991</v>
      </c>
    </row>
    <row r="722" spans="1:25" x14ac:dyDescent="0.25">
      <c r="A722" s="1" t="s">
        <v>111</v>
      </c>
      <c r="B722" s="1" t="s">
        <v>50</v>
      </c>
      <c r="C722" s="1" t="s">
        <v>25</v>
      </c>
      <c r="D722" s="1">
        <v>4896426.035095864</v>
      </c>
      <c r="E722" s="1">
        <v>323164.11831632705</v>
      </c>
      <c r="F722" s="1">
        <v>323164.11831632705</v>
      </c>
      <c r="G722" s="1">
        <v>403955.14789540879</v>
      </c>
      <c r="H722" s="1">
        <v>403955.14789540879</v>
      </c>
      <c r="I722" s="1">
        <v>403955.14789540879</v>
      </c>
      <c r="J722" s="1">
        <v>403955.14789540879</v>
      </c>
      <c r="K722" s="1">
        <v>403955.14789540879</v>
      </c>
      <c r="L722" s="1">
        <v>403955.14789540879</v>
      </c>
      <c r="M722" s="1">
        <v>246045.40826356714</v>
      </c>
      <c r="N722" s="1">
        <v>246045.40826356714</v>
      </c>
      <c r="O722" s="1">
        <v>205037.8402196393</v>
      </c>
      <c r="P722" s="1">
        <v>205037.8402196393</v>
      </c>
      <c r="Q722" s="1">
        <v>287052.97630749497</v>
      </c>
      <c r="R722" s="1">
        <v>287052.97630749497</v>
      </c>
      <c r="S722" s="1">
        <v>287052.97630749497</v>
      </c>
      <c r="T722" s="1">
        <v>287052.97630749497</v>
      </c>
      <c r="U722" s="1">
        <v>287052.97630749497</v>
      </c>
      <c r="V722" s="1">
        <v>287052.97630749497</v>
      </c>
      <c r="W722" s="4">
        <f t="shared" si="34"/>
        <v>2847271.7394082448</v>
      </c>
      <c r="X722" s="4">
        <f t="shared" si="35"/>
        <v>2847271.7394082448</v>
      </c>
      <c r="Y722" s="5">
        <f t="shared" si="36"/>
        <v>0.58150000000000002</v>
      </c>
    </row>
    <row r="723" spans="1:25" x14ac:dyDescent="0.25">
      <c r="A723" s="1" t="s">
        <v>112</v>
      </c>
      <c r="B723" s="1" t="s">
        <v>59</v>
      </c>
      <c r="C723" s="1" t="s">
        <v>26</v>
      </c>
      <c r="D723" s="1">
        <v>41633620</v>
      </c>
      <c r="E723" s="1">
        <v>4010781.2358717755</v>
      </c>
      <c r="F723" s="1">
        <v>4010781.2358717755</v>
      </c>
      <c r="G723" s="1">
        <v>5013476.5448397193</v>
      </c>
      <c r="H723" s="1">
        <v>5013476.5448397193</v>
      </c>
      <c r="I723" s="1">
        <v>5013476.5448397193</v>
      </c>
      <c r="J723" s="1">
        <v>5013476.5448397193</v>
      </c>
      <c r="K723" s="1">
        <v>5013476.5448397193</v>
      </c>
      <c r="L723" s="1">
        <v>5013476.5448397193</v>
      </c>
      <c r="M723" s="1">
        <v>2697464.2275801413</v>
      </c>
      <c r="N723" s="1">
        <v>2697464.2275801413</v>
      </c>
      <c r="O723" s="1">
        <v>2697464.2275801413</v>
      </c>
      <c r="P723" s="1">
        <v>2697464.2275801413</v>
      </c>
      <c r="Q723" s="1">
        <v>2697464.2275801413</v>
      </c>
      <c r="R723" s="1">
        <v>2697464.2275801413</v>
      </c>
      <c r="S723" s="1">
        <v>2697464.2275801413</v>
      </c>
      <c r="T723" s="1">
        <v>2697464.2275801413</v>
      </c>
      <c r="U723" s="1">
        <v>2697464.2275801413</v>
      </c>
      <c r="V723" s="1">
        <v>2697464.2275801413</v>
      </c>
      <c r="W723" s="4">
        <f t="shared" si="34"/>
        <v>32538532.008291639</v>
      </c>
      <c r="X723" s="4">
        <f t="shared" si="35"/>
        <v>32538532.008291639</v>
      </c>
      <c r="Y723" s="5">
        <f t="shared" si="36"/>
        <v>0.78154462687346526</v>
      </c>
    </row>
    <row r="724" spans="1:25" x14ac:dyDescent="0.25">
      <c r="A724" s="1" t="s">
        <v>112</v>
      </c>
      <c r="B724" s="1" t="s">
        <v>60</v>
      </c>
      <c r="C724" s="1" t="s">
        <v>26</v>
      </c>
      <c r="D724" s="1">
        <v>19135793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9567896.5</v>
      </c>
      <c r="N724" s="1">
        <v>9567896.5</v>
      </c>
      <c r="O724" s="1">
        <v>9567896.5</v>
      </c>
      <c r="P724" s="1">
        <v>9567896.5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4">
        <f t="shared" si="34"/>
        <v>19135793</v>
      </c>
      <c r="X724" s="4">
        <f t="shared" si="35"/>
        <v>19135793</v>
      </c>
      <c r="Y724" s="5">
        <f t="shared" si="36"/>
        <v>1</v>
      </c>
    </row>
    <row r="725" spans="1:25" x14ac:dyDescent="0.25">
      <c r="A725" s="1" t="s">
        <v>112</v>
      </c>
      <c r="B725" s="1" t="s">
        <v>33</v>
      </c>
      <c r="C725" s="1" t="s">
        <v>34</v>
      </c>
      <c r="D725" s="1">
        <v>84000000</v>
      </c>
      <c r="E725" s="1">
        <v>0</v>
      </c>
      <c r="F725" s="1">
        <v>0</v>
      </c>
      <c r="G725" s="1">
        <v>16800000</v>
      </c>
      <c r="H725" s="1">
        <v>16800000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25200000</v>
      </c>
      <c r="P725" s="1">
        <v>25200000</v>
      </c>
      <c r="Q725" s="1">
        <v>0</v>
      </c>
      <c r="R725" s="1">
        <v>0</v>
      </c>
      <c r="S725" s="1">
        <v>25200000</v>
      </c>
      <c r="T725" s="1">
        <v>25200000</v>
      </c>
      <c r="U725" s="1">
        <v>16800000</v>
      </c>
      <c r="V725" s="1">
        <v>16800000</v>
      </c>
      <c r="W725" s="4">
        <f t="shared" si="34"/>
        <v>84000000</v>
      </c>
      <c r="X725" s="4">
        <f t="shared" si="35"/>
        <v>84000000</v>
      </c>
      <c r="Y725" s="5">
        <f t="shared" si="36"/>
        <v>1</v>
      </c>
    </row>
    <row r="726" spans="1:25" x14ac:dyDescent="0.25">
      <c r="A726" s="1" t="s">
        <v>112</v>
      </c>
      <c r="B726" s="1" t="s">
        <v>35</v>
      </c>
      <c r="C726" s="1" t="s">
        <v>34</v>
      </c>
      <c r="D726" s="1">
        <v>209999999.99999997</v>
      </c>
      <c r="E726" s="1">
        <v>0</v>
      </c>
      <c r="F726" s="1">
        <v>0</v>
      </c>
      <c r="G726" s="1">
        <v>57750000</v>
      </c>
      <c r="H726" s="1">
        <v>57750000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50749999.999999993</v>
      </c>
      <c r="P726" s="1">
        <v>50749999.999999993</v>
      </c>
      <c r="Q726" s="1">
        <v>0</v>
      </c>
      <c r="R726" s="1">
        <v>0</v>
      </c>
      <c r="S726" s="1">
        <v>50749999.999999993</v>
      </c>
      <c r="T726" s="1">
        <v>50749999.999999993</v>
      </c>
      <c r="U726" s="1">
        <v>50749999.999999993</v>
      </c>
      <c r="V726" s="1">
        <v>50749999.999999993</v>
      </c>
      <c r="W726" s="4">
        <f t="shared" si="34"/>
        <v>209999999.99999997</v>
      </c>
      <c r="X726" s="4">
        <f t="shared" si="35"/>
        <v>209999999.99999997</v>
      </c>
      <c r="Y726" s="5">
        <f t="shared" si="36"/>
        <v>1</v>
      </c>
    </row>
    <row r="727" spans="1:25" x14ac:dyDescent="0.25">
      <c r="A727" s="1" t="s">
        <v>112</v>
      </c>
      <c r="B727" s="1" t="s">
        <v>38</v>
      </c>
      <c r="C727" s="1" t="s">
        <v>39</v>
      </c>
      <c r="D727" s="1">
        <v>8473313.204760395</v>
      </c>
      <c r="E727" s="1">
        <v>559238.67151418608</v>
      </c>
      <c r="F727" s="1">
        <v>559238.67151418608</v>
      </c>
      <c r="G727" s="1">
        <v>699048.3393927326</v>
      </c>
      <c r="H727" s="1">
        <v>699048.3393927326</v>
      </c>
      <c r="I727" s="1">
        <v>699048.3393927326</v>
      </c>
      <c r="J727" s="1">
        <v>699048.3393927326</v>
      </c>
      <c r="K727" s="1">
        <v>699048.3393927326</v>
      </c>
      <c r="L727" s="1">
        <v>699048.3393927326</v>
      </c>
      <c r="M727" s="1">
        <v>425783.98853920976</v>
      </c>
      <c r="N727" s="1">
        <v>425783.98853920976</v>
      </c>
      <c r="O727" s="1">
        <v>354819.99044934148</v>
      </c>
      <c r="P727" s="1">
        <v>354819.99044934148</v>
      </c>
      <c r="Q727" s="1">
        <v>496747.98662907805</v>
      </c>
      <c r="R727" s="1">
        <v>496747.98662907805</v>
      </c>
      <c r="S727" s="1">
        <v>496747.98662907805</v>
      </c>
      <c r="T727" s="1">
        <v>496747.98662907805</v>
      </c>
      <c r="U727" s="1">
        <v>496747.98662907805</v>
      </c>
      <c r="V727" s="1">
        <v>496747.98662907805</v>
      </c>
      <c r="W727" s="4">
        <f t="shared" si="34"/>
        <v>4927231.6285681697</v>
      </c>
      <c r="X727" s="4">
        <f t="shared" si="35"/>
        <v>4927231.6285681697</v>
      </c>
      <c r="Y727" s="5">
        <f t="shared" si="36"/>
        <v>0.58150000000000002</v>
      </c>
    </row>
    <row r="728" spans="1:25" x14ac:dyDescent="0.25">
      <c r="A728" s="1" t="s">
        <v>112</v>
      </c>
      <c r="B728" s="1" t="s">
        <v>61</v>
      </c>
      <c r="C728" s="1" t="s">
        <v>34</v>
      </c>
      <c r="D728" s="1">
        <v>124600117.07462201</v>
      </c>
      <c r="E728" s="1">
        <v>0</v>
      </c>
      <c r="F728" s="1">
        <v>0</v>
      </c>
      <c r="G728" s="1">
        <v>9968009.3648343831</v>
      </c>
      <c r="H728" s="1">
        <v>9968009.3648343831</v>
      </c>
      <c r="I728" s="1">
        <v>0</v>
      </c>
      <c r="J728" s="1">
        <v>0</v>
      </c>
      <c r="K728" s="1">
        <v>0</v>
      </c>
      <c r="L728" s="1">
        <v>0</v>
      </c>
      <c r="M728" s="1">
        <v>28658026.927446906</v>
      </c>
      <c r="N728" s="1">
        <v>28658026.927446906</v>
      </c>
      <c r="O728" s="1">
        <v>0</v>
      </c>
      <c r="P728" s="1">
        <v>0</v>
      </c>
      <c r="Q728" s="1">
        <v>0</v>
      </c>
      <c r="R728" s="1">
        <v>0</v>
      </c>
      <c r="S728" s="1">
        <v>42987040.39117036</v>
      </c>
      <c r="T728" s="1">
        <v>42987040.39117036</v>
      </c>
      <c r="U728" s="1">
        <v>0</v>
      </c>
      <c r="V728" s="1">
        <v>0</v>
      </c>
      <c r="W728" s="4">
        <f t="shared" si="34"/>
        <v>81613076.683451653</v>
      </c>
      <c r="X728" s="4">
        <f t="shared" si="35"/>
        <v>81613076.683451653</v>
      </c>
      <c r="Y728" s="5">
        <f t="shared" si="36"/>
        <v>0.65499999999658298</v>
      </c>
    </row>
    <row r="729" spans="1:25" x14ac:dyDescent="0.25">
      <c r="A729" s="1" t="s">
        <v>112</v>
      </c>
      <c r="B729" s="1" t="s">
        <v>62</v>
      </c>
      <c r="C729" s="1" t="s">
        <v>63</v>
      </c>
      <c r="D729" s="1">
        <v>33142857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2485714.2857142854</v>
      </c>
      <c r="N729" s="1">
        <v>2485714.2857142854</v>
      </c>
      <c r="O729" s="1">
        <v>2071428.5714285714</v>
      </c>
      <c r="P729" s="1">
        <v>2071428.5714285714</v>
      </c>
      <c r="Q729" s="1">
        <v>2899999.9999999995</v>
      </c>
      <c r="R729" s="1">
        <v>2899999.9999999995</v>
      </c>
      <c r="S729" s="1">
        <v>2899999.9999999995</v>
      </c>
      <c r="T729" s="1">
        <v>2899999.9999999995</v>
      </c>
      <c r="U729" s="1">
        <v>2899999.9999999995</v>
      </c>
      <c r="V729" s="1">
        <v>2899999.9999999995</v>
      </c>
      <c r="W729" s="4">
        <f t="shared" si="34"/>
        <v>13257142.857142854</v>
      </c>
      <c r="X729" s="4">
        <f t="shared" si="35"/>
        <v>13257142.857142854</v>
      </c>
      <c r="Y729" s="5">
        <f t="shared" si="36"/>
        <v>0.40000000172413785</v>
      </c>
    </row>
    <row r="730" spans="1:25" x14ac:dyDescent="0.25">
      <c r="A730" s="1" t="s">
        <v>112</v>
      </c>
      <c r="B730" s="1" t="s">
        <v>40</v>
      </c>
      <c r="C730" s="1" t="s">
        <v>27</v>
      </c>
      <c r="D730" s="1">
        <v>132256798</v>
      </c>
      <c r="E730" s="1">
        <v>15681347</v>
      </c>
      <c r="F730" s="1">
        <v>15681347</v>
      </c>
      <c r="G730" s="1">
        <v>20298879</v>
      </c>
      <c r="H730" s="1">
        <v>20298879</v>
      </c>
      <c r="I730" s="1">
        <v>7049834</v>
      </c>
      <c r="J730" s="1">
        <v>7049834</v>
      </c>
      <c r="K730" s="1">
        <v>13919221</v>
      </c>
      <c r="L730" s="1">
        <v>13919221</v>
      </c>
      <c r="M730" s="1">
        <v>11250000</v>
      </c>
      <c r="N730" s="1">
        <v>11250000</v>
      </c>
      <c r="O730" s="1">
        <v>27204749</v>
      </c>
      <c r="P730" s="1">
        <v>27204749</v>
      </c>
      <c r="Q730" s="1">
        <v>6228891</v>
      </c>
      <c r="R730" s="1">
        <v>6228891</v>
      </c>
      <c r="S730" s="1">
        <v>12900534</v>
      </c>
      <c r="T730" s="1">
        <v>12900534</v>
      </c>
      <c r="U730" s="1">
        <v>5111534</v>
      </c>
      <c r="V730" s="1">
        <v>5111534</v>
      </c>
      <c r="W730" s="4">
        <f t="shared" si="34"/>
        <v>119644989</v>
      </c>
      <c r="X730" s="4">
        <f t="shared" si="35"/>
        <v>119644989</v>
      </c>
      <c r="Y730" s="5">
        <f t="shared" si="36"/>
        <v>0.90464150659386144</v>
      </c>
    </row>
    <row r="731" spans="1:25" x14ac:dyDescent="0.25">
      <c r="A731" s="1" t="s">
        <v>112</v>
      </c>
      <c r="B731" s="1" t="s">
        <v>41</v>
      </c>
      <c r="C731" s="1" t="s">
        <v>27</v>
      </c>
      <c r="D731" s="1">
        <v>172377755</v>
      </c>
      <c r="E731" s="1">
        <v>0</v>
      </c>
      <c r="F731" s="1">
        <v>0</v>
      </c>
      <c r="G731" s="1">
        <v>42516224</v>
      </c>
      <c r="H731" s="1">
        <v>42516224</v>
      </c>
      <c r="I731" s="1">
        <v>0</v>
      </c>
      <c r="J731" s="1">
        <v>0</v>
      </c>
      <c r="K731" s="1">
        <v>0</v>
      </c>
      <c r="L731" s="1">
        <v>0</v>
      </c>
      <c r="M731" s="1">
        <v>48698074.125</v>
      </c>
      <c r="N731" s="1">
        <v>48698074.125</v>
      </c>
      <c r="O731" s="1">
        <v>32465382.75</v>
      </c>
      <c r="P731" s="1">
        <v>32465382.75</v>
      </c>
      <c r="Q731" s="1">
        <v>48698074.125</v>
      </c>
      <c r="R731" s="1">
        <v>48698074.125</v>
      </c>
      <c r="S731" s="1">
        <v>0</v>
      </c>
      <c r="T731" s="1">
        <v>0</v>
      </c>
      <c r="U731" s="1">
        <v>0</v>
      </c>
      <c r="V731" s="1">
        <v>0</v>
      </c>
      <c r="W731" s="4">
        <f t="shared" si="34"/>
        <v>172377755</v>
      </c>
      <c r="X731" s="4">
        <f t="shared" si="35"/>
        <v>172377755</v>
      </c>
      <c r="Y731" s="5">
        <f t="shared" si="36"/>
        <v>1</v>
      </c>
    </row>
    <row r="732" spans="1:25" x14ac:dyDescent="0.25">
      <c r="A732" s="1" t="s">
        <v>112</v>
      </c>
      <c r="B732" s="1" t="s">
        <v>42</v>
      </c>
      <c r="C732" s="1" t="s">
        <v>27</v>
      </c>
      <c r="D732" s="1">
        <v>45139967</v>
      </c>
      <c r="E732" s="1">
        <v>15960086.66314508</v>
      </c>
      <c r="F732" s="1">
        <v>15960086.66314508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10942455.126320595</v>
      </c>
      <c r="N732" s="1">
        <v>10942455.126320595</v>
      </c>
      <c r="O732" s="1">
        <v>7294970.0842137299</v>
      </c>
      <c r="P732" s="1">
        <v>7294970.0842137299</v>
      </c>
      <c r="Q732" s="1">
        <v>10942455.126320595</v>
      </c>
      <c r="R732" s="1">
        <v>10942455.126320595</v>
      </c>
      <c r="S732" s="1">
        <v>0</v>
      </c>
      <c r="T732" s="1">
        <v>0</v>
      </c>
      <c r="U732" s="1">
        <v>0</v>
      </c>
      <c r="V732" s="1">
        <v>0</v>
      </c>
      <c r="W732" s="4">
        <f t="shared" si="34"/>
        <v>45139967</v>
      </c>
      <c r="X732" s="4">
        <f t="shared" si="35"/>
        <v>45139967</v>
      </c>
      <c r="Y732" s="5">
        <f t="shared" si="36"/>
        <v>1</v>
      </c>
    </row>
    <row r="733" spans="1:25" x14ac:dyDescent="0.25">
      <c r="A733" s="1" t="s">
        <v>112</v>
      </c>
      <c r="B733" s="1" t="s">
        <v>43</v>
      </c>
      <c r="C733" s="1" t="s">
        <v>31</v>
      </c>
      <c r="D733" s="1">
        <v>3302932</v>
      </c>
      <c r="E733" s="1">
        <v>191862.06192424177</v>
      </c>
      <c r="F733" s="1">
        <v>191862.06192424177</v>
      </c>
      <c r="G733" s="1">
        <v>239827.5774053022</v>
      </c>
      <c r="H733" s="1">
        <v>239827.5774053022</v>
      </c>
      <c r="I733" s="1">
        <v>239827.5774053022</v>
      </c>
      <c r="J733" s="1">
        <v>239827.5774053022</v>
      </c>
      <c r="K733" s="1">
        <v>239827.5774053022</v>
      </c>
      <c r="L733" s="1">
        <v>239827.5774053022</v>
      </c>
      <c r="M733" s="1">
        <v>178329.68873738256</v>
      </c>
      <c r="N733" s="1">
        <v>178329.68873738256</v>
      </c>
      <c r="O733" s="1">
        <v>148608.0739478188</v>
      </c>
      <c r="P733" s="1">
        <v>148608.0739478188</v>
      </c>
      <c r="Q733" s="1">
        <v>184176.05857652889</v>
      </c>
      <c r="R733" s="1">
        <v>184176.05857652889</v>
      </c>
      <c r="S733" s="1">
        <v>208051.30352694631</v>
      </c>
      <c r="T733" s="1">
        <v>208051.30352694631</v>
      </c>
      <c r="U733" s="1">
        <v>208051.30352694631</v>
      </c>
      <c r="V733" s="1">
        <v>208051.30352694631</v>
      </c>
      <c r="W733" s="4">
        <f t="shared" si="34"/>
        <v>1838561.2224557714</v>
      </c>
      <c r="X733" s="4">
        <f t="shared" si="35"/>
        <v>1838561.2224557714</v>
      </c>
      <c r="Y733" s="5">
        <f t="shared" si="36"/>
        <v>0.5566451935600768</v>
      </c>
    </row>
    <row r="734" spans="1:25" x14ac:dyDescent="0.25">
      <c r="A734" s="1" t="s">
        <v>112</v>
      </c>
      <c r="B734" s="1" t="s">
        <v>64</v>
      </c>
      <c r="C734" s="1" t="s">
        <v>23</v>
      </c>
      <c r="D734" s="1">
        <v>5433264.3128844006</v>
      </c>
      <c r="E734" s="1">
        <v>358595.44465037045</v>
      </c>
      <c r="F734" s="1">
        <v>358595.44465037045</v>
      </c>
      <c r="G734" s="1">
        <v>448244.30581296305</v>
      </c>
      <c r="H734" s="1">
        <v>448244.30581296305</v>
      </c>
      <c r="I734" s="1">
        <v>448244.30581296305</v>
      </c>
      <c r="J734" s="1">
        <v>448244.30581296305</v>
      </c>
      <c r="K734" s="1">
        <v>448244.30581296305</v>
      </c>
      <c r="L734" s="1">
        <v>448244.30581296305</v>
      </c>
      <c r="M734" s="1">
        <v>273021.53172244114</v>
      </c>
      <c r="N734" s="1">
        <v>273021.53172244114</v>
      </c>
      <c r="O734" s="1">
        <v>227517.94310203427</v>
      </c>
      <c r="P734" s="1">
        <v>227517.94310203427</v>
      </c>
      <c r="Q734" s="1">
        <v>318525.12034284795</v>
      </c>
      <c r="R734" s="1">
        <v>318525.12034284795</v>
      </c>
      <c r="S734" s="1">
        <v>318525.12034284795</v>
      </c>
      <c r="T734" s="1">
        <v>318525.12034284795</v>
      </c>
      <c r="U734" s="1">
        <v>318525.12034284795</v>
      </c>
      <c r="V734" s="1">
        <v>318525.12034284795</v>
      </c>
      <c r="W734" s="4">
        <f t="shared" si="34"/>
        <v>3159443.1979422793</v>
      </c>
      <c r="X734" s="4">
        <f t="shared" si="35"/>
        <v>3159443.1979422793</v>
      </c>
      <c r="Y734" s="5">
        <f t="shared" si="36"/>
        <v>0.58150000000000002</v>
      </c>
    </row>
    <row r="735" spans="1:25" x14ac:dyDescent="0.25">
      <c r="A735" s="1" t="s">
        <v>112</v>
      </c>
      <c r="B735" s="1" t="s">
        <v>65</v>
      </c>
      <c r="C735" s="1" t="s">
        <v>31</v>
      </c>
      <c r="D735" s="1">
        <v>4837207.2748463489</v>
      </c>
      <c r="E735" s="1">
        <v>319255.68013985903</v>
      </c>
      <c r="F735" s="1">
        <v>319255.68013985903</v>
      </c>
      <c r="G735" s="1">
        <v>399069.60017482378</v>
      </c>
      <c r="H735" s="1">
        <v>399069.60017482378</v>
      </c>
      <c r="I735" s="1">
        <v>399069.60017482378</v>
      </c>
      <c r="J735" s="1">
        <v>399069.60017482378</v>
      </c>
      <c r="K735" s="1">
        <v>399069.60017482378</v>
      </c>
      <c r="L735" s="1">
        <v>399069.60017482378</v>
      </c>
      <c r="M735" s="1">
        <v>243069.66556102902</v>
      </c>
      <c r="N735" s="1">
        <v>243069.66556102902</v>
      </c>
      <c r="O735" s="1">
        <v>202558.05463419086</v>
      </c>
      <c r="P735" s="1">
        <v>202558.05463419086</v>
      </c>
      <c r="Q735" s="1">
        <v>283581.27648786717</v>
      </c>
      <c r="R735" s="1">
        <v>283581.27648786717</v>
      </c>
      <c r="S735" s="1">
        <v>283581.27648786717</v>
      </c>
      <c r="T735" s="1">
        <v>283581.27648786717</v>
      </c>
      <c r="U735" s="1">
        <v>283581.27648786717</v>
      </c>
      <c r="V735" s="1">
        <v>283581.27648786717</v>
      </c>
      <c r="W735" s="4">
        <f t="shared" si="34"/>
        <v>2812836.030323152</v>
      </c>
      <c r="X735" s="4">
        <f t="shared" si="35"/>
        <v>2812836.030323152</v>
      </c>
      <c r="Y735" s="5">
        <f t="shared" si="36"/>
        <v>0.58150000000000002</v>
      </c>
    </row>
    <row r="736" spans="1:25" x14ac:dyDescent="0.25">
      <c r="A736" s="1" t="s">
        <v>112</v>
      </c>
      <c r="B736" s="1" t="s">
        <v>44</v>
      </c>
      <c r="C736" s="1" t="s">
        <v>45</v>
      </c>
      <c r="D736" s="1">
        <v>8473313.204760395</v>
      </c>
      <c r="E736" s="1">
        <v>559238.67151418608</v>
      </c>
      <c r="F736" s="1">
        <v>559238.67151418608</v>
      </c>
      <c r="G736" s="1">
        <v>699048.3393927326</v>
      </c>
      <c r="H736" s="1">
        <v>699048.3393927326</v>
      </c>
      <c r="I736" s="1">
        <v>699048.3393927326</v>
      </c>
      <c r="J736" s="1">
        <v>699048.3393927326</v>
      </c>
      <c r="K736" s="1">
        <v>699048.3393927326</v>
      </c>
      <c r="L736" s="1">
        <v>699048.3393927326</v>
      </c>
      <c r="M736" s="1">
        <v>425783.98853920976</v>
      </c>
      <c r="N736" s="1">
        <v>425783.98853920976</v>
      </c>
      <c r="O736" s="1">
        <v>354819.99044934148</v>
      </c>
      <c r="P736" s="1">
        <v>354819.99044934148</v>
      </c>
      <c r="Q736" s="1">
        <v>496747.98662907805</v>
      </c>
      <c r="R736" s="1">
        <v>496747.98662907805</v>
      </c>
      <c r="S736" s="1">
        <v>496747.98662907805</v>
      </c>
      <c r="T736" s="1">
        <v>496747.98662907805</v>
      </c>
      <c r="U736" s="1">
        <v>496747.98662907805</v>
      </c>
      <c r="V736" s="1">
        <v>496747.98662907805</v>
      </c>
      <c r="W736" s="4">
        <f t="shared" si="34"/>
        <v>4927231.6285681697</v>
      </c>
      <c r="X736" s="4">
        <f t="shared" si="35"/>
        <v>4927231.6285681697</v>
      </c>
      <c r="Y736" s="5">
        <f t="shared" si="36"/>
        <v>0.58150000000000002</v>
      </c>
    </row>
    <row r="737" spans="1:25" x14ac:dyDescent="0.25">
      <c r="A737" s="1" t="s">
        <v>112</v>
      </c>
      <c r="B737" s="1" t="s">
        <v>46</v>
      </c>
      <c r="C737" s="1" t="s">
        <v>22</v>
      </c>
      <c r="D737" s="1">
        <v>110036567.40975825</v>
      </c>
      <c r="E737" s="1">
        <v>7269216.3506041169</v>
      </c>
      <c r="F737" s="1">
        <v>7269216.3506041169</v>
      </c>
      <c r="G737" s="1">
        <v>9086520.4382551461</v>
      </c>
      <c r="H737" s="1">
        <v>9086520.4382551461</v>
      </c>
      <c r="I737" s="1">
        <v>9086520.4382551461</v>
      </c>
      <c r="J737" s="1">
        <v>9086520.4382551461</v>
      </c>
      <c r="K737" s="1">
        <v>9086520.4382551461</v>
      </c>
      <c r="L737" s="1">
        <v>9086520.4382551461</v>
      </c>
      <c r="M737" s="1">
        <v>5701492.8242805954</v>
      </c>
      <c r="N737" s="1">
        <v>5701492.8242805954</v>
      </c>
      <c r="O737" s="1">
        <v>4636394.0691438103</v>
      </c>
      <c r="P737" s="1">
        <v>4636394.0691438103</v>
      </c>
      <c r="Q737" s="1">
        <v>6418799.7710883534</v>
      </c>
      <c r="R737" s="1">
        <v>6418799.7710883534</v>
      </c>
      <c r="S737" s="1">
        <v>6418799.7710883534</v>
      </c>
      <c r="T737" s="1">
        <v>6418799.7710883534</v>
      </c>
      <c r="U737" s="1">
        <v>6418799.7710883534</v>
      </c>
      <c r="V737" s="1">
        <v>26418799.771088354</v>
      </c>
      <c r="W737" s="4">
        <f t="shared" si="34"/>
        <v>64123063.872059017</v>
      </c>
      <c r="X737" s="4">
        <f t="shared" si="35"/>
        <v>84123063.872059032</v>
      </c>
      <c r="Y737" s="5">
        <f t="shared" si="36"/>
        <v>0.76450098228526564</v>
      </c>
    </row>
    <row r="738" spans="1:25" x14ac:dyDescent="0.25">
      <c r="A738" s="1" t="s">
        <v>112</v>
      </c>
      <c r="B738" s="1" t="s">
        <v>66</v>
      </c>
      <c r="C738" s="1" t="s">
        <v>24</v>
      </c>
      <c r="D738" s="1">
        <v>396960653.14306641</v>
      </c>
      <c r="E738" s="1">
        <v>32749253.884302981</v>
      </c>
      <c r="F738" s="1">
        <v>32749253.884302981</v>
      </c>
      <c r="G738" s="1">
        <v>32749253.884302981</v>
      </c>
      <c r="H738" s="1">
        <v>32749253.884302981</v>
      </c>
      <c r="I738" s="1">
        <v>32749253.884302981</v>
      </c>
      <c r="J738" s="1">
        <v>32749253.884302981</v>
      </c>
      <c r="K738" s="1">
        <v>32749253.884302981</v>
      </c>
      <c r="L738" s="1">
        <v>32749253.884302981</v>
      </c>
      <c r="M738" s="1">
        <v>36023674.462788075</v>
      </c>
      <c r="N738" s="1">
        <v>36023674.462788075</v>
      </c>
      <c r="O738" s="1">
        <v>32784058</v>
      </c>
      <c r="P738" s="1">
        <v>32784058</v>
      </c>
      <c r="Q738" s="1">
        <v>33284058</v>
      </c>
      <c r="R738" s="1">
        <v>33284058</v>
      </c>
      <c r="S738" s="1">
        <v>32784058</v>
      </c>
      <c r="T738" s="1">
        <v>32784058</v>
      </c>
      <c r="U738" s="1">
        <v>32784058</v>
      </c>
      <c r="V738" s="1">
        <v>32784058</v>
      </c>
      <c r="W738" s="4">
        <f t="shared" si="34"/>
        <v>298656922</v>
      </c>
      <c r="X738" s="4">
        <f t="shared" si="35"/>
        <v>298656922</v>
      </c>
      <c r="Y738" s="5">
        <f t="shared" si="36"/>
        <v>0.75235900494239338</v>
      </c>
    </row>
    <row r="739" spans="1:25" x14ac:dyDescent="0.25">
      <c r="A739" s="1" t="s">
        <v>112</v>
      </c>
      <c r="B739" s="1" t="s">
        <v>67</v>
      </c>
      <c r="C739" s="1" t="s">
        <v>68</v>
      </c>
      <c r="D739" s="1">
        <v>5916730.9033732815</v>
      </c>
      <c r="E739" s="1">
        <v>390504.23962263664</v>
      </c>
      <c r="F739" s="1">
        <v>390504.23962263664</v>
      </c>
      <c r="G739" s="1">
        <v>488130.29952829576</v>
      </c>
      <c r="H739" s="1">
        <v>488130.29952829576</v>
      </c>
      <c r="I739" s="1">
        <v>488130.29952829576</v>
      </c>
      <c r="J739" s="1">
        <v>488130.29952829576</v>
      </c>
      <c r="K739" s="1">
        <v>488130.29952829576</v>
      </c>
      <c r="L739" s="1">
        <v>488130.29952829576</v>
      </c>
      <c r="M739" s="1">
        <v>307670.00697541056</v>
      </c>
      <c r="N739" s="1">
        <v>307670.00697541056</v>
      </c>
      <c r="O739" s="1">
        <v>246530.45430722006</v>
      </c>
      <c r="P739" s="1">
        <v>246530.45430722006</v>
      </c>
      <c r="Q739" s="1">
        <v>345142.63603010809</v>
      </c>
      <c r="R739" s="1">
        <v>345142.63603010809</v>
      </c>
      <c r="S739" s="1">
        <v>345142.63603010809</v>
      </c>
      <c r="T739" s="1">
        <v>345142.63603010809</v>
      </c>
      <c r="U739" s="1">
        <v>345142.63603010809</v>
      </c>
      <c r="V739" s="1">
        <v>345142.63603010809</v>
      </c>
      <c r="W739" s="4">
        <f t="shared" si="34"/>
        <v>3444523.5075804787</v>
      </c>
      <c r="X739" s="4">
        <f t="shared" si="35"/>
        <v>3444523.5075804787</v>
      </c>
      <c r="Y739" s="5">
        <f t="shared" si="36"/>
        <v>0.58216666666666661</v>
      </c>
    </row>
    <row r="740" spans="1:25" x14ac:dyDescent="0.25">
      <c r="A740" s="1" t="s">
        <v>112</v>
      </c>
      <c r="B740" s="1" t="s">
        <v>69</v>
      </c>
      <c r="C740" s="1" t="s">
        <v>28</v>
      </c>
      <c r="D740" s="1">
        <v>7518664.997690266</v>
      </c>
      <c r="E740" s="1">
        <v>496231.88984755764</v>
      </c>
      <c r="F740" s="1">
        <v>496231.88984755764</v>
      </c>
      <c r="G740" s="1">
        <v>620289.86230944702</v>
      </c>
      <c r="H740" s="1">
        <v>620289.86230944702</v>
      </c>
      <c r="I740" s="1">
        <v>620289.86230944702</v>
      </c>
      <c r="J740" s="1">
        <v>620289.86230944702</v>
      </c>
      <c r="K740" s="1">
        <v>620289.86230944702</v>
      </c>
      <c r="L740" s="1">
        <v>620289.86230944702</v>
      </c>
      <c r="M740" s="1">
        <v>377812.91613393585</v>
      </c>
      <c r="N740" s="1">
        <v>377812.91613393585</v>
      </c>
      <c r="O740" s="1">
        <v>314844.09677827987</v>
      </c>
      <c r="P740" s="1">
        <v>314844.09677827987</v>
      </c>
      <c r="Q740" s="1">
        <v>440781.73548959178</v>
      </c>
      <c r="R740" s="1">
        <v>440781.73548959178</v>
      </c>
      <c r="S740" s="1">
        <v>440781.73548959178</v>
      </c>
      <c r="T740" s="1">
        <v>440781.73548959178</v>
      </c>
      <c r="U740" s="1">
        <v>440781.73548959178</v>
      </c>
      <c r="V740" s="1">
        <v>440781.73548959178</v>
      </c>
      <c r="W740" s="4">
        <f t="shared" si="34"/>
        <v>4372103.6961568901</v>
      </c>
      <c r="X740" s="4">
        <f t="shared" si="35"/>
        <v>4372103.6961568901</v>
      </c>
      <c r="Y740" s="5">
        <f t="shared" si="36"/>
        <v>0.58150000000000002</v>
      </c>
    </row>
    <row r="741" spans="1:25" x14ac:dyDescent="0.25">
      <c r="A741" s="1" t="s">
        <v>112</v>
      </c>
      <c r="B741" s="1" t="s">
        <v>70</v>
      </c>
      <c r="C741" s="1" t="s">
        <v>23</v>
      </c>
      <c r="D741" s="1">
        <v>9646875.0344531182</v>
      </c>
      <c r="E741" s="1">
        <v>636693.75227390591</v>
      </c>
      <c r="F741" s="1">
        <v>636693.75227390591</v>
      </c>
      <c r="G741" s="1">
        <v>795867.1903423823</v>
      </c>
      <c r="H741" s="1">
        <v>795867.1903423823</v>
      </c>
      <c r="I741" s="1">
        <v>795867.1903423823</v>
      </c>
      <c r="J741" s="1">
        <v>795867.1903423823</v>
      </c>
      <c r="K741" s="1">
        <v>795867.1903423823</v>
      </c>
      <c r="L741" s="1">
        <v>795867.1903423823</v>
      </c>
      <c r="M741" s="1">
        <v>484755.47048126918</v>
      </c>
      <c r="N741" s="1">
        <v>484755.47048126918</v>
      </c>
      <c r="O741" s="1">
        <v>403962.89206772431</v>
      </c>
      <c r="P741" s="1">
        <v>403962.89206772431</v>
      </c>
      <c r="Q741" s="1">
        <v>565548.04889481398</v>
      </c>
      <c r="R741" s="1">
        <v>565548.04889481398</v>
      </c>
      <c r="S741" s="1">
        <v>565548.04889481398</v>
      </c>
      <c r="T741" s="1">
        <v>565548.04889481398</v>
      </c>
      <c r="U741" s="1">
        <v>565548.04889481398</v>
      </c>
      <c r="V741" s="1">
        <v>565548.04889481398</v>
      </c>
      <c r="W741" s="4">
        <f t="shared" si="34"/>
        <v>5609657.8325344883</v>
      </c>
      <c r="X741" s="4">
        <f t="shared" si="35"/>
        <v>5609657.8325344883</v>
      </c>
      <c r="Y741" s="5">
        <f t="shared" si="36"/>
        <v>0.58150000000000002</v>
      </c>
    </row>
    <row r="742" spans="1:25" x14ac:dyDescent="0.25">
      <c r="A742" s="1" t="s">
        <v>112</v>
      </c>
      <c r="B742" s="1" t="s">
        <v>71</v>
      </c>
      <c r="C742" s="1" t="s">
        <v>29</v>
      </c>
      <c r="D742" s="1">
        <v>7102555.021153843</v>
      </c>
      <c r="E742" s="1">
        <v>468768.63139615371</v>
      </c>
      <c r="F742" s="1">
        <v>468768.63139615371</v>
      </c>
      <c r="G742" s="1">
        <v>585960.78924519208</v>
      </c>
      <c r="H742" s="1">
        <v>585960.78924519208</v>
      </c>
      <c r="I742" s="1">
        <v>585960.78924519208</v>
      </c>
      <c r="J742" s="1">
        <v>585960.78924519208</v>
      </c>
      <c r="K742" s="1">
        <v>585960.78924519208</v>
      </c>
      <c r="L742" s="1">
        <v>585960.78924519208</v>
      </c>
      <c r="M742" s="1">
        <v>356903.3898129806</v>
      </c>
      <c r="N742" s="1">
        <v>356903.3898129806</v>
      </c>
      <c r="O742" s="1">
        <v>297419.4915108172</v>
      </c>
      <c r="P742" s="1">
        <v>297419.4915108172</v>
      </c>
      <c r="Q742" s="1">
        <v>416387.28811514407</v>
      </c>
      <c r="R742" s="1">
        <v>416387.28811514407</v>
      </c>
      <c r="S742" s="1">
        <v>416387.28811514407</v>
      </c>
      <c r="T742" s="1">
        <v>416387.28811514407</v>
      </c>
      <c r="U742" s="1">
        <v>416387.28811514407</v>
      </c>
      <c r="V742" s="1">
        <v>416387.28811514407</v>
      </c>
      <c r="W742" s="4">
        <f t="shared" si="34"/>
        <v>4130135.7448009597</v>
      </c>
      <c r="X742" s="4">
        <f t="shared" si="35"/>
        <v>4130135.7448009597</v>
      </c>
      <c r="Y742" s="5">
        <f t="shared" si="36"/>
        <v>0.58150000000000002</v>
      </c>
    </row>
    <row r="743" spans="1:25" x14ac:dyDescent="0.25">
      <c r="A743" s="1" t="s">
        <v>112</v>
      </c>
      <c r="B743" s="1" t="s">
        <v>72</v>
      </c>
      <c r="C743" s="1" t="s">
        <v>73</v>
      </c>
      <c r="D743" s="1">
        <v>9568057.4768258203</v>
      </c>
      <c r="E743" s="1">
        <v>631491.79347050423</v>
      </c>
      <c r="F743" s="1">
        <v>631491.79347050423</v>
      </c>
      <c r="G743" s="1">
        <v>789364.74183813017</v>
      </c>
      <c r="H743" s="1">
        <v>789364.74183813017</v>
      </c>
      <c r="I743" s="1">
        <v>789364.74183813017</v>
      </c>
      <c r="J743" s="1">
        <v>789364.74183813017</v>
      </c>
      <c r="K743" s="1">
        <v>789364.74183813017</v>
      </c>
      <c r="L743" s="1">
        <v>789364.74183813017</v>
      </c>
      <c r="M743" s="1">
        <v>480794.88821049745</v>
      </c>
      <c r="N743" s="1">
        <v>480794.88821049745</v>
      </c>
      <c r="O743" s="1">
        <v>400662.40684208123</v>
      </c>
      <c r="P743" s="1">
        <v>400662.40684208123</v>
      </c>
      <c r="Q743" s="1">
        <v>560927.36957891367</v>
      </c>
      <c r="R743" s="1">
        <v>560927.36957891367</v>
      </c>
      <c r="S743" s="1">
        <v>560927.36957891367</v>
      </c>
      <c r="T743" s="1">
        <v>560927.36957891367</v>
      </c>
      <c r="U743" s="1">
        <v>560927.36957891367</v>
      </c>
      <c r="V743" s="1">
        <v>560927.36957891367</v>
      </c>
      <c r="W743" s="4">
        <f t="shared" si="34"/>
        <v>5563825.4227742143</v>
      </c>
      <c r="X743" s="4">
        <f t="shared" si="35"/>
        <v>5563825.4227742143</v>
      </c>
      <c r="Y743" s="5">
        <f t="shared" si="36"/>
        <v>0.58150000000000002</v>
      </c>
    </row>
    <row r="744" spans="1:25" x14ac:dyDescent="0.25">
      <c r="A744" s="1" t="s">
        <v>112</v>
      </c>
      <c r="B744" s="1" t="s">
        <v>48</v>
      </c>
      <c r="C744" s="1" t="s">
        <v>49</v>
      </c>
      <c r="D744" s="1">
        <v>5834597.1177311502</v>
      </c>
      <c r="E744" s="1">
        <v>385083.40977025597</v>
      </c>
      <c r="F744" s="1">
        <v>385083.40977025597</v>
      </c>
      <c r="G744" s="1">
        <v>481354.26221281994</v>
      </c>
      <c r="H744" s="1">
        <v>481354.26221281994</v>
      </c>
      <c r="I744" s="1">
        <v>481354.26221281994</v>
      </c>
      <c r="J744" s="1">
        <v>481354.26221281994</v>
      </c>
      <c r="K744" s="1">
        <v>481354.26221281994</v>
      </c>
      <c r="L744" s="1">
        <v>481354.26221281994</v>
      </c>
      <c r="M744" s="1">
        <v>293188.50516599021</v>
      </c>
      <c r="N744" s="1">
        <v>293188.50516599021</v>
      </c>
      <c r="O744" s="1">
        <v>244323.75430499183</v>
      </c>
      <c r="P744" s="1">
        <v>244323.75430499183</v>
      </c>
      <c r="Q744" s="1">
        <v>342053.25602698856</v>
      </c>
      <c r="R744" s="1">
        <v>342053.25602698856</v>
      </c>
      <c r="S744" s="1">
        <v>342053.25602698856</v>
      </c>
      <c r="T744" s="1">
        <v>342053.25602698856</v>
      </c>
      <c r="U744" s="1">
        <v>342053.25602698856</v>
      </c>
      <c r="V744" s="1">
        <v>342053.25602698856</v>
      </c>
      <c r="W744" s="4">
        <f t="shared" si="34"/>
        <v>3392818.2239606632</v>
      </c>
      <c r="X744" s="4">
        <f t="shared" si="35"/>
        <v>3392818.2239606632</v>
      </c>
      <c r="Y744" s="5">
        <f t="shared" si="36"/>
        <v>0.58149999999999991</v>
      </c>
    </row>
    <row r="745" spans="1:25" x14ac:dyDescent="0.25">
      <c r="A745" s="1" t="s">
        <v>112</v>
      </c>
      <c r="B745" s="1" t="s">
        <v>53</v>
      </c>
      <c r="C745" s="1" t="s">
        <v>30</v>
      </c>
      <c r="D745" s="1">
        <v>3286014.9262045384</v>
      </c>
      <c r="E745" s="1">
        <v>216876.98512949955</v>
      </c>
      <c r="F745" s="1">
        <v>216876.98512949955</v>
      </c>
      <c r="G745" s="1">
        <v>271096.23141187441</v>
      </c>
      <c r="H745" s="1">
        <v>271096.23141187441</v>
      </c>
      <c r="I745" s="1">
        <v>271096.23141187441</v>
      </c>
      <c r="J745" s="1">
        <v>271096.23141187441</v>
      </c>
      <c r="K745" s="1">
        <v>271096.23141187441</v>
      </c>
      <c r="L745" s="1">
        <v>271096.23141187441</v>
      </c>
      <c r="M745" s="1">
        <v>165122.25004177805</v>
      </c>
      <c r="N745" s="1">
        <v>165122.25004177805</v>
      </c>
      <c r="O745" s="1">
        <v>137601.87503481505</v>
      </c>
      <c r="P745" s="1">
        <v>137601.87503481505</v>
      </c>
      <c r="Q745" s="1">
        <v>192642.62504874106</v>
      </c>
      <c r="R745" s="1">
        <v>192642.62504874106</v>
      </c>
      <c r="S745" s="1">
        <v>192642.62504874106</v>
      </c>
      <c r="T745" s="1">
        <v>192642.62504874106</v>
      </c>
      <c r="U745" s="1">
        <v>192642.62504874106</v>
      </c>
      <c r="V745" s="1">
        <v>192642.62504874106</v>
      </c>
      <c r="W745" s="4">
        <f t="shared" si="34"/>
        <v>1910817.6795879391</v>
      </c>
      <c r="X745" s="4">
        <f t="shared" si="35"/>
        <v>1910817.6795879391</v>
      </c>
      <c r="Y745" s="5">
        <f t="shared" si="36"/>
        <v>0.58150000000000002</v>
      </c>
    </row>
    <row r="746" spans="1:25" x14ac:dyDescent="0.25">
      <c r="A746" s="1" t="s">
        <v>112</v>
      </c>
      <c r="B746" s="1" t="s">
        <v>74</v>
      </c>
      <c r="C746" s="1" t="s">
        <v>75</v>
      </c>
      <c r="D746" s="1">
        <v>8241780.7775132349</v>
      </c>
      <c r="E746" s="1">
        <v>543957.53131587361</v>
      </c>
      <c r="F746" s="1">
        <v>543957.53131587361</v>
      </c>
      <c r="G746" s="1">
        <v>679946.91414484195</v>
      </c>
      <c r="H746" s="1">
        <v>679946.91414484195</v>
      </c>
      <c r="I746" s="1">
        <v>679946.91414484195</v>
      </c>
      <c r="J746" s="1">
        <v>679946.91414484195</v>
      </c>
      <c r="K746" s="1">
        <v>679946.91414484195</v>
      </c>
      <c r="L746" s="1">
        <v>679946.91414484195</v>
      </c>
      <c r="M746" s="1">
        <v>414149.48407003999</v>
      </c>
      <c r="N746" s="1">
        <v>414149.48407003999</v>
      </c>
      <c r="O746" s="1">
        <v>345124.57005836669</v>
      </c>
      <c r="P746" s="1">
        <v>345124.57005836669</v>
      </c>
      <c r="Q746" s="1">
        <v>483174.39808171336</v>
      </c>
      <c r="R746" s="1">
        <v>483174.39808171336</v>
      </c>
      <c r="S746" s="1">
        <v>483174.39808171336</v>
      </c>
      <c r="T746" s="1">
        <v>483174.39808171336</v>
      </c>
      <c r="U746" s="1">
        <v>483174.39808171336</v>
      </c>
      <c r="V746" s="1">
        <v>483174.39808171336</v>
      </c>
      <c r="W746" s="4">
        <f t="shared" si="34"/>
        <v>4792595.5221239459</v>
      </c>
      <c r="X746" s="4">
        <f t="shared" si="35"/>
        <v>4792595.5221239459</v>
      </c>
      <c r="Y746" s="5">
        <f t="shared" si="36"/>
        <v>0.58150000000000002</v>
      </c>
    </row>
    <row r="747" spans="1:25" x14ac:dyDescent="0.25">
      <c r="A747" s="1" t="s">
        <v>112</v>
      </c>
      <c r="B747" s="1" t="s">
        <v>50</v>
      </c>
      <c r="C747" s="1" t="s">
        <v>25</v>
      </c>
      <c r="D747" s="1">
        <v>6126326.9736177064</v>
      </c>
      <c r="E747" s="1">
        <v>404337.58025876869</v>
      </c>
      <c r="F747" s="1">
        <v>404337.58025876869</v>
      </c>
      <c r="G747" s="1">
        <v>505421.97532346082</v>
      </c>
      <c r="H747" s="1">
        <v>505421.97532346082</v>
      </c>
      <c r="I747" s="1">
        <v>505421.97532346082</v>
      </c>
      <c r="J747" s="1">
        <v>505421.97532346082</v>
      </c>
      <c r="K747" s="1">
        <v>505421.97532346082</v>
      </c>
      <c r="L747" s="1">
        <v>505421.97532346082</v>
      </c>
      <c r="M747" s="1">
        <v>307847.93042428972</v>
      </c>
      <c r="N747" s="1">
        <v>307847.93042428972</v>
      </c>
      <c r="O747" s="1">
        <v>256539.94202024146</v>
      </c>
      <c r="P747" s="1">
        <v>256539.94202024146</v>
      </c>
      <c r="Q747" s="1">
        <v>359155.91882833804</v>
      </c>
      <c r="R747" s="1">
        <v>359155.91882833804</v>
      </c>
      <c r="S747" s="1">
        <v>359155.91882833804</v>
      </c>
      <c r="T747" s="1">
        <v>359155.91882833804</v>
      </c>
      <c r="U747" s="1">
        <v>359155.91882833804</v>
      </c>
      <c r="V747" s="1">
        <v>359155.91882833804</v>
      </c>
      <c r="W747" s="4">
        <f t="shared" si="34"/>
        <v>3562459.1351586967</v>
      </c>
      <c r="X747" s="4">
        <f t="shared" si="35"/>
        <v>3562459.1351586967</v>
      </c>
      <c r="Y747" s="5">
        <f t="shared" si="36"/>
        <v>0.58150000000000002</v>
      </c>
    </row>
    <row r="748" spans="1:25" x14ac:dyDescent="0.25">
      <c r="A748" s="1" t="s">
        <v>113</v>
      </c>
      <c r="B748" s="1" t="s">
        <v>59</v>
      </c>
      <c r="C748" s="1" t="s">
        <v>26</v>
      </c>
      <c r="D748" s="1">
        <v>55627546.847552747</v>
      </c>
      <c r="E748" s="1">
        <v>3671418.0919384817</v>
      </c>
      <c r="F748" s="1">
        <v>3671418.0919384817</v>
      </c>
      <c r="G748" s="1">
        <v>4589272.6149231018</v>
      </c>
      <c r="H748" s="1">
        <v>4589272.6149231018</v>
      </c>
      <c r="I748" s="1">
        <v>4589272.6149231018</v>
      </c>
      <c r="J748" s="1">
        <v>4589272.6149231018</v>
      </c>
      <c r="K748" s="1">
        <v>4589272.6149231018</v>
      </c>
      <c r="L748" s="1">
        <v>4589272.6149231018</v>
      </c>
      <c r="M748" s="1">
        <v>10235468.619949717</v>
      </c>
      <c r="N748" s="1">
        <v>10235468.619949717</v>
      </c>
      <c r="O748" s="1">
        <v>4658807.048482541</v>
      </c>
      <c r="P748" s="1">
        <v>4658807.048482541</v>
      </c>
      <c r="Q748" s="1">
        <v>4658807.048482541</v>
      </c>
      <c r="R748" s="1">
        <v>4658807.048482541</v>
      </c>
      <c r="S748" s="1">
        <v>4658807.048482541</v>
      </c>
      <c r="T748" s="1">
        <v>4658807.048482541</v>
      </c>
      <c r="U748" s="1">
        <v>4658807.048482541</v>
      </c>
      <c r="V748" s="1">
        <v>4658807.048482541</v>
      </c>
      <c r="W748" s="4">
        <f t="shared" si="34"/>
        <v>46309932.750587672</v>
      </c>
      <c r="X748" s="4">
        <f t="shared" si="35"/>
        <v>46309932.750587672</v>
      </c>
      <c r="Y748" s="5">
        <f t="shared" si="36"/>
        <v>0.83250000000000024</v>
      </c>
    </row>
    <row r="749" spans="1:25" x14ac:dyDescent="0.25">
      <c r="A749" s="1" t="s">
        <v>113</v>
      </c>
      <c r="B749" s="1" t="s">
        <v>33</v>
      </c>
      <c r="C749" s="1" t="s">
        <v>34</v>
      </c>
      <c r="D749" s="1">
        <v>108000000</v>
      </c>
      <c r="E749" s="1">
        <v>0</v>
      </c>
      <c r="F749" s="1">
        <v>0</v>
      </c>
      <c r="G749" s="1">
        <v>21600000</v>
      </c>
      <c r="H749" s="1">
        <v>21600000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32400000</v>
      </c>
      <c r="P749" s="1">
        <v>32400000</v>
      </c>
      <c r="Q749" s="1">
        <v>0</v>
      </c>
      <c r="R749" s="1">
        <v>0</v>
      </c>
      <c r="S749" s="1">
        <v>32400000</v>
      </c>
      <c r="T749" s="1">
        <v>32400000</v>
      </c>
      <c r="U749" s="1">
        <v>21600000</v>
      </c>
      <c r="V749" s="1">
        <v>21600000</v>
      </c>
      <c r="W749" s="4">
        <f t="shared" si="34"/>
        <v>108000000</v>
      </c>
      <c r="X749" s="4">
        <f t="shared" si="35"/>
        <v>108000000</v>
      </c>
      <c r="Y749" s="5">
        <f t="shared" si="36"/>
        <v>1</v>
      </c>
    </row>
    <row r="750" spans="1:25" x14ac:dyDescent="0.25">
      <c r="A750" s="1" t="s">
        <v>113</v>
      </c>
      <c r="B750" s="1" t="s">
        <v>35</v>
      </c>
      <c r="C750" s="1" t="s">
        <v>34</v>
      </c>
      <c r="D750" s="1">
        <v>270000000</v>
      </c>
      <c r="E750" s="1">
        <v>0</v>
      </c>
      <c r="F750" s="1">
        <v>0</v>
      </c>
      <c r="G750" s="1">
        <v>74250000</v>
      </c>
      <c r="H750" s="1">
        <v>74250000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65250000</v>
      </c>
      <c r="P750" s="1">
        <v>65250000</v>
      </c>
      <c r="Q750" s="1">
        <v>0</v>
      </c>
      <c r="R750" s="1">
        <v>0</v>
      </c>
      <c r="S750" s="1">
        <v>65250000</v>
      </c>
      <c r="T750" s="1">
        <v>65250000</v>
      </c>
      <c r="U750" s="1">
        <v>65250000</v>
      </c>
      <c r="V750" s="1">
        <v>65250000</v>
      </c>
      <c r="W750" s="4">
        <f t="shared" si="34"/>
        <v>270000000</v>
      </c>
      <c r="X750" s="4">
        <f t="shared" si="35"/>
        <v>270000000</v>
      </c>
      <c r="Y750" s="5">
        <f t="shared" si="36"/>
        <v>1</v>
      </c>
    </row>
    <row r="751" spans="1:25" x14ac:dyDescent="0.25">
      <c r="A751" s="1" t="s">
        <v>113</v>
      </c>
      <c r="B751" s="1" t="s">
        <v>38</v>
      </c>
      <c r="C751" s="1" t="s">
        <v>39</v>
      </c>
      <c r="D751" s="1">
        <v>7271240.6445771493</v>
      </c>
      <c r="E751" s="1">
        <v>479901.88254209189</v>
      </c>
      <c r="F751" s="1">
        <v>479901.88254209189</v>
      </c>
      <c r="G751" s="1">
        <v>599877.35317761486</v>
      </c>
      <c r="H751" s="1">
        <v>599877.35317761486</v>
      </c>
      <c r="I751" s="1">
        <v>599877.35317761486</v>
      </c>
      <c r="J751" s="1">
        <v>599877.35317761486</v>
      </c>
      <c r="K751" s="1">
        <v>599877.35317761486</v>
      </c>
      <c r="L751" s="1">
        <v>599877.35317761486</v>
      </c>
      <c r="M751" s="1">
        <v>365379.84239000181</v>
      </c>
      <c r="N751" s="1">
        <v>365379.84239000181</v>
      </c>
      <c r="O751" s="1">
        <v>304483.2019916682</v>
      </c>
      <c r="P751" s="1">
        <v>304483.2019916682</v>
      </c>
      <c r="Q751" s="1">
        <v>426276.48278833547</v>
      </c>
      <c r="R751" s="1">
        <v>426276.48278833547</v>
      </c>
      <c r="S751" s="1">
        <v>426276.48278833547</v>
      </c>
      <c r="T751" s="1">
        <v>426276.48278833547</v>
      </c>
      <c r="U751" s="1">
        <v>426276.48278833547</v>
      </c>
      <c r="V751" s="1">
        <v>426276.48278833547</v>
      </c>
      <c r="W751" s="4">
        <f t="shared" si="34"/>
        <v>4228226.4348216131</v>
      </c>
      <c r="X751" s="4">
        <f t="shared" si="35"/>
        <v>4228226.4348216131</v>
      </c>
      <c r="Y751" s="5">
        <f t="shared" si="36"/>
        <v>0.58150000000000013</v>
      </c>
    </row>
    <row r="752" spans="1:25" x14ac:dyDescent="0.25">
      <c r="A752" s="1" t="s">
        <v>113</v>
      </c>
      <c r="B752" s="1" t="s">
        <v>61</v>
      </c>
      <c r="C752" s="1" t="s">
        <v>34</v>
      </c>
      <c r="D752" s="1">
        <v>131237078.469621</v>
      </c>
      <c r="E752" s="1">
        <v>0</v>
      </c>
      <c r="F752" s="1">
        <v>0</v>
      </c>
      <c r="G752" s="1">
        <v>10498966.276373826</v>
      </c>
      <c r="H752" s="1">
        <v>10498966.276373826</v>
      </c>
      <c r="I752" s="1">
        <v>0</v>
      </c>
      <c r="J752" s="1">
        <v>0</v>
      </c>
      <c r="K752" s="1">
        <v>0</v>
      </c>
      <c r="L752" s="1">
        <v>0</v>
      </c>
      <c r="M752" s="1">
        <v>30184528.048311792</v>
      </c>
      <c r="N752" s="1">
        <v>30184528.048311792</v>
      </c>
      <c r="O752" s="1">
        <v>0</v>
      </c>
      <c r="P752" s="1">
        <v>0</v>
      </c>
      <c r="Q752" s="1">
        <v>0</v>
      </c>
      <c r="R752" s="1">
        <v>0</v>
      </c>
      <c r="S752" s="1">
        <v>45276792.072467685</v>
      </c>
      <c r="T752" s="1">
        <v>45276792.072467685</v>
      </c>
      <c r="U752" s="1">
        <v>0</v>
      </c>
      <c r="V752" s="1">
        <v>0</v>
      </c>
      <c r="W752" s="4">
        <f t="shared" si="34"/>
        <v>85960286.397153318</v>
      </c>
      <c r="X752" s="4">
        <f t="shared" si="35"/>
        <v>85960286.397153318</v>
      </c>
      <c r="Y752" s="5">
        <f t="shared" si="36"/>
        <v>0.65499999999658298</v>
      </c>
    </row>
    <row r="753" spans="1:25" x14ac:dyDescent="0.25">
      <c r="A753" s="1" t="s">
        <v>113</v>
      </c>
      <c r="B753" s="1" t="s">
        <v>62</v>
      </c>
      <c r="C753" s="1" t="s">
        <v>63</v>
      </c>
      <c r="D753" s="1">
        <v>51142861</v>
      </c>
      <c r="E753" s="1">
        <v>21999999.999120001</v>
      </c>
      <c r="F753" s="1">
        <v>21999999.999120001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1773214.2857967855</v>
      </c>
      <c r="N753" s="1">
        <v>1773214.2857967855</v>
      </c>
      <c r="O753" s="1">
        <v>1477678.5714973214</v>
      </c>
      <c r="P753" s="1">
        <v>1477678.5714973214</v>
      </c>
      <c r="Q753" s="1">
        <v>2068750.0000962499</v>
      </c>
      <c r="R753" s="1">
        <v>2068750.0000962499</v>
      </c>
      <c r="S753" s="1">
        <v>2068750.0000962499</v>
      </c>
      <c r="T753" s="1">
        <v>2068750.0000962499</v>
      </c>
      <c r="U753" s="1">
        <v>2068750.0000962499</v>
      </c>
      <c r="V753" s="1">
        <v>2068750.0000962499</v>
      </c>
      <c r="W753" s="4">
        <f t="shared" si="34"/>
        <v>31457142.856702857</v>
      </c>
      <c r="X753" s="4">
        <f t="shared" si="35"/>
        <v>31457142.856702857</v>
      </c>
      <c r="Y753" s="5">
        <f t="shared" si="36"/>
        <v>0.61508375248508007</v>
      </c>
    </row>
    <row r="754" spans="1:25" x14ac:dyDescent="0.25">
      <c r="A754" s="1" t="s">
        <v>113</v>
      </c>
      <c r="B754" s="1" t="s">
        <v>40</v>
      </c>
      <c r="C754" s="1" t="s">
        <v>114</v>
      </c>
      <c r="D754" s="1">
        <v>127937652</v>
      </c>
      <c r="E754" s="1">
        <v>10510992</v>
      </c>
      <c r="F754" s="1">
        <v>10510992</v>
      </c>
      <c r="G754" s="1">
        <v>25074977.550000001</v>
      </c>
      <c r="H754" s="1">
        <v>25074977.550000001</v>
      </c>
      <c r="I754" s="1">
        <v>13674968.279999999</v>
      </c>
      <c r="J754" s="1">
        <v>13674968.279999999</v>
      </c>
      <c r="K754" s="1">
        <v>10252478</v>
      </c>
      <c r="L754" s="1">
        <v>10252478</v>
      </c>
      <c r="M754" s="1">
        <v>4500000</v>
      </c>
      <c r="N754" s="1">
        <v>4500000</v>
      </c>
      <c r="O754" s="1">
        <v>16343955.440000001</v>
      </c>
      <c r="P754" s="1">
        <v>16343955.440000001</v>
      </c>
      <c r="Q754" s="1">
        <v>17910304</v>
      </c>
      <c r="R754" s="1">
        <v>17910304</v>
      </c>
      <c r="S754" s="1">
        <v>5195275</v>
      </c>
      <c r="T754" s="1">
        <v>5195275</v>
      </c>
      <c r="U754" s="1">
        <v>5229306.58</v>
      </c>
      <c r="V754" s="1">
        <v>5229306.58</v>
      </c>
      <c r="W754" s="4">
        <f t="shared" si="34"/>
        <v>108692256.84999999</v>
      </c>
      <c r="X754" s="4">
        <f t="shared" si="35"/>
        <v>108692256.84999999</v>
      </c>
      <c r="Y754" s="5">
        <f t="shared" si="36"/>
        <v>0.8495720778899396</v>
      </c>
    </row>
    <row r="755" spans="1:25" x14ac:dyDescent="0.25">
      <c r="A755" s="1" t="s">
        <v>113</v>
      </c>
      <c r="B755" s="1" t="s">
        <v>41</v>
      </c>
      <c r="C755" s="1" t="s">
        <v>114</v>
      </c>
      <c r="D755" s="1">
        <v>191292535</v>
      </c>
      <c r="E755" s="1">
        <v>0</v>
      </c>
      <c r="F755" s="1">
        <v>0</v>
      </c>
      <c r="G755" s="1">
        <v>5204917</v>
      </c>
      <c r="H755" s="1">
        <v>5204917</v>
      </c>
      <c r="I755" s="1">
        <v>25884537.603753679</v>
      </c>
      <c r="J755" s="1">
        <v>25884537.603753679</v>
      </c>
      <c r="K755" s="1">
        <v>10406550</v>
      </c>
      <c r="L755" s="1">
        <v>10406550</v>
      </c>
      <c r="M755" s="1">
        <v>21282270.549842369</v>
      </c>
      <c r="N755" s="1">
        <v>21282270.549842369</v>
      </c>
      <c r="O755" s="1">
        <v>96825439.296561584</v>
      </c>
      <c r="P755" s="1">
        <v>96825439.296561584</v>
      </c>
      <c r="Q755" s="1">
        <v>31688820.549842369</v>
      </c>
      <c r="R755" s="1">
        <v>31688820.549842369</v>
      </c>
      <c r="S755" s="1">
        <v>0</v>
      </c>
      <c r="T755" s="1">
        <v>0</v>
      </c>
      <c r="U755" s="1">
        <v>0</v>
      </c>
      <c r="V755" s="1">
        <v>0</v>
      </c>
      <c r="W755" s="4">
        <f t="shared" si="34"/>
        <v>191292535</v>
      </c>
      <c r="X755" s="4">
        <f t="shared" si="35"/>
        <v>191292535</v>
      </c>
      <c r="Y755" s="5">
        <f t="shared" si="36"/>
        <v>1</v>
      </c>
    </row>
    <row r="756" spans="1:25" x14ac:dyDescent="0.25">
      <c r="A756" s="1" t="s">
        <v>113</v>
      </c>
      <c r="B756" s="1" t="s">
        <v>42</v>
      </c>
      <c r="C756" s="1" t="s">
        <v>114</v>
      </c>
      <c r="D756" s="1">
        <v>49038478</v>
      </c>
      <c r="E756" s="1">
        <v>0</v>
      </c>
      <c r="F756" s="1">
        <v>0</v>
      </c>
      <c r="G756" s="1">
        <v>20519239</v>
      </c>
      <c r="H756" s="1">
        <v>20519239</v>
      </c>
      <c r="I756" s="1">
        <v>0</v>
      </c>
      <c r="J756" s="1">
        <v>0</v>
      </c>
      <c r="K756" s="1">
        <v>0</v>
      </c>
      <c r="L756" s="1">
        <v>0</v>
      </c>
      <c r="M756" s="1">
        <v>10694714.625</v>
      </c>
      <c r="N756" s="1">
        <v>10694714.625</v>
      </c>
      <c r="O756" s="1">
        <v>7129809.75</v>
      </c>
      <c r="P756" s="1">
        <v>7129809.75</v>
      </c>
      <c r="Q756" s="1">
        <v>10694714.625</v>
      </c>
      <c r="R756" s="1">
        <v>10694714.625</v>
      </c>
      <c r="S756" s="1">
        <v>0</v>
      </c>
      <c r="T756" s="1">
        <v>0</v>
      </c>
      <c r="U756" s="1">
        <v>0</v>
      </c>
      <c r="V756" s="1">
        <v>0</v>
      </c>
      <c r="W756" s="4">
        <f t="shared" si="34"/>
        <v>49038478</v>
      </c>
      <c r="X756" s="4">
        <f t="shared" si="35"/>
        <v>49038478</v>
      </c>
      <c r="Y756" s="5">
        <f t="shared" si="36"/>
        <v>1</v>
      </c>
    </row>
    <row r="757" spans="1:25" x14ac:dyDescent="0.25">
      <c r="A757" s="1" t="s">
        <v>113</v>
      </c>
      <c r="B757" s="1" t="s">
        <v>43</v>
      </c>
      <c r="C757" s="1" t="s">
        <v>31</v>
      </c>
      <c r="D757" s="1">
        <v>3615275</v>
      </c>
      <c r="E757" s="1">
        <v>210005.53186669579</v>
      </c>
      <c r="F757" s="1">
        <v>210005.53186669579</v>
      </c>
      <c r="G757" s="1">
        <v>262506.91483336972</v>
      </c>
      <c r="H757" s="1">
        <v>262506.91483336972</v>
      </c>
      <c r="I757" s="1">
        <v>262506.91483336972</v>
      </c>
      <c r="J757" s="1">
        <v>262506.91483336972</v>
      </c>
      <c r="K757" s="1">
        <v>262506.91483336972</v>
      </c>
      <c r="L757" s="1">
        <v>262506.91483336972</v>
      </c>
      <c r="M757" s="1">
        <v>195193.4674073495</v>
      </c>
      <c r="N757" s="1">
        <v>195193.4674073495</v>
      </c>
      <c r="O757" s="1">
        <v>162661.22283945791</v>
      </c>
      <c r="P757" s="1">
        <v>162661.22283945791</v>
      </c>
      <c r="Q757" s="1">
        <v>201593.15463987738</v>
      </c>
      <c r="R757" s="1">
        <v>201593.15463987738</v>
      </c>
      <c r="S757" s="1">
        <v>227725.71197524108</v>
      </c>
      <c r="T757" s="1">
        <v>227725.71197524108</v>
      </c>
      <c r="U757" s="1">
        <v>227725.71197524108</v>
      </c>
      <c r="V757" s="1">
        <v>227725.71197524108</v>
      </c>
      <c r="W757" s="4">
        <f t="shared" si="34"/>
        <v>2012425.5452039717</v>
      </c>
      <c r="X757" s="4">
        <f t="shared" si="35"/>
        <v>2012425.5452039717</v>
      </c>
      <c r="Y757" s="5">
        <f t="shared" si="36"/>
        <v>0.55664521929976885</v>
      </c>
    </row>
    <row r="758" spans="1:25" x14ac:dyDescent="0.25">
      <c r="A758" s="1" t="s">
        <v>113</v>
      </c>
      <c r="B758" s="1" t="s">
        <v>64</v>
      </c>
      <c r="C758" s="1" t="s">
        <v>23</v>
      </c>
      <c r="D758" s="1">
        <v>8400974.0582756475</v>
      </c>
      <c r="E758" s="1">
        <v>554464.28784619272</v>
      </c>
      <c r="F758" s="1">
        <v>554464.28784619272</v>
      </c>
      <c r="G758" s="1">
        <v>693080.3598077409</v>
      </c>
      <c r="H758" s="1">
        <v>693080.3598077409</v>
      </c>
      <c r="I758" s="1">
        <v>693080.3598077409</v>
      </c>
      <c r="J758" s="1">
        <v>693080.3598077409</v>
      </c>
      <c r="K758" s="1">
        <v>693080.3598077409</v>
      </c>
      <c r="L758" s="1">
        <v>693080.3598077409</v>
      </c>
      <c r="M758" s="1">
        <v>422148.94642835128</v>
      </c>
      <c r="N758" s="1">
        <v>422148.94642835128</v>
      </c>
      <c r="O758" s="1">
        <v>351790.78869029274</v>
      </c>
      <c r="P758" s="1">
        <v>351790.78869029274</v>
      </c>
      <c r="Q758" s="1">
        <v>492507.10416640982</v>
      </c>
      <c r="R758" s="1">
        <v>492507.10416640982</v>
      </c>
      <c r="S758" s="1">
        <v>492507.10416640982</v>
      </c>
      <c r="T758" s="1">
        <v>492507.10416640982</v>
      </c>
      <c r="U758" s="1">
        <v>492507.10416640982</v>
      </c>
      <c r="V758" s="1">
        <v>492507.10416640982</v>
      </c>
      <c r="W758" s="4">
        <f t="shared" si="34"/>
        <v>4885166.4148872886</v>
      </c>
      <c r="X758" s="4">
        <f t="shared" si="35"/>
        <v>4885166.4148872886</v>
      </c>
      <c r="Y758" s="5">
        <f t="shared" si="36"/>
        <v>0.58149999999999991</v>
      </c>
    </row>
    <row r="759" spans="1:25" x14ac:dyDescent="0.25">
      <c r="A759" s="1" t="s">
        <v>113</v>
      </c>
      <c r="B759" s="1" t="s">
        <v>65</v>
      </c>
      <c r="C759" s="1" t="s">
        <v>31</v>
      </c>
      <c r="D759" s="1">
        <v>5850785.2362276101</v>
      </c>
      <c r="E759" s="1">
        <v>386151.82559102232</v>
      </c>
      <c r="F759" s="1">
        <v>386151.82559102232</v>
      </c>
      <c r="G759" s="1">
        <v>482689.78198877786</v>
      </c>
      <c r="H759" s="1">
        <v>482689.78198877786</v>
      </c>
      <c r="I759" s="1">
        <v>482689.78198877786</v>
      </c>
      <c r="J759" s="1">
        <v>482689.78198877786</v>
      </c>
      <c r="K759" s="1">
        <v>482689.78198877786</v>
      </c>
      <c r="L759" s="1">
        <v>482689.78198877786</v>
      </c>
      <c r="M759" s="1">
        <v>294001.9581204374</v>
      </c>
      <c r="N759" s="1">
        <v>294001.9581204374</v>
      </c>
      <c r="O759" s="1">
        <v>245001.63176703115</v>
      </c>
      <c r="P759" s="1">
        <v>245001.63176703115</v>
      </c>
      <c r="Q759" s="1">
        <v>343002.28447384358</v>
      </c>
      <c r="R759" s="1">
        <v>343002.28447384358</v>
      </c>
      <c r="S759" s="1">
        <v>343002.28447384358</v>
      </c>
      <c r="T759" s="1">
        <v>343002.28447384358</v>
      </c>
      <c r="U759" s="1">
        <v>343002.28447384358</v>
      </c>
      <c r="V759" s="1">
        <v>343002.28447384358</v>
      </c>
      <c r="W759" s="4">
        <f t="shared" si="34"/>
        <v>3402231.614866355</v>
      </c>
      <c r="X759" s="4">
        <f t="shared" si="35"/>
        <v>3402231.614866355</v>
      </c>
      <c r="Y759" s="5">
        <f t="shared" si="36"/>
        <v>0.58149999999999991</v>
      </c>
    </row>
    <row r="760" spans="1:25" x14ac:dyDescent="0.25">
      <c r="A760" s="1" t="s">
        <v>113</v>
      </c>
      <c r="B760" s="1" t="s">
        <v>44</v>
      </c>
      <c r="C760" s="1" t="s">
        <v>45</v>
      </c>
      <c r="D760" s="1">
        <v>7271240.6445771493</v>
      </c>
      <c r="E760" s="1">
        <v>479901.88254209189</v>
      </c>
      <c r="F760" s="1">
        <v>479901.88254209189</v>
      </c>
      <c r="G760" s="1">
        <v>599877.35317761486</v>
      </c>
      <c r="H760" s="1">
        <v>599877.35317761486</v>
      </c>
      <c r="I760" s="1">
        <v>599877.35317761486</v>
      </c>
      <c r="J760" s="1">
        <v>599877.35317761486</v>
      </c>
      <c r="K760" s="1">
        <v>599877.35317761486</v>
      </c>
      <c r="L760" s="1">
        <v>599877.35317761486</v>
      </c>
      <c r="M760" s="1">
        <v>365379.84239000181</v>
      </c>
      <c r="N760" s="1">
        <v>365379.84239000181</v>
      </c>
      <c r="O760" s="1">
        <v>304483.2019916682</v>
      </c>
      <c r="P760" s="1">
        <v>304483.2019916682</v>
      </c>
      <c r="Q760" s="1">
        <v>426276.48278833547</v>
      </c>
      <c r="R760" s="1">
        <v>426276.48278833547</v>
      </c>
      <c r="S760" s="1">
        <v>426276.48278833547</v>
      </c>
      <c r="T760" s="1">
        <v>426276.48278833547</v>
      </c>
      <c r="U760" s="1">
        <v>426276.48278833547</v>
      </c>
      <c r="V760" s="1">
        <v>426276.48278833547</v>
      </c>
      <c r="W760" s="4">
        <f t="shared" si="34"/>
        <v>4228226.4348216131</v>
      </c>
      <c r="X760" s="4">
        <f t="shared" si="35"/>
        <v>4228226.4348216131</v>
      </c>
      <c r="Y760" s="5">
        <f t="shared" si="36"/>
        <v>0.58150000000000013</v>
      </c>
    </row>
    <row r="761" spans="1:25" x14ac:dyDescent="0.25">
      <c r="A761" s="1" t="s">
        <v>113</v>
      </c>
      <c r="B761" s="1" t="s">
        <v>46</v>
      </c>
      <c r="C761" s="1" t="s">
        <v>22</v>
      </c>
      <c r="D761" s="1">
        <v>116736569.32291105</v>
      </c>
      <c r="E761" s="1">
        <v>7711830.6978401989</v>
      </c>
      <c r="F761" s="1">
        <v>7711830.6978401989</v>
      </c>
      <c r="G761" s="1">
        <v>9639788.3723002486</v>
      </c>
      <c r="H761" s="1">
        <v>9639788.3723002486</v>
      </c>
      <c r="I761" s="1">
        <v>9639788.3723002486</v>
      </c>
      <c r="J761" s="1">
        <v>9639788.3723002486</v>
      </c>
      <c r="K761" s="1">
        <v>9639788.3723002486</v>
      </c>
      <c r="L761" s="1">
        <v>9639788.3723002486</v>
      </c>
      <c r="M761" s="1">
        <v>6048650.2623007782</v>
      </c>
      <c r="N761" s="1">
        <v>6048650.2623007782</v>
      </c>
      <c r="O761" s="1">
        <v>4918698.8507689666</v>
      </c>
      <c r="P761" s="1">
        <v>4918698.8507689666</v>
      </c>
      <c r="Q761" s="1">
        <v>6809633.2163583208</v>
      </c>
      <c r="R761" s="1">
        <v>6809633.2163583208</v>
      </c>
      <c r="S761" s="1">
        <v>6809633.2163583208</v>
      </c>
      <c r="T761" s="1">
        <v>6809633.2163583208</v>
      </c>
      <c r="U761" s="1">
        <v>6809633.2163583199</v>
      </c>
      <c r="V761" s="1">
        <v>26809633.216358319</v>
      </c>
      <c r="W761" s="4">
        <f t="shared" si="34"/>
        <v>68027444.576885656</v>
      </c>
      <c r="X761" s="4">
        <f t="shared" si="35"/>
        <v>88027444.576885656</v>
      </c>
      <c r="Y761" s="5">
        <f t="shared" si="36"/>
        <v>0.75406914120791402</v>
      </c>
    </row>
    <row r="762" spans="1:25" x14ac:dyDescent="0.25">
      <c r="A762" s="1" t="s">
        <v>113</v>
      </c>
      <c r="B762" s="1" t="s">
        <v>66</v>
      </c>
      <c r="C762" s="1" t="s">
        <v>24</v>
      </c>
      <c r="D762" s="1">
        <v>396616917.22649539</v>
      </c>
      <c r="E762" s="1">
        <v>32720895.67118587</v>
      </c>
      <c r="F762" s="1">
        <v>32720895.67118587</v>
      </c>
      <c r="G762" s="1">
        <v>32720895.67118587</v>
      </c>
      <c r="H762" s="1">
        <v>32720895.67118587</v>
      </c>
      <c r="I762" s="1">
        <v>32720895.67118587</v>
      </c>
      <c r="J762" s="1">
        <v>32720895.67118587</v>
      </c>
      <c r="K762" s="1">
        <v>32720895.67118587</v>
      </c>
      <c r="L762" s="1">
        <v>32720895.67118587</v>
      </c>
      <c r="M762" s="1">
        <v>41189661.315256521</v>
      </c>
      <c r="N762" s="1">
        <v>41189661.315256521</v>
      </c>
      <c r="O762" s="1">
        <v>35458620</v>
      </c>
      <c r="P762" s="1">
        <v>35458620</v>
      </c>
      <c r="Q762" s="1">
        <v>35458620</v>
      </c>
      <c r="R762" s="1">
        <v>35458620</v>
      </c>
      <c r="S762" s="1">
        <v>34458620</v>
      </c>
      <c r="T762" s="1">
        <v>34458620</v>
      </c>
      <c r="U762" s="1">
        <v>38458620</v>
      </c>
      <c r="V762" s="1">
        <v>38458620</v>
      </c>
      <c r="W762" s="4">
        <f t="shared" si="34"/>
        <v>315907724</v>
      </c>
      <c r="X762" s="4">
        <f t="shared" si="35"/>
        <v>315907724</v>
      </c>
      <c r="Y762" s="5">
        <f t="shared" si="36"/>
        <v>0.79650592367343498</v>
      </c>
    </row>
    <row r="763" spans="1:25" x14ac:dyDescent="0.25">
      <c r="A763" s="1" t="s">
        <v>113</v>
      </c>
      <c r="B763" s="1" t="s">
        <v>67</v>
      </c>
      <c r="C763" s="1" t="s">
        <v>68</v>
      </c>
      <c r="D763" s="1">
        <v>11061752.304765295</v>
      </c>
      <c r="E763" s="1">
        <v>730075.6521145096</v>
      </c>
      <c r="F763" s="1">
        <v>730075.6521145096</v>
      </c>
      <c r="G763" s="1">
        <v>912594.56514313689</v>
      </c>
      <c r="H763" s="1">
        <v>912594.56514313689</v>
      </c>
      <c r="I763" s="1">
        <v>912594.56514313689</v>
      </c>
      <c r="J763" s="1">
        <v>912594.56514313689</v>
      </c>
      <c r="K763" s="1">
        <v>912594.56514313689</v>
      </c>
      <c r="L763" s="1">
        <v>912594.56514313689</v>
      </c>
      <c r="M763" s="1">
        <v>575211.11984779511</v>
      </c>
      <c r="N763" s="1">
        <v>575211.11984779511</v>
      </c>
      <c r="O763" s="1">
        <v>460906.34603188728</v>
      </c>
      <c r="P763" s="1">
        <v>460906.34603188728</v>
      </c>
      <c r="Q763" s="1">
        <v>645268.88444464211</v>
      </c>
      <c r="R763" s="1">
        <v>645268.88444464211</v>
      </c>
      <c r="S763" s="1">
        <v>645268.88444464211</v>
      </c>
      <c r="T763" s="1">
        <v>645268.88444464211</v>
      </c>
      <c r="U763" s="1">
        <v>645268.88444464211</v>
      </c>
      <c r="V763" s="1">
        <v>645268.88444464211</v>
      </c>
      <c r="W763" s="4">
        <f t="shared" si="34"/>
        <v>6439783.4667575294</v>
      </c>
      <c r="X763" s="4">
        <f t="shared" si="35"/>
        <v>6439783.4667575294</v>
      </c>
      <c r="Y763" s="5">
        <f t="shared" si="36"/>
        <v>0.58216666666666672</v>
      </c>
    </row>
    <row r="764" spans="1:25" x14ac:dyDescent="0.25">
      <c r="A764" s="1" t="s">
        <v>113</v>
      </c>
      <c r="B764" s="1" t="s">
        <v>69</v>
      </c>
      <c r="C764" s="1" t="s">
        <v>28</v>
      </c>
      <c r="D764" s="1">
        <v>8925865.7443187088</v>
      </c>
      <c r="E764" s="1">
        <v>589107.1391250348</v>
      </c>
      <c r="F764" s="1">
        <v>589107.1391250348</v>
      </c>
      <c r="G764" s="1">
        <v>736383.92390629346</v>
      </c>
      <c r="H764" s="1">
        <v>736383.92390629346</v>
      </c>
      <c r="I764" s="1">
        <v>736383.92390629346</v>
      </c>
      <c r="J764" s="1">
        <v>736383.92390629346</v>
      </c>
      <c r="K764" s="1">
        <v>736383.92390629346</v>
      </c>
      <c r="L764" s="1">
        <v>736383.92390629346</v>
      </c>
      <c r="M764" s="1">
        <v>448524.75365201512</v>
      </c>
      <c r="N764" s="1">
        <v>448524.75365201512</v>
      </c>
      <c r="O764" s="1">
        <v>373770.62804334593</v>
      </c>
      <c r="P764" s="1">
        <v>373770.62804334593</v>
      </c>
      <c r="Q764" s="1">
        <v>523278.87926068425</v>
      </c>
      <c r="R764" s="1">
        <v>523278.87926068425</v>
      </c>
      <c r="S764" s="1">
        <v>523278.87926068425</v>
      </c>
      <c r="T764" s="1">
        <v>523278.87926068425</v>
      </c>
      <c r="U764" s="1">
        <v>523278.87926068425</v>
      </c>
      <c r="V764" s="1">
        <v>523278.87926068425</v>
      </c>
      <c r="W764" s="4">
        <f t="shared" si="34"/>
        <v>5190390.9303213293</v>
      </c>
      <c r="X764" s="4">
        <f t="shared" si="35"/>
        <v>5190390.9303213293</v>
      </c>
      <c r="Y764" s="5">
        <f t="shared" si="36"/>
        <v>0.58150000000000002</v>
      </c>
    </row>
    <row r="765" spans="1:25" x14ac:dyDescent="0.25">
      <c r="A765" s="1" t="s">
        <v>113</v>
      </c>
      <c r="B765" s="1" t="s">
        <v>70</v>
      </c>
      <c r="C765" s="1" t="s">
        <v>23</v>
      </c>
      <c r="D765" s="1">
        <v>8268750.0182812503</v>
      </c>
      <c r="E765" s="1">
        <v>545737.50120656262</v>
      </c>
      <c r="F765" s="1">
        <v>545737.50120656262</v>
      </c>
      <c r="G765" s="1">
        <v>682171.87650820322</v>
      </c>
      <c r="H765" s="1">
        <v>682171.87650820322</v>
      </c>
      <c r="I765" s="1">
        <v>682171.87650820322</v>
      </c>
      <c r="J765" s="1">
        <v>682171.87650820322</v>
      </c>
      <c r="K765" s="1">
        <v>682171.87650820322</v>
      </c>
      <c r="L765" s="1">
        <v>682171.87650820322</v>
      </c>
      <c r="M765" s="1">
        <v>415504.68841863284</v>
      </c>
      <c r="N765" s="1">
        <v>415504.68841863284</v>
      </c>
      <c r="O765" s="1">
        <v>346253.90701552737</v>
      </c>
      <c r="P765" s="1">
        <v>346253.90701552737</v>
      </c>
      <c r="Q765" s="1">
        <v>484755.46982173825</v>
      </c>
      <c r="R765" s="1">
        <v>484755.46982173825</v>
      </c>
      <c r="S765" s="1">
        <v>484755.46982173825</v>
      </c>
      <c r="T765" s="1">
        <v>484755.46982173825</v>
      </c>
      <c r="U765" s="1">
        <v>484755.46982173825</v>
      </c>
      <c r="V765" s="1">
        <v>484755.46982173825</v>
      </c>
      <c r="W765" s="4">
        <f t="shared" si="34"/>
        <v>4808278.135630548</v>
      </c>
      <c r="X765" s="4">
        <f t="shared" si="35"/>
        <v>4808278.135630548</v>
      </c>
      <c r="Y765" s="5">
        <f t="shared" si="36"/>
        <v>0.58150000000000013</v>
      </c>
    </row>
    <row r="766" spans="1:25" x14ac:dyDescent="0.25">
      <c r="A766" s="1" t="s">
        <v>113</v>
      </c>
      <c r="B766" s="1" t="s">
        <v>71</v>
      </c>
      <c r="C766" s="1" t="s">
        <v>29</v>
      </c>
      <c r="D766" s="1">
        <v>7819371.1211538427</v>
      </c>
      <c r="E766" s="1">
        <v>516078.4939961537</v>
      </c>
      <c r="F766" s="1">
        <v>516078.4939961537</v>
      </c>
      <c r="G766" s="1">
        <v>645098.1174951921</v>
      </c>
      <c r="H766" s="1">
        <v>645098.1174951921</v>
      </c>
      <c r="I766" s="1">
        <v>645098.1174951921</v>
      </c>
      <c r="J766" s="1">
        <v>645098.1174951921</v>
      </c>
      <c r="K766" s="1">
        <v>645098.1174951921</v>
      </c>
      <c r="L766" s="1">
        <v>645098.1174951921</v>
      </c>
      <c r="M766" s="1">
        <v>392923.39883798052</v>
      </c>
      <c r="N766" s="1">
        <v>392923.39883798052</v>
      </c>
      <c r="O766" s="1">
        <v>327436.16569831711</v>
      </c>
      <c r="P766" s="1">
        <v>327436.16569831711</v>
      </c>
      <c r="Q766" s="1">
        <v>458410.63197764393</v>
      </c>
      <c r="R766" s="1">
        <v>458410.63197764393</v>
      </c>
      <c r="S766" s="1">
        <v>458410.63197764393</v>
      </c>
      <c r="T766" s="1">
        <v>458410.63197764393</v>
      </c>
      <c r="U766" s="1">
        <v>458410.63197764393</v>
      </c>
      <c r="V766" s="1">
        <v>458410.63197764393</v>
      </c>
      <c r="W766" s="4">
        <f t="shared" si="34"/>
        <v>4546964.3069509603</v>
      </c>
      <c r="X766" s="4">
        <f t="shared" si="35"/>
        <v>4546964.3069509603</v>
      </c>
      <c r="Y766" s="5">
        <f t="shared" si="36"/>
        <v>0.58150000000000013</v>
      </c>
    </row>
    <row r="767" spans="1:25" x14ac:dyDescent="0.25">
      <c r="A767" s="1" t="s">
        <v>113</v>
      </c>
      <c r="B767" s="1" t="s">
        <v>72</v>
      </c>
      <c r="C767" s="1" t="s">
        <v>73</v>
      </c>
      <c r="D767" s="1">
        <v>10366678.074418619</v>
      </c>
      <c r="E767" s="1">
        <v>684200.75291162892</v>
      </c>
      <c r="F767" s="1">
        <v>684200.75291162892</v>
      </c>
      <c r="G767" s="1">
        <v>855250.94113953609</v>
      </c>
      <c r="H767" s="1">
        <v>855250.94113953609</v>
      </c>
      <c r="I767" s="1">
        <v>855250.94113953609</v>
      </c>
      <c r="J767" s="1">
        <v>855250.94113953609</v>
      </c>
      <c r="K767" s="1">
        <v>855250.94113953609</v>
      </c>
      <c r="L767" s="1">
        <v>855250.94113953609</v>
      </c>
      <c r="M767" s="1">
        <v>520925.57323953562</v>
      </c>
      <c r="N767" s="1">
        <v>520925.57323953562</v>
      </c>
      <c r="O767" s="1">
        <v>434104.64436627971</v>
      </c>
      <c r="P767" s="1">
        <v>434104.64436627971</v>
      </c>
      <c r="Q767" s="1">
        <v>607746.50211279152</v>
      </c>
      <c r="R767" s="1">
        <v>607746.50211279152</v>
      </c>
      <c r="S767" s="1">
        <v>607746.50211279152</v>
      </c>
      <c r="T767" s="1">
        <v>607746.50211279152</v>
      </c>
      <c r="U767" s="1">
        <v>607746.50211279152</v>
      </c>
      <c r="V767" s="1">
        <v>607746.50211279152</v>
      </c>
      <c r="W767" s="4">
        <f t="shared" si="34"/>
        <v>6028223.300274427</v>
      </c>
      <c r="X767" s="4">
        <f t="shared" si="35"/>
        <v>6028223.300274427</v>
      </c>
      <c r="Y767" s="5">
        <f t="shared" si="36"/>
        <v>0.58150000000000002</v>
      </c>
    </row>
    <row r="768" spans="1:25" x14ac:dyDescent="0.25">
      <c r="A768" s="1" t="s">
        <v>113</v>
      </c>
      <c r="B768" s="1" t="s">
        <v>48</v>
      </c>
      <c r="C768" s="1" t="s">
        <v>49</v>
      </c>
      <c r="D768" s="1">
        <v>5936111.5563627863</v>
      </c>
      <c r="E768" s="1">
        <v>391783.36271994398</v>
      </c>
      <c r="F768" s="1">
        <v>391783.36271994398</v>
      </c>
      <c r="G768" s="1">
        <v>489729.20339992992</v>
      </c>
      <c r="H768" s="1">
        <v>489729.20339992992</v>
      </c>
      <c r="I768" s="1">
        <v>489729.20339992992</v>
      </c>
      <c r="J768" s="1">
        <v>489729.20339992992</v>
      </c>
      <c r="K768" s="1">
        <v>489729.20339992992</v>
      </c>
      <c r="L768" s="1">
        <v>489729.20339992992</v>
      </c>
      <c r="M768" s="1">
        <v>298289.60570722993</v>
      </c>
      <c r="N768" s="1">
        <v>298289.60570722993</v>
      </c>
      <c r="O768" s="1">
        <v>248574.67142269161</v>
      </c>
      <c r="P768" s="1">
        <v>248574.67142269161</v>
      </c>
      <c r="Q768" s="1">
        <v>348004.53999176825</v>
      </c>
      <c r="R768" s="1">
        <v>348004.53999176825</v>
      </c>
      <c r="S768" s="1">
        <v>348004.53999176825</v>
      </c>
      <c r="T768" s="1">
        <v>348004.53999176825</v>
      </c>
      <c r="U768" s="1">
        <v>348004.53999176825</v>
      </c>
      <c r="V768" s="1">
        <v>348004.53999176825</v>
      </c>
      <c r="W768" s="4">
        <f t="shared" si="34"/>
        <v>3451848.8700249596</v>
      </c>
      <c r="X768" s="4">
        <f t="shared" si="35"/>
        <v>3451848.8700249596</v>
      </c>
      <c r="Y768" s="5">
        <f t="shared" si="36"/>
        <v>0.58149999999999991</v>
      </c>
    </row>
    <row r="769" spans="1:25" x14ac:dyDescent="0.25">
      <c r="A769" s="1" t="s">
        <v>113</v>
      </c>
      <c r="B769" s="1" t="s">
        <v>53</v>
      </c>
      <c r="C769" s="1" t="s">
        <v>30</v>
      </c>
      <c r="D769" s="1">
        <v>10489132.514602674</v>
      </c>
      <c r="E769" s="1">
        <v>692282.74596377648</v>
      </c>
      <c r="F769" s="1">
        <v>692282.74596377648</v>
      </c>
      <c r="G769" s="1">
        <v>865353.43245472061</v>
      </c>
      <c r="H769" s="1">
        <v>865353.43245472061</v>
      </c>
      <c r="I769" s="1">
        <v>865353.43245472061</v>
      </c>
      <c r="J769" s="1">
        <v>865353.43245472061</v>
      </c>
      <c r="K769" s="1">
        <v>865353.43245472061</v>
      </c>
      <c r="L769" s="1">
        <v>865353.43245472061</v>
      </c>
      <c r="M769" s="1">
        <v>527078.90885878436</v>
      </c>
      <c r="N769" s="1">
        <v>527078.90885878436</v>
      </c>
      <c r="O769" s="1">
        <v>439232.42404898698</v>
      </c>
      <c r="P769" s="1">
        <v>439232.42404898698</v>
      </c>
      <c r="Q769" s="1">
        <v>614925.39366858173</v>
      </c>
      <c r="R769" s="1">
        <v>614925.39366858173</v>
      </c>
      <c r="S769" s="1">
        <v>614925.39366858173</v>
      </c>
      <c r="T769" s="1">
        <v>614925.39366858173</v>
      </c>
      <c r="U769" s="1">
        <v>614925.39366858173</v>
      </c>
      <c r="V769" s="1">
        <v>614925.39366858173</v>
      </c>
      <c r="W769" s="4">
        <f t="shared" si="34"/>
        <v>6099430.5572414547</v>
      </c>
      <c r="X769" s="4">
        <f t="shared" si="35"/>
        <v>6099430.5572414547</v>
      </c>
      <c r="Y769" s="5">
        <f t="shared" si="36"/>
        <v>0.58150000000000002</v>
      </c>
    </row>
    <row r="770" spans="1:25" x14ac:dyDescent="0.25">
      <c r="A770" s="1" t="s">
        <v>113</v>
      </c>
      <c r="B770" s="1" t="s">
        <v>74</v>
      </c>
      <c r="C770" s="1" t="s">
        <v>75</v>
      </c>
      <c r="D770" s="1">
        <v>2781796.8932646206</v>
      </c>
      <c r="E770" s="1">
        <v>183598.59495546497</v>
      </c>
      <c r="F770" s="1">
        <v>183598.59495546497</v>
      </c>
      <c r="G770" s="1">
        <v>229498.24369433121</v>
      </c>
      <c r="H770" s="1">
        <v>229498.24369433121</v>
      </c>
      <c r="I770" s="1">
        <v>229498.24369433121</v>
      </c>
      <c r="J770" s="1">
        <v>229498.24369433121</v>
      </c>
      <c r="K770" s="1">
        <v>229498.24369433121</v>
      </c>
      <c r="L770" s="1">
        <v>229498.24369433121</v>
      </c>
      <c r="M770" s="1">
        <v>139785.29388654718</v>
      </c>
      <c r="N770" s="1">
        <v>139785.29388654718</v>
      </c>
      <c r="O770" s="1">
        <v>116487.74490545598</v>
      </c>
      <c r="P770" s="1">
        <v>116487.74490545598</v>
      </c>
      <c r="Q770" s="1">
        <v>163082.84286763836</v>
      </c>
      <c r="R770" s="1">
        <v>163082.84286763836</v>
      </c>
      <c r="S770" s="1">
        <v>163082.84286763836</v>
      </c>
      <c r="T770" s="1">
        <v>163082.84286763836</v>
      </c>
      <c r="U770" s="1">
        <v>163082.84286763836</v>
      </c>
      <c r="V770" s="1">
        <v>163082.84286763836</v>
      </c>
      <c r="W770" s="4">
        <f t="shared" si="34"/>
        <v>1617614.8934333771</v>
      </c>
      <c r="X770" s="4">
        <f t="shared" si="35"/>
        <v>1617614.8934333771</v>
      </c>
      <c r="Y770" s="5">
        <f t="shared" si="36"/>
        <v>0.58150000000000013</v>
      </c>
    </row>
    <row r="771" spans="1:25" x14ac:dyDescent="0.25">
      <c r="A771" s="1" t="s">
        <v>113</v>
      </c>
      <c r="B771" s="1" t="s">
        <v>50</v>
      </c>
      <c r="C771" s="1" t="s">
        <v>25</v>
      </c>
      <c r="D771" s="1">
        <v>6232917.1341809239</v>
      </c>
      <c r="E771" s="1">
        <v>411372.530855941</v>
      </c>
      <c r="F771" s="1">
        <v>411372.530855941</v>
      </c>
      <c r="G771" s="1">
        <v>514215.66356992623</v>
      </c>
      <c r="H771" s="1">
        <v>514215.66356992623</v>
      </c>
      <c r="I771" s="1">
        <v>514215.66356992623</v>
      </c>
      <c r="J771" s="1">
        <v>514215.66356992623</v>
      </c>
      <c r="K771" s="1">
        <v>514215.66356992623</v>
      </c>
      <c r="L771" s="1">
        <v>514215.66356992623</v>
      </c>
      <c r="M771" s="1">
        <v>313204.0859925914</v>
      </c>
      <c r="N771" s="1">
        <v>313204.0859925914</v>
      </c>
      <c r="O771" s="1">
        <v>261003.40499382617</v>
      </c>
      <c r="P771" s="1">
        <v>261003.40499382617</v>
      </c>
      <c r="Q771" s="1">
        <v>365404.76699135662</v>
      </c>
      <c r="R771" s="1">
        <v>365404.76699135662</v>
      </c>
      <c r="S771" s="1">
        <v>365404.76699135662</v>
      </c>
      <c r="T771" s="1">
        <v>365404.76699135662</v>
      </c>
      <c r="U771" s="1">
        <v>365404.76699135662</v>
      </c>
      <c r="V771" s="1">
        <v>365404.76699135662</v>
      </c>
      <c r="W771" s="4">
        <f t="shared" ref="W771" si="37">U771+S771+Q771+O771+M771+K771+I771+G771+E771</f>
        <v>3624441.3135262076</v>
      </c>
      <c r="X771" s="4">
        <f t="shared" ref="X771" si="38">V771+T771+R771+P771+N771+L771+J771+H771+F771</f>
        <v>3624441.3135262076</v>
      </c>
      <c r="Y771" s="5">
        <f t="shared" ref="Y771" si="39">X771/D771</f>
        <v>0.58150000000000002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8"/>
  <sheetViews>
    <sheetView workbookViewId="0">
      <selection activeCell="C32" sqref="C32"/>
    </sheetView>
  </sheetViews>
  <sheetFormatPr defaultRowHeight="15" x14ac:dyDescent="0.25"/>
  <cols>
    <col min="1" max="1" width="30.42578125" customWidth="1"/>
    <col min="2" max="2" width="25.85546875" customWidth="1"/>
    <col min="3" max="3" width="32.140625" customWidth="1"/>
    <col min="4" max="4" width="14.28515625" customWidth="1"/>
    <col min="5" max="5" width="10.140625" customWidth="1"/>
    <col min="6" max="6" width="24.28515625" customWidth="1"/>
    <col min="7" max="7" width="14.28515625" customWidth="1"/>
    <col min="8" max="8" width="25.28515625" customWidth="1"/>
    <col min="9" max="9" width="14.28515625" customWidth="1"/>
    <col min="10" max="13" width="12.5703125" customWidth="1"/>
    <col min="14" max="15" width="14.28515625" customWidth="1"/>
    <col min="16" max="21" width="12.5703125" customWidth="1"/>
    <col min="22" max="22" width="11.5703125" customWidth="1"/>
    <col min="23" max="25" width="12.5703125" customWidth="1"/>
    <col min="26" max="26" width="15.28515625" customWidth="1"/>
    <col min="27" max="27" width="32.140625" bestFit="1" customWidth="1"/>
    <col min="28" max="28" width="25.85546875" bestFit="1" customWidth="1"/>
    <col min="29" max="29" width="32.140625" bestFit="1" customWidth="1"/>
    <col min="30" max="30" width="25.85546875" bestFit="1" customWidth="1"/>
    <col min="31" max="31" width="32.140625" bestFit="1" customWidth="1"/>
    <col min="32" max="32" width="25.85546875" bestFit="1" customWidth="1"/>
    <col min="33" max="33" width="32.140625" bestFit="1" customWidth="1"/>
    <col min="34" max="34" width="25.85546875" bestFit="1" customWidth="1"/>
    <col min="35" max="35" width="32.140625" bestFit="1" customWidth="1"/>
    <col min="36" max="36" width="25.85546875" bestFit="1" customWidth="1"/>
    <col min="37" max="37" width="32.140625" bestFit="1" customWidth="1"/>
    <col min="38" max="38" width="25.85546875" bestFit="1" customWidth="1"/>
    <col min="39" max="39" width="32.140625" bestFit="1" customWidth="1"/>
    <col min="40" max="40" width="25.85546875" bestFit="1" customWidth="1"/>
    <col min="41" max="41" width="32.140625" bestFit="1" customWidth="1"/>
    <col min="42" max="42" width="25.85546875" bestFit="1" customWidth="1"/>
    <col min="43" max="43" width="32.140625" bestFit="1" customWidth="1"/>
    <col min="44" max="44" width="25.85546875" bestFit="1" customWidth="1"/>
    <col min="45" max="45" width="32.140625" bestFit="1" customWidth="1"/>
    <col min="46" max="46" width="25.85546875" bestFit="1" customWidth="1"/>
    <col min="47" max="47" width="32.140625" bestFit="1" customWidth="1"/>
    <col min="48" max="48" width="25.85546875" bestFit="1" customWidth="1"/>
    <col min="49" max="49" width="32.140625" bestFit="1" customWidth="1"/>
    <col min="50" max="50" width="30.85546875" bestFit="1" customWidth="1"/>
    <col min="51" max="51" width="37.140625" bestFit="1" customWidth="1"/>
  </cols>
  <sheetData>
    <row r="3" spans="1:3" x14ac:dyDescent="0.25">
      <c r="A3" s="9" t="s">
        <v>118</v>
      </c>
      <c r="B3" t="s">
        <v>120</v>
      </c>
      <c r="C3" t="s">
        <v>121</v>
      </c>
    </row>
    <row r="4" spans="1:3" x14ac:dyDescent="0.25">
      <c r="A4" s="10" t="s">
        <v>59</v>
      </c>
      <c r="B4" s="3">
        <v>1611639111.4403875</v>
      </c>
      <c r="C4" s="3">
        <v>1349806411.2947097</v>
      </c>
    </row>
    <row r="5" spans="1:3" x14ac:dyDescent="0.25">
      <c r="A5" s="10" t="s">
        <v>33</v>
      </c>
      <c r="B5" s="3">
        <v>2316000000</v>
      </c>
      <c r="C5" s="3">
        <v>2316000000</v>
      </c>
    </row>
    <row r="6" spans="1:3" x14ac:dyDescent="0.25">
      <c r="A6" s="10" t="s">
        <v>35</v>
      </c>
      <c r="B6" s="3">
        <v>5790000000</v>
      </c>
      <c r="C6" s="3">
        <v>5790000000</v>
      </c>
    </row>
    <row r="7" spans="1:3" x14ac:dyDescent="0.25">
      <c r="A7" s="10" t="s">
        <v>36</v>
      </c>
      <c r="B7" s="3">
        <v>2200000000</v>
      </c>
      <c r="C7" s="3">
        <v>0</v>
      </c>
    </row>
    <row r="8" spans="1:3" x14ac:dyDescent="0.25">
      <c r="A8" s="10" t="s">
        <v>38</v>
      </c>
      <c r="B8" s="3">
        <v>231525000.00000003</v>
      </c>
      <c r="C8" s="3">
        <v>134724163.75223863</v>
      </c>
    </row>
    <row r="9" spans="1:3" x14ac:dyDescent="0.25">
      <c r="A9" s="10" t="s">
        <v>61</v>
      </c>
      <c r="B9" s="3">
        <v>3184000000.3626642</v>
      </c>
      <c r="C9" s="3">
        <v>2085520000.2266645</v>
      </c>
    </row>
    <row r="10" spans="1:3" x14ac:dyDescent="0.25">
      <c r="A10" s="10" t="s">
        <v>62</v>
      </c>
      <c r="B10" s="3">
        <v>1000000000</v>
      </c>
      <c r="C10" s="3">
        <v>531999999.9934001</v>
      </c>
    </row>
    <row r="11" spans="1:3" x14ac:dyDescent="0.25">
      <c r="A11" s="10" t="s">
        <v>40</v>
      </c>
      <c r="B11" s="3">
        <v>10011757831.714169</v>
      </c>
      <c r="C11" s="3">
        <v>9484173489.161871</v>
      </c>
    </row>
    <row r="12" spans="1:3" x14ac:dyDescent="0.25">
      <c r="A12" s="10" t="s">
        <v>43</v>
      </c>
      <c r="B12" s="3">
        <v>175281066.94899493</v>
      </c>
      <c r="C12" s="3">
        <v>103271640.04495242</v>
      </c>
    </row>
    <row r="13" spans="1:3" x14ac:dyDescent="0.25">
      <c r="A13" s="10" t="s">
        <v>64</v>
      </c>
      <c r="B13" s="3">
        <v>173643751</v>
      </c>
      <c r="C13" s="3">
        <v>100973841.20650004</v>
      </c>
    </row>
    <row r="14" spans="1:3" x14ac:dyDescent="0.25">
      <c r="A14" s="10" t="s">
        <v>65</v>
      </c>
      <c r="B14" s="3">
        <v>173643750</v>
      </c>
      <c r="C14" s="3">
        <v>100973840.62500003</v>
      </c>
    </row>
    <row r="15" spans="1:3" x14ac:dyDescent="0.25">
      <c r="A15" s="10" t="s">
        <v>44</v>
      </c>
      <c r="B15" s="3">
        <v>231525000.00000003</v>
      </c>
      <c r="C15" s="3">
        <v>134770351.87835792</v>
      </c>
    </row>
    <row r="16" spans="1:3" x14ac:dyDescent="0.25">
      <c r="A16" s="10" t="s">
        <v>46</v>
      </c>
      <c r="B16" s="3">
        <v>2869506979.0128236</v>
      </c>
      <c r="C16" s="3">
        <v>1717072220.7643595</v>
      </c>
    </row>
    <row r="17" spans="1:3" x14ac:dyDescent="0.25">
      <c r="A17" s="10" t="s">
        <v>66</v>
      </c>
      <c r="B17" s="3">
        <v>8797550233.9999981</v>
      </c>
      <c r="C17" s="3">
        <v>6703626939.9375496</v>
      </c>
    </row>
    <row r="18" spans="1:3" x14ac:dyDescent="0.25">
      <c r="A18" s="10" t="s">
        <v>67</v>
      </c>
      <c r="B18" s="3">
        <v>173643749.99999991</v>
      </c>
      <c r="C18" s="3">
        <v>101089603.125</v>
      </c>
    </row>
    <row r="19" spans="1:3" x14ac:dyDescent="0.25">
      <c r="A19" s="10" t="s">
        <v>47</v>
      </c>
      <c r="B19" s="3">
        <v>810509438.00000024</v>
      </c>
      <c r="C19" s="3">
        <v>790604180.06746364</v>
      </c>
    </row>
    <row r="20" spans="1:3" x14ac:dyDescent="0.25">
      <c r="A20" s="10" t="s">
        <v>69</v>
      </c>
      <c r="B20" s="3">
        <v>231525000.00000006</v>
      </c>
      <c r="C20" s="3">
        <v>134631787.50000006</v>
      </c>
    </row>
    <row r="21" spans="1:3" x14ac:dyDescent="0.25">
      <c r="A21" s="10" t="s">
        <v>70</v>
      </c>
      <c r="B21" s="3">
        <v>231525000</v>
      </c>
      <c r="C21" s="3">
        <v>134631787.5</v>
      </c>
    </row>
    <row r="22" spans="1:3" x14ac:dyDescent="0.25">
      <c r="A22" s="10" t="s">
        <v>71</v>
      </c>
      <c r="B22" s="3">
        <v>231525000.00000003</v>
      </c>
      <c r="C22" s="3">
        <v>134631787.50000006</v>
      </c>
    </row>
    <row r="23" spans="1:3" x14ac:dyDescent="0.25">
      <c r="A23" s="10" t="s">
        <v>72</v>
      </c>
      <c r="B23" s="3">
        <v>228768750.00000006</v>
      </c>
      <c r="C23" s="3">
        <v>133029028.12500004</v>
      </c>
    </row>
    <row r="24" spans="1:3" x14ac:dyDescent="0.25">
      <c r="A24" s="10" t="s">
        <v>48</v>
      </c>
      <c r="B24" s="3">
        <v>165375000</v>
      </c>
      <c r="C24" s="3">
        <v>96165562.50000003</v>
      </c>
    </row>
    <row r="25" spans="1:3" x14ac:dyDescent="0.25">
      <c r="A25" s="10" t="s">
        <v>53</v>
      </c>
      <c r="B25" s="3">
        <v>173643749.99999994</v>
      </c>
      <c r="C25" s="3">
        <v>100973840.625</v>
      </c>
    </row>
    <row r="26" spans="1:3" x14ac:dyDescent="0.25">
      <c r="A26" s="10" t="s">
        <v>74</v>
      </c>
      <c r="B26" s="3">
        <v>206718749.99999994</v>
      </c>
      <c r="C26" s="3">
        <v>120206953.12499999</v>
      </c>
    </row>
    <row r="27" spans="1:3" x14ac:dyDescent="0.25">
      <c r="A27" s="10" t="s">
        <v>50</v>
      </c>
      <c r="B27" s="3">
        <v>173643750.00000003</v>
      </c>
      <c r="C27" s="3">
        <v>100973840.62499999</v>
      </c>
    </row>
    <row r="28" spans="1:3" x14ac:dyDescent="0.25">
      <c r="A28" s="10" t="s">
        <v>119</v>
      </c>
      <c r="B28" s="3">
        <v>41392950912.479034</v>
      </c>
      <c r="C28" s="3">
        <v>32399851269.578068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29"/>
  <sheetViews>
    <sheetView tabSelected="1" topLeftCell="A250" zoomScaleNormal="100" workbookViewId="0">
      <selection activeCell="O7" sqref="O7"/>
    </sheetView>
  </sheetViews>
  <sheetFormatPr defaultRowHeight="15" x14ac:dyDescent="0.25"/>
  <cols>
    <col min="1" max="1" width="3.28515625" customWidth="1"/>
    <col min="2" max="2" width="23.28515625" bestFit="1" customWidth="1"/>
    <col min="3" max="3" width="13.42578125" customWidth="1"/>
    <col min="4" max="4" width="12.140625" customWidth="1"/>
    <col min="5" max="5" width="10.28515625" customWidth="1"/>
    <col min="6" max="6" width="12" customWidth="1"/>
    <col min="7" max="7" width="10.140625" customWidth="1"/>
    <col min="8" max="8" width="12.28515625" customWidth="1"/>
    <col min="9" max="9" width="10.42578125" customWidth="1"/>
    <col min="10" max="10" width="10.85546875" customWidth="1"/>
    <col min="11" max="11" width="10.42578125" customWidth="1"/>
    <col min="12" max="12" width="11.5703125" customWidth="1"/>
    <col min="13" max="43" width="17.5703125" customWidth="1"/>
  </cols>
  <sheetData>
    <row r="2" spans="1:27" ht="18.75" x14ac:dyDescent="0.3">
      <c r="B2" s="35" t="s">
        <v>148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27" s="13" customFormat="1" x14ac:dyDescent="0.25">
      <c r="A3"/>
      <c r="B3" s="2"/>
      <c r="C3" s="36" t="s">
        <v>122</v>
      </c>
      <c r="D3" s="37"/>
      <c r="E3" s="37"/>
      <c r="F3" s="37"/>
      <c r="G3" s="37"/>
      <c r="H3" s="37"/>
      <c r="I3" s="37"/>
      <c r="J3" s="37"/>
      <c r="K3" s="37"/>
      <c r="L3" s="38"/>
    </row>
    <row r="4" spans="1:27" x14ac:dyDescent="0.25">
      <c r="B4" s="33" t="s">
        <v>123</v>
      </c>
      <c r="C4" s="30" t="s">
        <v>59</v>
      </c>
      <c r="D4" s="32"/>
      <c r="E4" s="30" t="s">
        <v>33</v>
      </c>
      <c r="F4" s="32"/>
      <c r="G4" s="30" t="s">
        <v>147</v>
      </c>
      <c r="H4" s="32"/>
      <c r="I4" s="30" t="s">
        <v>36</v>
      </c>
      <c r="J4" s="32"/>
      <c r="K4" s="30" t="s">
        <v>70</v>
      </c>
      <c r="L4" s="32"/>
      <c r="AA4" s="12"/>
    </row>
    <row r="5" spans="1:27" ht="43.5" customHeight="1" x14ac:dyDescent="0.25">
      <c r="B5" s="33" t="s">
        <v>123</v>
      </c>
      <c r="C5" s="17" t="s">
        <v>124</v>
      </c>
      <c r="D5" s="17" t="s">
        <v>125</v>
      </c>
      <c r="E5" s="17" t="s">
        <v>124</v>
      </c>
      <c r="F5" s="17" t="s">
        <v>125</v>
      </c>
      <c r="G5" s="17" t="s">
        <v>124</v>
      </c>
      <c r="H5" s="17" t="s">
        <v>125</v>
      </c>
      <c r="I5" s="17" t="s">
        <v>124</v>
      </c>
      <c r="J5" s="17" t="s">
        <v>125</v>
      </c>
      <c r="K5" s="17" t="s">
        <v>124</v>
      </c>
      <c r="L5" s="17" t="s">
        <v>125</v>
      </c>
    </row>
    <row r="6" spans="1:27" x14ac:dyDescent="0.25">
      <c r="B6" s="22" t="s">
        <v>32</v>
      </c>
      <c r="C6" s="19">
        <v>0</v>
      </c>
      <c r="D6" s="19">
        <v>0</v>
      </c>
      <c r="E6" s="19">
        <v>96000</v>
      </c>
      <c r="F6" s="19">
        <v>96000</v>
      </c>
      <c r="G6" s="19">
        <v>240000</v>
      </c>
      <c r="H6" s="19">
        <v>240000</v>
      </c>
      <c r="I6" s="19">
        <v>600000</v>
      </c>
      <c r="J6" s="19">
        <v>0</v>
      </c>
      <c r="K6" s="19">
        <v>0</v>
      </c>
      <c r="L6" s="19">
        <v>0</v>
      </c>
    </row>
    <row r="7" spans="1:27" x14ac:dyDescent="0.25">
      <c r="B7" s="22" t="s">
        <v>51</v>
      </c>
      <c r="C7" s="19">
        <v>0</v>
      </c>
      <c r="D7" s="19">
        <v>0</v>
      </c>
      <c r="E7" s="19">
        <v>48000</v>
      </c>
      <c r="F7" s="19">
        <v>48000</v>
      </c>
      <c r="G7" s="19">
        <v>120000</v>
      </c>
      <c r="H7" s="19">
        <v>120000</v>
      </c>
      <c r="I7" s="19">
        <v>600000</v>
      </c>
      <c r="J7" s="19">
        <v>0</v>
      </c>
      <c r="K7" s="19">
        <v>0</v>
      </c>
      <c r="L7" s="19">
        <v>0</v>
      </c>
    </row>
    <row r="8" spans="1:27" x14ac:dyDescent="0.25">
      <c r="B8" s="22" t="s">
        <v>52</v>
      </c>
      <c r="C8" s="19">
        <v>0</v>
      </c>
      <c r="D8" s="19">
        <v>0</v>
      </c>
      <c r="E8" s="19">
        <v>12000</v>
      </c>
      <c r="F8" s="19">
        <v>12000</v>
      </c>
      <c r="G8" s="19">
        <v>30000</v>
      </c>
      <c r="H8" s="19">
        <v>30000</v>
      </c>
      <c r="I8" s="19">
        <v>500000</v>
      </c>
      <c r="J8" s="19">
        <v>0</v>
      </c>
      <c r="K8" s="19">
        <v>0</v>
      </c>
      <c r="L8" s="19">
        <v>0</v>
      </c>
    </row>
    <row r="9" spans="1:27" x14ac:dyDescent="0.25">
      <c r="B9" s="22" t="s">
        <v>54</v>
      </c>
      <c r="C9" s="19">
        <v>0</v>
      </c>
      <c r="D9" s="19">
        <v>0</v>
      </c>
      <c r="E9" s="19">
        <v>12000</v>
      </c>
      <c r="F9" s="19">
        <v>12000</v>
      </c>
      <c r="G9" s="19">
        <v>30000</v>
      </c>
      <c r="H9" s="19">
        <v>30000</v>
      </c>
      <c r="I9" s="19">
        <v>500000</v>
      </c>
      <c r="J9" s="19">
        <v>0</v>
      </c>
      <c r="K9" s="19">
        <v>0</v>
      </c>
      <c r="L9" s="19">
        <v>0</v>
      </c>
    </row>
    <row r="10" spans="1:27" x14ac:dyDescent="0.25">
      <c r="B10" s="22" t="s">
        <v>55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</row>
    <row r="11" spans="1:27" x14ac:dyDescent="0.25">
      <c r="B11" s="22" t="s">
        <v>56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</row>
    <row r="12" spans="1:27" x14ac:dyDescent="0.25">
      <c r="B12" s="22" t="s">
        <v>57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</row>
    <row r="13" spans="1:27" x14ac:dyDescent="0.25">
      <c r="B13" s="22" t="s">
        <v>58</v>
      </c>
      <c r="C13" s="19">
        <v>55432.229459999995</v>
      </c>
      <c r="D13" s="19">
        <v>45887.813994758981</v>
      </c>
      <c r="E13" s="19">
        <v>48000</v>
      </c>
      <c r="F13" s="19">
        <v>48000</v>
      </c>
      <c r="G13" s="19">
        <v>120000</v>
      </c>
      <c r="H13" s="19">
        <v>120000</v>
      </c>
      <c r="I13" s="19">
        <v>0</v>
      </c>
      <c r="J13" s="19">
        <v>0</v>
      </c>
      <c r="K13" s="19">
        <v>6890.6250152343746</v>
      </c>
      <c r="L13" s="19">
        <v>4006.8984463587885</v>
      </c>
    </row>
    <row r="14" spans="1:27" x14ac:dyDescent="0.25">
      <c r="B14" s="22" t="s">
        <v>76</v>
      </c>
      <c r="C14" s="19">
        <v>55443.058748172123</v>
      </c>
      <c r="D14" s="19">
        <v>45981.44576834904</v>
      </c>
      <c r="E14" s="19">
        <v>60000</v>
      </c>
      <c r="F14" s="19">
        <v>60000</v>
      </c>
      <c r="G14" s="19">
        <v>150000</v>
      </c>
      <c r="H14" s="19">
        <v>150000</v>
      </c>
      <c r="I14" s="19">
        <v>0</v>
      </c>
      <c r="J14" s="19">
        <v>0</v>
      </c>
      <c r="K14" s="19">
        <v>9646.874906484376</v>
      </c>
      <c r="L14" s="19">
        <v>5609.6577581206648</v>
      </c>
    </row>
    <row r="15" spans="1:27" x14ac:dyDescent="0.25">
      <c r="B15" s="22" t="s">
        <v>77</v>
      </c>
      <c r="C15" s="19">
        <v>66228.351561298361</v>
      </c>
      <c r="D15" s="19">
        <v>55660.198680760725</v>
      </c>
      <c r="E15" s="19">
        <v>72000</v>
      </c>
      <c r="F15" s="19">
        <v>72000</v>
      </c>
      <c r="G15" s="19">
        <v>180000</v>
      </c>
      <c r="H15" s="19">
        <v>180000</v>
      </c>
      <c r="I15" s="19">
        <v>0</v>
      </c>
      <c r="J15" s="19">
        <v>0</v>
      </c>
      <c r="K15" s="19">
        <v>9646.874906484376</v>
      </c>
      <c r="L15" s="19">
        <v>5609.6577581206648</v>
      </c>
    </row>
    <row r="16" spans="1:27" x14ac:dyDescent="0.25">
      <c r="B16" s="22" t="s">
        <v>78</v>
      </c>
      <c r="C16" s="19">
        <v>45221.68363</v>
      </c>
      <c r="D16" s="19">
        <v>37358.754777724011</v>
      </c>
      <c r="E16" s="19">
        <v>60000</v>
      </c>
      <c r="F16" s="19">
        <v>60000</v>
      </c>
      <c r="G16" s="19">
        <v>150000</v>
      </c>
      <c r="H16" s="19">
        <v>150000</v>
      </c>
      <c r="I16" s="19">
        <v>0</v>
      </c>
      <c r="J16" s="19">
        <v>0</v>
      </c>
      <c r="K16" s="19">
        <v>6890.6250152343746</v>
      </c>
      <c r="L16" s="19">
        <v>4006.8984463587885</v>
      </c>
    </row>
    <row r="17" spans="2:12" x14ac:dyDescent="0.25">
      <c r="B17" s="22" t="s">
        <v>79</v>
      </c>
      <c r="C17" s="19">
        <v>51548.927000000003</v>
      </c>
      <c r="D17" s="19">
        <v>43051.539958024827</v>
      </c>
      <c r="E17" s="19">
        <v>60000</v>
      </c>
      <c r="F17" s="19">
        <v>60000</v>
      </c>
      <c r="G17" s="19">
        <v>150000</v>
      </c>
      <c r="H17" s="19">
        <v>150000</v>
      </c>
      <c r="I17" s="19">
        <v>0</v>
      </c>
      <c r="J17" s="19">
        <v>0</v>
      </c>
      <c r="K17" s="19">
        <v>8268.750018281251</v>
      </c>
      <c r="L17" s="19">
        <v>4808.2781356305477</v>
      </c>
    </row>
    <row r="18" spans="2:12" x14ac:dyDescent="0.25">
      <c r="B18" s="22" t="s">
        <v>80</v>
      </c>
      <c r="C18" s="19">
        <v>59172.228000000003</v>
      </c>
      <c r="D18" s="19">
        <v>43328.863908535081</v>
      </c>
      <c r="E18" s="19">
        <v>96000</v>
      </c>
      <c r="F18" s="19">
        <v>96000</v>
      </c>
      <c r="G18" s="19">
        <v>240000</v>
      </c>
      <c r="H18" s="19">
        <v>240000</v>
      </c>
      <c r="I18" s="19">
        <v>0</v>
      </c>
      <c r="J18" s="19">
        <v>0</v>
      </c>
      <c r="K18" s="19">
        <v>8268.750018281251</v>
      </c>
      <c r="L18" s="19">
        <v>4808.2781356305477</v>
      </c>
    </row>
    <row r="19" spans="2:12" x14ac:dyDescent="0.25">
      <c r="B19" s="22" t="s">
        <v>81</v>
      </c>
      <c r="C19" s="19">
        <v>64168.875999999997</v>
      </c>
      <c r="D19" s="19">
        <v>52987.659494500855</v>
      </c>
      <c r="E19" s="19">
        <v>84000</v>
      </c>
      <c r="F19" s="19">
        <v>84000</v>
      </c>
      <c r="G19" s="19">
        <v>209999.99999999997</v>
      </c>
      <c r="H19" s="19">
        <v>209999.99999999997</v>
      </c>
      <c r="I19" s="19">
        <v>0</v>
      </c>
      <c r="J19" s="19">
        <v>0</v>
      </c>
      <c r="K19" s="19">
        <v>8268.750018281251</v>
      </c>
      <c r="L19" s="19">
        <v>4808.2781356305477</v>
      </c>
    </row>
    <row r="20" spans="2:12" x14ac:dyDescent="0.25">
      <c r="B20" s="22" t="s">
        <v>82</v>
      </c>
      <c r="C20" s="19">
        <v>55313.569000000003</v>
      </c>
      <c r="D20" s="19">
        <v>45808.199024987567</v>
      </c>
      <c r="E20" s="19">
        <v>60000</v>
      </c>
      <c r="F20" s="19">
        <v>60000</v>
      </c>
      <c r="G20" s="19">
        <v>150000</v>
      </c>
      <c r="H20" s="19">
        <v>150000</v>
      </c>
      <c r="I20" s="19">
        <v>0</v>
      </c>
      <c r="J20" s="19">
        <v>0</v>
      </c>
      <c r="K20" s="19">
        <v>8268.750018281251</v>
      </c>
      <c r="L20" s="19">
        <v>4808.2781356305477</v>
      </c>
    </row>
    <row r="21" spans="2:12" x14ac:dyDescent="0.25">
      <c r="B21" s="22" t="s">
        <v>83</v>
      </c>
      <c r="C21" s="19">
        <v>64054.207999999999</v>
      </c>
      <c r="D21" s="19">
        <v>52716.193782041541</v>
      </c>
      <c r="E21" s="19">
        <v>108000</v>
      </c>
      <c r="F21" s="19">
        <v>108000</v>
      </c>
      <c r="G21" s="19">
        <v>270000</v>
      </c>
      <c r="H21" s="19">
        <v>270000</v>
      </c>
      <c r="I21" s="19">
        <v>0</v>
      </c>
      <c r="J21" s="19">
        <v>0</v>
      </c>
      <c r="K21" s="19">
        <v>8268.750018281251</v>
      </c>
      <c r="L21" s="19">
        <v>4808.2781356305477</v>
      </c>
    </row>
    <row r="22" spans="2:12" x14ac:dyDescent="0.25">
      <c r="B22" s="22" t="s">
        <v>84</v>
      </c>
      <c r="C22" s="19">
        <v>23931.058000000001</v>
      </c>
      <c r="D22" s="19">
        <v>19773.517267817522</v>
      </c>
      <c r="E22" s="19">
        <v>12000</v>
      </c>
      <c r="F22" s="19">
        <v>12000</v>
      </c>
      <c r="G22" s="19">
        <v>30000</v>
      </c>
      <c r="H22" s="19">
        <v>30000</v>
      </c>
      <c r="I22" s="19">
        <v>0</v>
      </c>
      <c r="J22" s="19">
        <v>0</v>
      </c>
      <c r="K22" s="19">
        <v>5512.4999465624996</v>
      </c>
      <c r="L22" s="19">
        <v>3205.5187189260942</v>
      </c>
    </row>
    <row r="23" spans="2:12" x14ac:dyDescent="0.25">
      <c r="B23" s="22" t="s">
        <v>85</v>
      </c>
      <c r="C23" s="19">
        <v>85296.716</v>
      </c>
      <c r="D23" s="19">
        <v>71458.520274825583</v>
      </c>
      <c r="E23" s="19">
        <v>216000</v>
      </c>
      <c r="F23" s="19">
        <v>216000</v>
      </c>
      <c r="G23" s="19">
        <v>540000</v>
      </c>
      <c r="H23" s="19">
        <v>540000</v>
      </c>
      <c r="I23" s="19">
        <v>0</v>
      </c>
      <c r="J23" s="19">
        <v>0</v>
      </c>
      <c r="K23" s="19">
        <v>8268.750018281251</v>
      </c>
      <c r="L23" s="19">
        <v>4808.2781356305477</v>
      </c>
    </row>
    <row r="24" spans="2:12" x14ac:dyDescent="0.25">
      <c r="B24" s="22" t="s">
        <v>92</v>
      </c>
      <c r="C24" s="19">
        <v>65551.222930639211</v>
      </c>
      <c r="D24" s="19">
        <v>54757.553285525151</v>
      </c>
      <c r="E24" s="19">
        <v>84000</v>
      </c>
      <c r="F24" s="19">
        <v>84000</v>
      </c>
      <c r="G24" s="19">
        <v>209999.99999999997</v>
      </c>
      <c r="H24" s="19">
        <v>209999.99999999997</v>
      </c>
      <c r="I24" s="19">
        <v>0</v>
      </c>
      <c r="J24" s="19">
        <v>0</v>
      </c>
      <c r="K24" s="19">
        <v>8268.750018281251</v>
      </c>
      <c r="L24" s="19">
        <v>4808.2781356305477</v>
      </c>
    </row>
    <row r="25" spans="2:12" x14ac:dyDescent="0.25">
      <c r="B25" s="22" t="s">
        <v>93</v>
      </c>
      <c r="C25" s="19">
        <v>72719.914000000004</v>
      </c>
      <c r="D25" s="19">
        <v>60298.085655414368</v>
      </c>
      <c r="E25" s="19">
        <v>144000</v>
      </c>
      <c r="F25" s="19">
        <v>144000</v>
      </c>
      <c r="G25" s="19">
        <v>360000</v>
      </c>
      <c r="H25" s="19">
        <v>360000</v>
      </c>
      <c r="I25" s="19">
        <v>0</v>
      </c>
      <c r="J25" s="19">
        <v>0</v>
      </c>
      <c r="K25" s="19">
        <v>9646.8750213281237</v>
      </c>
      <c r="L25" s="19">
        <v>5609.6578249023032</v>
      </c>
    </row>
    <row r="26" spans="2:12" x14ac:dyDescent="0.25">
      <c r="B26" s="22" t="s">
        <v>94</v>
      </c>
      <c r="C26" s="19">
        <v>64722.432999999997</v>
      </c>
      <c r="D26" s="19">
        <v>57054.306510929855</v>
      </c>
      <c r="E26" s="19">
        <v>72000</v>
      </c>
      <c r="F26" s="19">
        <v>72000</v>
      </c>
      <c r="G26" s="19">
        <v>180000</v>
      </c>
      <c r="H26" s="19">
        <v>180000</v>
      </c>
      <c r="I26" s="19">
        <v>0</v>
      </c>
      <c r="J26" s="19">
        <v>0</v>
      </c>
      <c r="K26" s="19">
        <v>8268.750018281251</v>
      </c>
      <c r="L26" s="19">
        <v>4808.2781356305477</v>
      </c>
    </row>
    <row r="27" spans="2:12" x14ac:dyDescent="0.25">
      <c r="B27" s="22" t="s">
        <v>95</v>
      </c>
      <c r="C27" s="19">
        <v>90642.403003333326</v>
      </c>
      <c r="D27" s="19">
        <v>85372.899603120182</v>
      </c>
      <c r="E27" s="19">
        <v>132000</v>
      </c>
      <c r="F27" s="19">
        <v>132000</v>
      </c>
      <c r="G27" s="19">
        <v>330000</v>
      </c>
      <c r="H27" s="19">
        <v>330000</v>
      </c>
      <c r="I27" s="19">
        <v>0</v>
      </c>
      <c r="J27" s="19">
        <v>0</v>
      </c>
      <c r="K27" s="19">
        <v>8268.750018281251</v>
      </c>
      <c r="L27" s="19">
        <v>4808.2781356305477</v>
      </c>
    </row>
    <row r="28" spans="2:12" x14ac:dyDescent="0.25">
      <c r="B28" s="22" t="s">
        <v>100</v>
      </c>
      <c r="C28" s="19">
        <v>51346.944600000003</v>
      </c>
      <c r="D28" s="19">
        <v>43690.67519659907</v>
      </c>
      <c r="E28" s="19">
        <v>108000</v>
      </c>
      <c r="F28" s="19">
        <v>108000</v>
      </c>
      <c r="G28" s="19">
        <v>270000</v>
      </c>
      <c r="H28" s="19">
        <v>270000</v>
      </c>
      <c r="I28" s="19">
        <v>0</v>
      </c>
      <c r="J28" s="19">
        <v>0</v>
      </c>
      <c r="K28" s="19">
        <v>9646.874906484376</v>
      </c>
      <c r="L28" s="19">
        <v>5609.6577581206648</v>
      </c>
    </row>
    <row r="29" spans="2:12" x14ac:dyDescent="0.25">
      <c r="B29" s="22" t="s">
        <v>101</v>
      </c>
      <c r="C29" s="19">
        <v>39049.308019455973</v>
      </c>
      <c r="D29" s="19">
        <v>31447.184087246638</v>
      </c>
      <c r="E29" s="19">
        <v>24000</v>
      </c>
      <c r="F29" s="19">
        <v>24000</v>
      </c>
      <c r="G29" s="19">
        <v>60000</v>
      </c>
      <c r="H29" s="19">
        <v>60000</v>
      </c>
      <c r="I29" s="19">
        <v>0</v>
      </c>
      <c r="J29" s="19">
        <v>0</v>
      </c>
      <c r="K29" s="19">
        <v>6890.6250152343746</v>
      </c>
      <c r="L29" s="19">
        <v>4006.8984463587885</v>
      </c>
    </row>
    <row r="30" spans="2:12" x14ac:dyDescent="0.25">
      <c r="B30" s="22" t="s">
        <v>102</v>
      </c>
      <c r="C30" s="19">
        <v>42954.041308771724</v>
      </c>
      <c r="D30" s="19">
        <v>34393.275998348094</v>
      </c>
      <c r="E30" s="19">
        <v>24000</v>
      </c>
      <c r="F30" s="19">
        <v>24000</v>
      </c>
      <c r="G30" s="19">
        <v>60000</v>
      </c>
      <c r="H30" s="19">
        <v>60000</v>
      </c>
      <c r="I30" s="19">
        <v>0</v>
      </c>
      <c r="J30" s="19">
        <v>0</v>
      </c>
      <c r="K30" s="19">
        <v>6890.6250152343746</v>
      </c>
      <c r="L30" s="19">
        <v>4006.8984463587885</v>
      </c>
    </row>
    <row r="31" spans="2:12" x14ac:dyDescent="0.25">
      <c r="B31" s="22" t="s">
        <v>103</v>
      </c>
      <c r="C31" s="19">
        <v>50231.90800333333</v>
      </c>
      <c r="D31" s="19">
        <v>42278.608741910546</v>
      </c>
      <c r="E31" s="19">
        <v>72000</v>
      </c>
      <c r="F31" s="19">
        <v>72000</v>
      </c>
      <c r="G31" s="19">
        <v>180000</v>
      </c>
      <c r="H31" s="19">
        <v>180000</v>
      </c>
      <c r="I31" s="19">
        <v>0</v>
      </c>
      <c r="J31" s="19">
        <v>0</v>
      </c>
      <c r="K31" s="19">
        <v>8268.750018281251</v>
      </c>
      <c r="L31" s="19">
        <v>4808.2781356305477</v>
      </c>
    </row>
    <row r="32" spans="2:12" x14ac:dyDescent="0.25">
      <c r="B32" s="22" t="s">
        <v>104</v>
      </c>
      <c r="C32" s="19">
        <v>57732.841</v>
      </c>
      <c r="D32" s="19">
        <v>49419.956294881624</v>
      </c>
      <c r="E32" s="19">
        <v>60000</v>
      </c>
      <c r="F32" s="19">
        <v>60000</v>
      </c>
      <c r="G32" s="19">
        <v>150000</v>
      </c>
      <c r="H32" s="19">
        <v>150000</v>
      </c>
      <c r="I32" s="19">
        <v>0</v>
      </c>
      <c r="J32" s="19">
        <v>0</v>
      </c>
      <c r="K32" s="19">
        <v>8268.750018281251</v>
      </c>
      <c r="L32" s="19">
        <v>4808.2781356305477</v>
      </c>
    </row>
    <row r="33" spans="2:12" x14ac:dyDescent="0.25">
      <c r="B33" s="22" t="s">
        <v>105</v>
      </c>
      <c r="C33" s="19">
        <v>53232.743000000002</v>
      </c>
      <c r="D33" s="19">
        <v>45084.880011044537</v>
      </c>
      <c r="E33" s="19">
        <v>60000</v>
      </c>
      <c r="F33" s="19">
        <v>60000</v>
      </c>
      <c r="G33" s="19">
        <v>150000</v>
      </c>
      <c r="H33" s="19">
        <v>150000</v>
      </c>
      <c r="I33" s="19">
        <v>0</v>
      </c>
      <c r="J33" s="19">
        <v>0</v>
      </c>
      <c r="K33" s="19">
        <v>9646.874906484376</v>
      </c>
      <c r="L33" s="19">
        <v>5609.6577581206648</v>
      </c>
    </row>
    <row r="34" spans="2:12" x14ac:dyDescent="0.25">
      <c r="B34" s="22" t="s">
        <v>106</v>
      </c>
      <c r="C34" s="19">
        <v>57944.432810000006</v>
      </c>
      <c r="D34" s="19">
        <v>48698.759812812452</v>
      </c>
      <c r="E34" s="19">
        <v>84000</v>
      </c>
      <c r="F34" s="19">
        <v>84000</v>
      </c>
      <c r="G34" s="19">
        <v>209999.99999999997</v>
      </c>
      <c r="H34" s="19">
        <v>209999.99999999997</v>
      </c>
      <c r="I34" s="19">
        <v>0</v>
      </c>
      <c r="J34" s="19">
        <v>0</v>
      </c>
      <c r="K34" s="19">
        <v>8268.750018281251</v>
      </c>
      <c r="L34" s="19">
        <v>4808.2781356305477</v>
      </c>
    </row>
    <row r="35" spans="2:12" x14ac:dyDescent="0.25">
      <c r="B35" s="22" t="s">
        <v>107</v>
      </c>
      <c r="C35" s="19">
        <v>53799.968000000001</v>
      </c>
      <c r="D35" s="19">
        <v>43187.027271899053</v>
      </c>
      <c r="E35" s="19">
        <v>48000</v>
      </c>
      <c r="F35" s="19">
        <v>48000</v>
      </c>
      <c r="G35" s="19">
        <v>120000</v>
      </c>
      <c r="H35" s="19">
        <v>120000</v>
      </c>
      <c r="I35" s="19">
        <v>0</v>
      </c>
      <c r="J35" s="19">
        <v>0</v>
      </c>
      <c r="K35" s="19">
        <v>9646.8750213281237</v>
      </c>
      <c r="L35" s="19">
        <v>5609.6578249023032</v>
      </c>
    </row>
    <row r="36" spans="2:12" x14ac:dyDescent="0.25">
      <c r="B36" s="22" t="s">
        <v>109</v>
      </c>
      <c r="C36" s="19">
        <v>49732.597000000002</v>
      </c>
      <c r="D36" s="19">
        <v>42258.857017323186</v>
      </c>
      <c r="E36" s="19">
        <v>60000</v>
      </c>
      <c r="F36" s="19">
        <v>60000</v>
      </c>
      <c r="G36" s="19">
        <v>150000</v>
      </c>
      <c r="H36" s="19">
        <v>150000</v>
      </c>
      <c r="I36" s="19">
        <v>0</v>
      </c>
      <c r="J36" s="19">
        <v>0</v>
      </c>
      <c r="K36" s="19">
        <v>6890.6250152343746</v>
      </c>
      <c r="L36" s="19">
        <v>4006.8984463587885</v>
      </c>
    </row>
    <row r="37" spans="2:12" x14ac:dyDescent="0.25">
      <c r="B37" s="22" t="s">
        <v>110</v>
      </c>
      <c r="C37" s="19">
        <v>52478.939700000003</v>
      </c>
      <c r="D37" s="19">
        <v>44228.087387343112</v>
      </c>
      <c r="E37" s="19">
        <v>48000</v>
      </c>
      <c r="F37" s="19">
        <v>48000</v>
      </c>
      <c r="G37" s="19">
        <v>120000</v>
      </c>
      <c r="H37" s="19">
        <v>120000</v>
      </c>
      <c r="I37" s="19">
        <v>0</v>
      </c>
      <c r="J37" s="19">
        <v>0</v>
      </c>
      <c r="K37" s="19">
        <v>8268.750018281251</v>
      </c>
      <c r="L37" s="19">
        <v>4808.2781356305477</v>
      </c>
    </row>
    <row r="38" spans="2:12" x14ac:dyDescent="0.25">
      <c r="B38" s="22" t="s">
        <v>111</v>
      </c>
      <c r="C38" s="19">
        <v>67291.549817830455</v>
      </c>
      <c r="D38" s="19">
        <v>55639.289729106342</v>
      </c>
      <c r="E38" s="19">
        <v>60000</v>
      </c>
      <c r="F38" s="19">
        <v>60000</v>
      </c>
      <c r="G38" s="19">
        <v>150000</v>
      </c>
      <c r="H38" s="19">
        <v>150000</v>
      </c>
      <c r="I38" s="19">
        <v>0</v>
      </c>
      <c r="J38" s="19">
        <v>0</v>
      </c>
      <c r="K38" s="19">
        <v>8268.750018281251</v>
      </c>
      <c r="L38" s="19">
        <v>4808.2781356305477</v>
      </c>
    </row>
    <row r="39" spans="2:12" x14ac:dyDescent="0.25">
      <c r="B39" s="22" t="s">
        <v>112</v>
      </c>
      <c r="C39" s="19">
        <v>60769.413</v>
      </c>
      <c r="D39" s="19">
        <v>51674.325008291642</v>
      </c>
      <c r="E39" s="19">
        <v>84000</v>
      </c>
      <c r="F39" s="19">
        <v>84000</v>
      </c>
      <c r="G39" s="19">
        <v>209999.99999999997</v>
      </c>
      <c r="H39" s="19">
        <v>209999.99999999997</v>
      </c>
      <c r="I39" s="19">
        <v>0</v>
      </c>
      <c r="J39" s="19">
        <v>0</v>
      </c>
      <c r="K39" s="19">
        <v>9646.8750344531181</v>
      </c>
      <c r="L39" s="19">
        <v>5609.6578325344881</v>
      </c>
    </row>
    <row r="40" spans="2:12" x14ac:dyDescent="0.25">
      <c r="B40" s="22" t="s">
        <v>113</v>
      </c>
      <c r="C40" s="19">
        <v>55627.546847552745</v>
      </c>
      <c r="D40" s="19">
        <v>46309.932750587672</v>
      </c>
      <c r="E40" s="19">
        <v>108000</v>
      </c>
      <c r="F40" s="19">
        <v>108000</v>
      </c>
      <c r="G40" s="19">
        <v>270000</v>
      </c>
      <c r="H40" s="19">
        <v>270000</v>
      </c>
      <c r="I40" s="19">
        <v>0</v>
      </c>
      <c r="J40" s="19">
        <v>0</v>
      </c>
      <c r="K40" s="19">
        <v>8268.750018281251</v>
      </c>
      <c r="L40" s="19">
        <v>4808.2781356305477</v>
      </c>
    </row>
    <row r="41" spans="2:12" x14ac:dyDescent="0.25">
      <c r="B41" s="16" t="s">
        <v>119</v>
      </c>
      <c r="C41" s="25">
        <v>1611639.1114403876</v>
      </c>
      <c r="D41" s="25">
        <v>1349806.4112947097</v>
      </c>
      <c r="E41" s="25">
        <v>2316000</v>
      </c>
      <c r="F41" s="25">
        <v>2316000</v>
      </c>
      <c r="G41" s="25">
        <v>5790000</v>
      </c>
      <c r="H41" s="25">
        <v>5790000</v>
      </c>
      <c r="I41" s="25">
        <v>2200000</v>
      </c>
      <c r="J41" s="25">
        <v>0</v>
      </c>
      <c r="K41" s="25">
        <v>231525</v>
      </c>
      <c r="L41" s="25">
        <v>134631.78750000001</v>
      </c>
    </row>
    <row r="42" spans="2:12" x14ac:dyDescent="0.25"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2:12" x14ac:dyDescent="0.25">
      <c r="B43" s="2"/>
      <c r="C43" s="27" t="s">
        <v>137</v>
      </c>
      <c r="D43" s="27"/>
      <c r="E43" s="27"/>
      <c r="F43" s="27"/>
      <c r="G43" s="27"/>
      <c r="H43" s="27"/>
      <c r="I43" s="27"/>
      <c r="J43" s="27"/>
      <c r="K43" s="27"/>
      <c r="L43" s="27"/>
    </row>
    <row r="44" spans="2:12" x14ac:dyDescent="0.25">
      <c r="B44" s="33" t="s">
        <v>123</v>
      </c>
      <c r="C44" s="33" t="s">
        <v>38</v>
      </c>
      <c r="D44" s="33"/>
      <c r="E44" s="33" t="s">
        <v>146</v>
      </c>
      <c r="F44" s="33"/>
      <c r="G44" s="33" t="s">
        <v>62</v>
      </c>
      <c r="H44" s="33"/>
      <c r="I44" s="33" t="s">
        <v>40</v>
      </c>
      <c r="J44" s="33"/>
      <c r="K44" s="33" t="s">
        <v>71</v>
      </c>
      <c r="L44" s="33"/>
    </row>
    <row r="45" spans="2:12" ht="48.75" x14ac:dyDescent="0.25">
      <c r="B45" s="33"/>
      <c r="C45" s="17" t="s">
        <v>124</v>
      </c>
      <c r="D45" s="17" t="s">
        <v>125</v>
      </c>
      <c r="E45" s="17" t="s">
        <v>124</v>
      </c>
      <c r="F45" s="17" t="s">
        <v>125</v>
      </c>
      <c r="G45" s="17" t="s">
        <v>124</v>
      </c>
      <c r="H45" s="17" t="s">
        <v>125</v>
      </c>
      <c r="I45" s="17" t="s">
        <v>124</v>
      </c>
      <c r="J45" s="17" t="s">
        <v>125</v>
      </c>
      <c r="K45" s="17" t="s">
        <v>124</v>
      </c>
      <c r="L45" s="17" t="s">
        <v>125</v>
      </c>
    </row>
    <row r="46" spans="2:12" x14ac:dyDescent="0.25">
      <c r="B46" s="22" t="s">
        <v>32</v>
      </c>
      <c r="C46" s="19">
        <v>170.17380860326466</v>
      </c>
      <c r="D46" s="19">
        <v>121.75936005563585</v>
      </c>
      <c r="E46" s="19">
        <v>0</v>
      </c>
      <c r="F46" s="19">
        <v>0</v>
      </c>
      <c r="G46" s="19">
        <v>0</v>
      </c>
      <c r="H46" s="19">
        <v>0</v>
      </c>
      <c r="I46" s="19">
        <v>223370.28117042821</v>
      </c>
      <c r="J46" s="19">
        <v>194879.18647042816</v>
      </c>
      <c r="K46" s="19">
        <v>0</v>
      </c>
      <c r="L46" s="19">
        <v>0</v>
      </c>
    </row>
    <row r="47" spans="2:12" x14ac:dyDescent="0.25">
      <c r="B47" s="22" t="s">
        <v>51</v>
      </c>
      <c r="C47" s="19">
        <v>173.0670693674854</v>
      </c>
      <c r="D47" s="19">
        <v>123.8294881324358</v>
      </c>
      <c r="E47" s="19">
        <v>0</v>
      </c>
      <c r="F47" s="19">
        <v>0</v>
      </c>
      <c r="G47" s="19">
        <v>0</v>
      </c>
      <c r="H47" s="19">
        <v>0</v>
      </c>
      <c r="I47" s="19">
        <v>233003.01536000002</v>
      </c>
      <c r="J47" s="19">
        <v>213015.15997000004</v>
      </c>
      <c r="K47" s="19">
        <v>0</v>
      </c>
      <c r="L47" s="19">
        <v>0</v>
      </c>
    </row>
    <row r="48" spans="2:12" x14ac:dyDescent="0.25">
      <c r="B48" s="22" t="s">
        <v>52</v>
      </c>
      <c r="C48" s="19">
        <v>173.06706936748557</v>
      </c>
      <c r="D48" s="19">
        <v>123.82948813243593</v>
      </c>
      <c r="E48" s="19">
        <v>0</v>
      </c>
      <c r="F48" s="19">
        <v>0</v>
      </c>
      <c r="G48" s="19">
        <v>0</v>
      </c>
      <c r="H48" s="19">
        <v>0</v>
      </c>
      <c r="I48" s="19">
        <v>133241.76</v>
      </c>
      <c r="J48" s="19">
        <v>123522.74632666667</v>
      </c>
      <c r="K48" s="19">
        <v>0</v>
      </c>
      <c r="L48" s="19">
        <v>0</v>
      </c>
    </row>
    <row r="49" spans="2:12" x14ac:dyDescent="0.25">
      <c r="B49" s="22" t="s">
        <v>54</v>
      </c>
      <c r="C49" s="19">
        <v>173.06706936748557</v>
      </c>
      <c r="D49" s="19">
        <v>123.82948813243593</v>
      </c>
      <c r="E49" s="19">
        <v>0</v>
      </c>
      <c r="F49" s="19">
        <v>0</v>
      </c>
      <c r="G49" s="19">
        <v>0</v>
      </c>
      <c r="H49" s="19">
        <v>0</v>
      </c>
      <c r="I49" s="19">
        <v>66065.968999999997</v>
      </c>
      <c r="J49" s="19">
        <v>58679.902000000002</v>
      </c>
      <c r="K49" s="19">
        <v>0</v>
      </c>
      <c r="L49" s="19">
        <v>0</v>
      </c>
    </row>
    <row r="50" spans="2:12" x14ac:dyDescent="0.25">
      <c r="B50" s="22" t="s">
        <v>55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</row>
    <row r="51" spans="2:12" x14ac:dyDescent="0.25">
      <c r="B51" s="22" t="s">
        <v>56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</row>
    <row r="52" spans="2:12" x14ac:dyDescent="0.25">
      <c r="B52" s="22" t="s">
        <v>57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</row>
    <row r="53" spans="2:12" x14ac:dyDescent="0.25">
      <c r="B53" s="22" t="s">
        <v>58</v>
      </c>
      <c r="C53" s="19">
        <v>8366.2517104947619</v>
      </c>
      <c r="D53" s="19">
        <v>4864.9753696527032</v>
      </c>
      <c r="E53" s="19">
        <v>109230.701</v>
      </c>
      <c r="F53" s="19">
        <v>71546.109154626742</v>
      </c>
      <c r="G53" s="19">
        <v>47142.857000000004</v>
      </c>
      <c r="H53" s="19">
        <v>26557.142856702856</v>
      </c>
      <c r="I53" s="19">
        <v>277302.95600000001</v>
      </c>
      <c r="J53" s="19">
        <v>262048.05748240001</v>
      </c>
      <c r="K53" s="19">
        <v>6952.8649211538432</v>
      </c>
      <c r="L53" s="19">
        <v>4043.0909516509605</v>
      </c>
    </row>
    <row r="54" spans="2:12" x14ac:dyDescent="0.25">
      <c r="B54" s="22" t="s">
        <v>76</v>
      </c>
      <c r="C54" s="19">
        <v>9429.9080665411184</v>
      </c>
      <c r="D54" s="19">
        <v>5483.4915406936616</v>
      </c>
      <c r="E54" s="19">
        <v>87494.483999999997</v>
      </c>
      <c r="F54" s="19">
        <v>57308.887019701026</v>
      </c>
      <c r="G54" s="19">
        <v>37642.857000000004</v>
      </c>
      <c r="H54" s="19">
        <v>22757.142856702856</v>
      </c>
      <c r="I54" s="19">
        <v>351845.47500000003</v>
      </c>
      <c r="J54" s="19">
        <v>328886.21348333335</v>
      </c>
      <c r="K54" s="19">
        <v>24706.460039423102</v>
      </c>
      <c r="L54" s="19">
        <v>14366.806512924533</v>
      </c>
    </row>
    <row r="55" spans="2:12" x14ac:dyDescent="0.25">
      <c r="B55" s="22" t="s">
        <v>77</v>
      </c>
      <c r="C55" s="19">
        <v>8358.8661613332079</v>
      </c>
      <c r="D55" s="19">
        <v>4860.6806728152606</v>
      </c>
      <c r="E55" s="19">
        <v>136977.93599999999</v>
      </c>
      <c r="F55" s="19">
        <v>89720.548079531931</v>
      </c>
      <c r="G55" s="19">
        <v>54142.857000000004</v>
      </c>
      <c r="H55" s="19">
        <v>34637.142856702856</v>
      </c>
      <c r="I55" s="19">
        <v>306537.36499999999</v>
      </c>
      <c r="J55" s="19">
        <v>290920.92599999998</v>
      </c>
      <c r="K55" s="19">
        <v>7678.4663711538415</v>
      </c>
      <c r="L55" s="19">
        <v>4465.028194825959</v>
      </c>
    </row>
    <row r="56" spans="2:12" x14ac:dyDescent="0.25">
      <c r="B56" s="22" t="s">
        <v>78</v>
      </c>
      <c r="C56" s="19">
        <v>7571.750571833436</v>
      </c>
      <c r="D56" s="19">
        <v>4402.9729575211431</v>
      </c>
      <c r="E56" s="19">
        <v>87622.953999999998</v>
      </c>
      <c r="F56" s="19">
        <v>57393.03486970059</v>
      </c>
      <c r="G56" s="19">
        <v>19642.857</v>
      </c>
      <c r="H56" s="19">
        <v>7857.142857142856</v>
      </c>
      <c r="I56" s="19">
        <v>185183.639</v>
      </c>
      <c r="J56" s="19">
        <v>176258.10699999999</v>
      </c>
      <c r="K56" s="19">
        <v>7477.4050211538433</v>
      </c>
      <c r="L56" s="19">
        <v>4348.1110198009601</v>
      </c>
    </row>
    <row r="57" spans="2:12" x14ac:dyDescent="0.25">
      <c r="B57" s="22" t="s">
        <v>79</v>
      </c>
      <c r="C57" s="19">
        <v>6108.825140543041</v>
      </c>
      <c r="D57" s="19">
        <v>3552.2818192257773</v>
      </c>
      <c r="E57" s="19">
        <v>85357.467000000004</v>
      </c>
      <c r="F57" s="19">
        <v>55909.140884708337</v>
      </c>
      <c r="G57" s="19">
        <v>23642.857</v>
      </c>
      <c r="H57" s="19">
        <v>9457.1428571428569</v>
      </c>
      <c r="I57" s="19">
        <v>252253.09299999999</v>
      </c>
      <c r="J57" s="19">
        <v>240412.71599999999</v>
      </c>
      <c r="K57" s="19">
        <v>7174.9556711538435</v>
      </c>
      <c r="L57" s="19">
        <v>4172.2367227759596</v>
      </c>
    </row>
    <row r="58" spans="2:12" x14ac:dyDescent="0.25">
      <c r="B58" s="22" t="s">
        <v>80</v>
      </c>
      <c r="C58" s="19">
        <v>8257.2466892131179</v>
      </c>
      <c r="D58" s="19">
        <v>4801.5889497774288</v>
      </c>
      <c r="E58" s="19">
        <v>147117.60800000001</v>
      </c>
      <c r="F58" s="19">
        <v>96362.033239497308</v>
      </c>
      <c r="G58" s="19">
        <v>28142.857</v>
      </c>
      <c r="H58" s="19">
        <v>18297.142856702856</v>
      </c>
      <c r="I58" s="19">
        <v>438530.14</v>
      </c>
      <c r="J58" s="19">
        <v>419906.54200000002</v>
      </c>
      <c r="K58" s="19">
        <v>6565.0883711538436</v>
      </c>
      <c r="L58" s="19">
        <v>3817.5988878259595</v>
      </c>
    </row>
    <row r="59" spans="2:12" x14ac:dyDescent="0.25">
      <c r="B59" s="22" t="s">
        <v>81</v>
      </c>
      <c r="C59" s="19">
        <v>8843.6405115986672</v>
      </c>
      <c r="D59" s="19">
        <v>5142.5769574946262</v>
      </c>
      <c r="E59" s="19">
        <v>130705.09600000001</v>
      </c>
      <c r="F59" s="19">
        <v>85611.837879553379</v>
      </c>
      <c r="G59" s="19">
        <v>18142.857</v>
      </c>
      <c r="H59" s="19">
        <v>7257.142857142856</v>
      </c>
      <c r="I59" s="19">
        <v>413461.48281000002</v>
      </c>
      <c r="J59" s="19">
        <v>399118.35478833335</v>
      </c>
      <c r="K59" s="19">
        <v>7094.5655711538429</v>
      </c>
      <c r="L59" s="19">
        <v>4125.4898796259595</v>
      </c>
    </row>
    <row r="60" spans="2:12" x14ac:dyDescent="0.25">
      <c r="B60" s="22" t="s">
        <v>82</v>
      </c>
      <c r="C60" s="19">
        <v>6650.151224864806</v>
      </c>
      <c r="D60" s="19">
        <v>3867.0629372588846</v>
      </c>
      <c r="E60" s="19">
        <v>91481.904999999999</v>
      </c>
      <c r="F60" s="19">
        <v>59920.647774687393</v>
      </c>
      <c r="G60" s="19">
        <v>50642.857000000004</v>
      </c>
      <c r="H60" s="19">
        <v>27297.142856702856</v>
      </c>
      <c r="I60" s="19">
        <v>273487.20699999999</v>
      </c>
      <c r="J60" s="19">
        <v>265970.35174999997</v>
      </c>
      <c r="K60" s="19">
        <v>7979.6819711538428</v>
      </c>
      <c r="L60" s="19">
        <v>4640.1850662259594</v>
      </c>
    </row>
    <row r="61" spans="2:12" x14ac:dyDescent="0.25">
      <c r="B61" s="22" t="s">
        <v>83</v>
      </c>
      <c r="C61" s="19">
        <v>8897.2918389919396</v>
      </c>
      <c r="D61" s="19">
        <v>5173.7752043738128</v>
      </c>
      <c r="E61" s="19">
        <v>131254.04</v>
      </c>
      <c r="F61" s="19">
        <v>85971.396199551498</v>
      </c>
      <c r="G61" s="19">
        <v>35642.857000000004</v>
      </c>
      <c r="H61" s="19">
        <v>14257.142857142855</v>
      </c>
      <c r="I61" s="19">
        <v>570030.66099999996</v>
      </c>
      <c r="J61" s="19">
        <v>531654.74300000002</v>
      </c>
      <c r="K61" s="19">
        <v>9528.6776711538441</v>
      </c>
      <c r="L61" s="19">
        <v>5540.9260657759596</v>
      </c>
    </row>
    <row r="62" spans="2:12" x14ac:dyDescent="0.25">
      <c r="B62" s="22" t="s">
        <v>84</v>
      </c>
      <c r="C62" s="19">
        <v>3880.4778495881674</v>
      </c>
      <c r="D62" s="19">
        <v>2256.4978695355189</v>
      </c>
      <c r="E62" s="19">
        <v>42566.724999999999</v>
      </c>
      <c r="F62" s="19">
        <v>27881.204874854549</v>
      </c>
      <c r="G62" s="19">
        <v>16642.857</v>
      </c>
      <c r="H62" s="19">
        <v>6657.142857142856</v>
      </c>
      <c r="I62" s="19">
        <v>27681.128000000001</v>
      </c>
      <c r="J62" s="19">
        <v>23818.413200000003</v>
      </c>
      <c r="K62" s="19">
        <v>3594.573271153844</v>
      </c>
      <c r="L62" s="19">
        <v>2090.2443571759604</v>
      </c>
    </row>
    <row r="63" spans="2:12" x14ac:dyDescent="0.25">
      <c r="B63" s="22" t="s">
        <v>85</v>
      </c>
      <c r="C63" s="19">
        <v>14962.332714915112</v>
      </c>
      <c r="D63" s="19">
        <v>8700.5964737231352</v>
      </c>
      <c r="E63" s="19">
        <v>218150.948</v>
      </c>
      <c r="F63" s="19">
        <v>142888.87093925459</v>
      </c>
      <c r="G63" s="19">
        <v>45142.857000000004</v>
      </c>
      <c r="H63" s="19">
        <v>18057.142857142855</v>
      </c>
      <c r="I63" s="19">
        <v>842216.05393956124</v>
      </c>
      <c r="J63" s="19">
        <v>791045.67962313117</v>
      </c>
      <c r="K63" s="19">
        <v>21470.874600000112</v>
      </c>
      <c r="L63" s="19">
        <v>12485.313579900065</v>
      </c>
    </row>
    <row r="64" spans="2:12" x14ac:dyDescent="0.25">
      <c r="B64" s="22" t="s">
        <v>92</v>
      </c>
      <c r="C64" s="19">
        <v>9657.1346473268204</v>
      </c>
      <c r="D64" s="19">
        <v>5615.6237974205442</v>
      </c>
      <c r="E64" s="19">
        <v>134235.86199999999</v>
      </c>
      <c r="F64" s="19">
        <v>87924.489609541313</v>
      </c>
      <c r="G64" s="19">
        <v>43142.857000000004</v>
      </c>
      <c r="H64" s="19">
        <v>24957.142856702856</v>
      </c>
      <c r="I64" s="19">
        <v>308186.55800000002</v>
      </c>
      <c r="J64" s="19">
        <v>292099.5624</v>
      </c>
      <c r="K64" s="19">
        <v>7205.0297711538433</v>
      </c>
      <c r="L64" s="19">
        <v>4189.7248119259593</v>
      </c>
    </row>
    <row r="65" spans="2:12" x14ac:dyDescent="0.25">
      <c r="B65" s="22" t="s">
        <v>93</v>
      </c>
      <c r="C65" s="19">
        <v>10396.557126573716</v>
      </c>
      <c r="D65" s="19">
        <v>6045.5979691026159</v>
      </c>
      <c r="E65" s="19">
        <v>182635.95499999999</v>
      </c>
      <c r="F65" s="19">
        <v>119626.55052437591</v>
      </c>
      <c r="G65" s="19">
        <v>45642.857000000004</v>
      </c>
      <c r="H65" s="19">
        <v>27937.142856702856</v>
      </c>
      <c r="I65" s="19">
        <v>477567.26799999998</v>
      </c>
      <c r="J65" s="19">
        <v>461787.7260629902</v>
      </c>
      <c r="K65" s="19">
        <v>6845.890921153843</v>
      </c>
      <c r="L65" s="19">
        <v>3980.8855706509603</v>
      </c>
    </row>
    <row r="66" spans="2:12" x14ac:dyDescent="0.25">
      <c r="B66" s="22" t="s">
        <v>94</v>
      </c>
      <c r="C66" s="19">
        <v>8323.668043304704</v>
      </c>
      <c r="D66" s="19">
        <v>4840.2129671816847</v>
      </c>
      <c r="E66" s="19">
        <v>122695.098</v>
      </c>
      <c r="F66" s="19">
        <v>80365.289189580741</v>
      </c>
      <c r="G66" s="19">
        <v>26642.857</v>
      </c>
      <c r="H66" s="19">
        <v>10657.142857142855</v>
      </c>
      <c r="I66" s="19">
        <v>345784.12900000002</v>
      </c>
      <c r="J66" s="19">
        <v>333098.82498896436</v>
      </c>
      <c r="K66" s="19">
        <v>7159.4639711538421</v>
      </c>
      <c r="L66" s="19">
        <v>4163.2282992259597</v>
      </c>
    </row>
    <row r="67" spans="2:12" x14ac:dyDescent="0.25">
      <c r="B67" s="22" t="s">
        <v>95</v>
      </c>
      <c r="C67" s="19">
        <v>11434.502200064346</v>
      </c>
      <c r="D67" s="19">
        <v>6649.1630293374164</v>
      </c>
      <c r="E67" s="19">
        <v>154598.927</v>
      </c>
      <c r="F67" s="19">
        <v>101262.29718447172</v>
      </c>
      <c r="G67" s="19">
        <v>44142.857000000004</v>
      </c>
      <c r="H67" s="19">
        <v>17657.142857142855</v>
      </c>
      <c r="I67" s="19">
        <v>850926.96400000004</v>
      </c>
      <c r="J67" s="19">
        <v>817012.60299999977</v>
      </c>
      <c r="K67" s="19">
        <v>7923.132242307689</v>
      </c>
      <c r="L67" s="19">
        <v>4607.3013989019209</v>
      </c>
    </row>
    <row r="68" spans="2:12" x14ac:dyDescent="0.25">
      <c r="B68" s="22" t="s">
        <v>100</v>
      </c>
      <c r="C68" s="19">
        <v>9132.2984133879054</v>
      </c>
      <c r="D68" s="19">
        <v>5310.4315273850661</v>
      </c>
      <c r="E68" s="19">
        <v>136455.799</v>
      </c>
      <c r="F68" s="19">
        <v>89378.54834453373</v>
      </c>
      <c r="G68" s="19">
        <v>32142.857</v>
      </c>
      <c r="H68" s="19">
        <v>12857.142857142855</v>
      </c>
      <c r="I68" s="19">
        <v>356537.856252992</v>
      </c>
      <c r="J68" s="19">
        <v>337946.71455299197</v>
      </c>
      <c r="K68" s="19">
        <v>7294.0519211538431</v>
      </c>
      <c r="L68" s="19">
        <v>4241.4911921509602</v>
      </c>
    </row>
    <row r="69" spans="2:12" x14ac:dyDescent="0.25">
      <c r="B69" s="22" t="s">
        <v>101</v>
      </c>
      <c r="C69" s="19">
        <v>6299.5132448365421</v>
      </c>
      <c r="D69" s="19">
        <v>3663.1669518724489</v>
      </c>
      <c r="E69" s="19">
        <v>80895.286999999997</v>
      </c>
      <c r="F69" s="19">
        <v>52986.412984723574</v>
      </c>
      <c r="G69" s="19">
        <v>22142.857</v>
      </c>
      <c r="H69" s="19">
        <v>8857.1428571428569</v>
      </c>
      <c r="I69" s="19">
        <v>93560.214000000007</v>
      </c>
      <c r="J69" s="19">
        <v>90288.517000000007</v>
      </c>
      <c r="K69" s="19">
        <v>7024.5599711538434</v>
      </c>
      <c r="L69" s="19">
        <v>4084.7816232259593</v>
      </c>
    </row>
    <row r="70" spans="2:12" x14ac:dyDescent="0.25">
      <c r="B70" s="22" t="s">
        <v>102</v>
      </c>
      <c r="C70" s="19">
        <v>6075.6589166306912</v>
      </c>
      <c r="D70" s="19">
        <v>3532.9956600207474</v>
      </c>
      <c r="E70" s="19">
        <v>102408.094</v>
      </c>
      <c r="F70" s="19">
        <v>67077.301569650066</v>
      </c>
      <c r="G70" s="19">
        <v>18142.857</v>
      </c>
      <c r="H70" s="19">
        <v>7257.142857142856</v>
      </c>
      <c r="I70" s="19">
        <v>122310.511</v>
      </c>
      <c r="J70" s="19">
        <v>116432.7964966666</v>
      </c>
      <c r="K70" s="19">
        <v>5650.3031711538488</v>
      </c>
      <c r="L70" s="19">
        <v>3285.6512940259636</v>
      </c>
    </row>
    <row r="71" spans="2:12" x14ac:dyDescent="0.25">
      <c r="B71" s="22" t="s">
        <v>103</v>
      </c>
      <c r="C71" s="19">
        <v>8217.5468398552894</v>
      </c>
      <c r="D71" s="19">
        <v>4778.5034873758505</v>
      </c>
      <c r="E71" s="19">
        <v>75053.024999999994</v>
      </c>
      <c r="F71" s="19">
        <v>49159.73137474354</v>
      </c>
      <c r="G71" s="19">
        <v>26142.857</v>
      </c>
      <c r="H71" s="19">
        <v>17497.142856702856</v>
      </c>
      <c r="I71" s="19">
        <v>309625.31732143124</v>
      </c>
      <c r="J71" s="19">
        <v>290366.53684623196</v>
      </c>
      <c r="K71" s="19">
        <v>7593.8458211538427</v>
      </c>
      <c r="L71" s="19">
        <v>4415.8213450009598</v>
      </c>
    </row>
    <row r="72" spans="2:12" x14ac:dyDescent="0.25">
      <c r="B72" s="22" t="s">
        <v>104</v>
      </c>
      <c r="C72" s="19">
        <v>7680.2323130681198</v>
      </c>
      <c r="D72" s="19">
        <v>4466.0550900491126</v>
      </c>
      <c r="E72" s="19">
        <v>85335.798999999999</v>
      </c>
      <c r="F72" s="19">
        <v>55894.948344708406</v>
      </c>
      <c r="G72" s="19">
        <v>34142.857000000004</v>
      </c>
      <c r="H72" s="19">
        <v>20697.142856702856</v>
      </c>
      <c r="I72" s="19">
        <v>278160.76156000001</v>
      </c>
      <c r="J72" s="19">
        <v>264012.58283000003</v>
      </c>
      <c r="K72" s="19">
        <v>7771.0448711538429</v>
      </c>
      <c r="L72" s="19">
        <v>4518.8625925759598</v>
      </c>
    </row>
    <row r="73" spans="2:12" x14ac:dyDescent="0.25">
      <c r="B73" s="22" t="s">
        <v>105</v>
      </c>
      <c r="C73" s="19">
        <v>6876.9718904481542</v>
      </c>
      <c r="D73" s="19">
        <v>3998.9591542956009</v>
      </c>
      <c r="E73" s="19">
        <v>116191.986</v>
      </c>
      <c r="F73" s="19">
        <v>76105.75082960297</v>
      </c>
      <c r="G73" s="19">
        <v>58142.857000000004</v>
      </c>
      <c r="H73" s="19">
        <v>36237.142856702856</v>
      </c>
      <c r="I73" s="19">
        <v>194464.234</v>
      </c>
      <c r="J73" s="19">
        <v>184804.67199999999</v>
      </c>
      <c r="K73" s="19">
        <v>6363.4043711538434</v>
      </c>
      <c r="L73" s="19">
        <v>3700.3196418259604</v>
      </c>
    </row>
    <row r="74" spans="2:12" x14ac:dyDescent="0.25">
      <c r="B74" s="22" t="s">
        <v>106</v>
      </c>
      <c r="C74" s="19">
        <v>7721.0529970139032</v>
      </c>
      <c r="D74" s="19">
        <v>4489.7923177635848</v>
      </c>
      <c r="E74" s="19">
        <v>110389.93</v>
      </c>
      <c r="F74" s="19">
        <v>72305.404149622787</v>
      </c>
      <c r="G74" s="19">
        <v>48142.857000000004</v>
      </c>
      <c r="H74" s="19">
        <v>29597.142856702856</v>
      </c>
      <c r="I74" s="19">
        <v>396387.43285370251</v>
      </c>
      <c r="J74" s="19">
        <v>375239.51159368223</v>
      </c>
      <c r="K74" s="19">
        <v>6717.7236605769749</v>
      </c>
      <c r="L74" s="19">
        <v>3906.3563086255108</v>
      </c>
    </row>
    <row r="75" spans="2:12" x14ac:dyDescent="0.25">
      <c r="B75" s="22" t="s">
        <v>107</v>
      </c>
      <c r="C75" s="19">
        <v>8003.3022955128863</v>
      </c>
      <c r="D75" s="19">
        <v>4653.920284840744</v>
      </c>
      <c r="E75" s="19">
        <v>79813.136320780206</v>
      </c>
      <c r="F75" s="19">
        <v>52277.604289838309</v>
      </c>
      <c r="G75" s="19">
        <v>17642.857</v>
      </c>
      <c r="H75" s="19">
        <v>7057.142857142856</v>
      </c>
      <c r="I75" s="19">
        <v>243004.103</v>
      </c>
      <c r="J75" s="19">
        <v>229414.86199999999</v>
      </c>
      <c r="K75" s="19">
        <v>7187.6386211538429</v>
      </c>
      <c r="L75" s="19">
        <v>4179.6118582009594</v>
      </c>
    </row>
    <row r="76" spans="2:12" x14ac:dyDescent="0.25">
      <c r="B76" s="22" t="s">
        <v>109</v>
      </c>
      <c r="C76" s="19">
        <v>8088.9079214600988</v>
      </c>
      <c r="D76" s="19">
        <v>4703.6999563290474</v>
      </c>
      <c r="E76" s="19">
        <v>110344.825020943</v>
      </c>
      <c r="F76" s="19">
        <v>72275.860388340603</v>
      </c>
      <c r="G76" s="19">
        <v>46142.857000000004</v>
      </c>
      <c r="H76" s="19">
        <v>26157.142856702856</v>
      </c>
      <c r="I76" s="19">
        <v>204590.136</v>
      </c>
      <c r="J76" s="19">
        <v>190033.22200000001</v>
      </c>
      <c r="K76" s="19">
        <v>7072.8211211538428</v>
      </c>
      <c r="L76" s="19">
        <v>4112.8454819509598</v>
      </c>
    </row>
    <row r="77" spans="2:12" x14ac:dyDescent="0.25">
      <c r="B77" s="22" t="s">
        <v>110</v>
      </c>
      <c r="C77" s="19">
        <v>7491.838845157692</v>
      </c>
      <c r="D77" s="19">
        <v>4356.5042884591976</v>
      </c>
      <c r="E77" s="19">
        <v>73616.622485993808</v>
      </c>
      <c r="F77" s="19">
        <v>48218.887728074384</v>
      </c>
      <c r="G77" s="19">
        <v>29642.857</v>
      </c>
      <c r="H77" s="19">
        <v>18897.142856702856</v>
      </c>
      <c r="I77" s="19">
        <v>268730.16899999999</v>
      </c>
      <c r="J77" s="19">
        <v>260777.45699999999</v>
      </c>
      <c r="K77" s="19">
        <v>7542.3443711538439</v>
      </c>
      <c r="L77" s="19">
        <v>4385.8732518259594</v>
      </c>
    </row>
    <row r="78" spans="2:12" x14ac:dyDescent="0.25">
      <c r="B78" s="22" t="s">
        <v>111</v>
      </c>
      <c r="C78" s="19">
        <v>8365.1429593985358</v>
      </c>
      <c r="D78" s="19">
        <v>4864.3306308902493</v>
      </c>
      <c r="E78" s="19">
        <v>95532.594990703597</v>
      </c>
      <c r="F78" s="19">
        <v>62573.849718584417</v>
      </c>
      <c r="G78" s="19">
        <v>47142.857000000004</v>
      </c>
      <c r="H78" s="19">
        <v>27877.142856702856</v>
      </c>
      <c r="I78" s="19">
        <v>249668.76644605352</v>
      </c>
      <c r="J78" s="19">
        <v>234534.82044605349</v>
      </c>
      <c r="K78" s="19">
        <v>7028.2055711538433</v>
      </c>
      <c r="L78" s="19">
        <v>4086.9015396259601</v>
      </c>
    </row>
    <row r="79" spans="2:12" x14ac:dyDescent="0.25">
      <c r="B79" s="22" t="s">
        <v>112</v>
      </c>
      <c r="C79" s="19">
        <v>8473.3132047603958</v>
      </c>
      <c r="D79" s="19">
        <v>4927.23162856817</v>
      </c>
      <c r="E79" s="19">
        <v>124600.117074622</v>
      </c>
      <c r="F79" s="19">
        <v>81613.076683451654</v>
      </c>
      <c r="G79" s="19">
        <v>33142.857000000004</v>
      </c>
      <c r="H79" s="19">
        <v>13257.142857142855</v>
      </c>
      <c r="I79" s="19">
        <v>349774.52</v>
      </c>
      <c r="J79" s="19">
        <v>337162.71100000001</v>
      </c>
      <c r="K79" s="19">
        <v>7102.555021153843</v>
      </c>
      <c r="L79" s="19">
        <v>4130.1357448009594</v>
      </c>
    </row>
    <row r="80" spans="2:12" x14ac:dyDescent="0.25">
      <c r="B80" s="22" t="s">
        <v>113</v>
      </c>
      <c r="C80" s="19">
        <v>7271.2406445771494</v>
      </c>
      <c r="D80" s="19">
        <v>4228.2264348216131</v>
      </c>
      <c r="E80" s="19">
        <v>131237.07846962099</v>
      </c>
      <c r="F80" s="19">
        <v>85960.286397153322</v>
      </c>
      <c r="G80" s="19">
        <v>51142.860999999997</v>
      </c>
      <c r="H80" s="19">
        <v>31457.142856702856</v>
      </c>
      <c r="I80" s="19">
        <v>368268.66499999998</v>
      </c>
      <c r="J80" s="19">
        <v>349023.26985000004</v>
      </c>
      <c r="K80" s="19">
        <v>7819.371121153843</v>
      </c>
      <c r="L80" s="19">
        <v>4546.9643069509602</v>
      </c>
    </row>
    <row r="81" spans="2:12" x14ac:dyDescent="0.25">
      <c r="B81" s="16" t="s">
        <v>119</v>
      </c>
      <c r="C81" s="25">
        <v>231525.00000000003</v>
      </c>
      <c r="D81" s="25">
        <v>134724.16375223864</v>
      </c>
      <c r="E81" s="25">
        <v>3184000.000362664</v>
      </c>
      <c r="F81" s="25">
        <v>2085520.0002266646</v>
      </c>
      <c r="G81" s="25">
        <v>1000000</v>
      </c>
      <c r="H81" s="25">
        <v>531999.99999340007</v>
      </c>
      <c r="I81" s="25">
        <v>10011757.831714168</v>
      </c>
      <c r="J81" s="25">
        <v>9484173.4891618732</v>
      </c>
      <c r="K81" s="25">
        <v>231525.00000000003</v>
      </c>
      <c r="L81" s="25">
        <v>134631.78750000006</v>
      </c>
    </row>
    <row r="82" spans="2:12" x14ac:dyDescent="0.25"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2:12" x14ac:dyDescent="0.25">
      <c r="B83" s="2"/>
      <c r="C83" s="27" t="s">
        <v>137</v>
      </c>
      <c r="D83" s="27"/>
      <c r="E83" s="27"/>
      <c r="F83" s="27"/>
      <c r="G83" s="27"/>
      <c r="H83" s="27"/>
      <c r="I83" s="27"/>
      <c r="J83" s="27"/>
      <c r="K83" s="27"/>
      <c r="L83" s="27"/>
    </row>
    <row r="84" spans="2:12" x14ac:dyDescent="0.25">
      <c r="B84" s="33" t="s">
        <v>123</v>
      </c>
      <c r="C84" s="33" t="s">
        <v>43</v>
      </c>
      <c r="D84" s="33"/>
      <c r="E84" s="33" t="s">
        <v>64</v>
      </c>
      <c r="F84" s="33"/>
      <c r="G84" s="33" t="s">
        <v>65</v>
      </c>
      <c r="H84" s="33"/>
      <c r="I84" s="33" t="s">
        <v>44</v>
      </c>
      <c r="J84" s="33"/>
      <c r="K84" s="33" t="s">
        <v>138</v>
      </c>
      <c r="L84" s="33"/>
    </row>
    <row r="85" spans="2:12" ht="48.75" x14ac:dyDescent="0.25">
      <c r="B85" s="33"/>
      <c r="C85" s="17" t="s">
        <v>124</v>
      </c>
      <c r="D85" s="17" t="s">
        <v>125</v>
      </c>
      <c r="E85" s="17" t="s">
        <v>124</v>
      </c>
      <c r="F85" s="17" t="s">
        <v>125</v>
      </c>
      <c r="G85" s="17" t="s">
        <v>124</v>
      </c>
      <c r="H85" s="17" t="s">
        <v>125</v>
      </c>
      <c r="I85" s="17" t="s">
        <v>124</v>
      </c>
      <c r="J85" s="17" t="s">
        <v>125</v>
      </c>
      <c r="K85" s="17" t="s">
        <v>124</v>
      </c>
      <c r="L85" s="17" t="s">
        <v>125</v>
      </c>
    </row>
    <row r="86" spans="2:12" x14ac:dyDescent="0.25">
      <c r="B86" s="22" t="s">
        <v>32</v>
      </c>
      <c r="C86" s="19">
        <v>2694.41</v>
      </c>
      <c r="D86" s="19">
        <v>2379.5006220270138</v>
      </c>
      <c r="E86" s="19">
        <v>0</v>
      </c>
      <c r="F86" s="19">
        <v>0</v>
      </c>
      <c r="G86" s="19">
        <v>0</v>
      </c>
      <c r="H86" s="19">
        <v>0</v>
      </c>
      <c r="I86" s="19">
        <v>170.17380860326466</v>
      </c>
      <c r="J86" s="19">
        <v>133.16100523205461</v>
      </c>
      <c r="K86" s="19">
        <v>0</v>
      </c>
      <c r="L86" s="19">
        <v>0</v>
      </c>
    </row>
    <row r="87" spans="2:12" x14ac:dyDescent="0.25">
      <c r="B87" s="22" t="s">
        <v>51</v>
      </c>
      <c r="C87" s="19">
        <v>2934.2376533620418</v>
      </c>
      <c r="D87" s="19">
        <v>2593.1238778332222</v>
      </c>
      <c r="E87" s="19">
        <v>0</v>
      </c>
      <c r="F87" s="19">
        <v>0</v>
      </c>
      <c r="G87" s="19">
        <v>0</v>
      </c>
      <c r="H87" s="19">
        <v>0</v>
      </c>
      <c r="I87" s="19">
        <v>173.0670693674854</v>
      </c>
      <c r="J87" s="19">
        <v>135.42498178005729</v>
      </c>
      <c r="K87" s="19">
        <v>0</v>
      </c>
      <c r="L87" s="19">
        <v>0</v>
      </c>
    </row>
    <row r="88" spans="2:12" x14ac:dyDescent="0.25">
      <c r="B88" s="22" t="s">
        <v>52</v>
      </c>
      <c r="C88" s="19">
        <v>2136.9753411420038</v>
      </c>
      <c r="D88" s="19">
        <v>1888.5456569309613</v>
      </c>
      <c r="E88" s="19">
        <v>0</v>
      </c>
      <c r="F88" s="19">
        <v>0</v>
      </c>
      <c r="G88" s="19">
        <v>0</v>
      </c>
      <c r="H88" s="19">
        <v>0</v>
      </c>
      <c r="I88" s="19">
        <v>173.06706936748557</v>
      </c>
      <c r="J88" s="19">
        <v>135.42498178005749</v>
      </c>
      <c r="K88" s="19">
        <v>0</v>
      </c>
      <c r="L88" s="19">
        <v>0</v>
      </c>
    </row>
    <row r="89" spans="2:12" x14ac:dyDescent="0.25">
      <c r="B89" s="22" t="s">
        <v>54</v>
      </c>
      <c r="C89" s="19">
        <v>2413.587824770404</v>
      </c>
      <c r="D89" s="19">
        <v>2133.00112375452</v>
      </c>
      <c r="E89" s="19">
        <v>0</v>
      </c>
      <c r="F89" s="19">
        <v>0</v>
      </c>
      <c r="G89" s="19">
        <v>0</v>
      </c>
      <c r="H89" s="19">
        <v>0</v>
      </c>
      <c r="I89" s="19">
        <v>173.06706936748557</v>
      </c>
      <c r="J89" s="19">
        <v>135.42498178005749</v>
      </c>
      <c r="K89" s="19">
        <v>0</v>
      </c>
      <c r="L89" s="19">
        <v>0</v>
      </c>
    </row>
    <row r="90" spans="2:12" x14ac:dyDescent="0.25">
      <c r="B90" s="22" t="s">
        <v>55</v>
      </c>
      <c r="C90" s="19">
        <v>2084.6451913082556</v>
      </c>
      <c r="D90" s="19">
        <v>1872.1024614068265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2:12" x14ac:dyDescent="0.25">
      <c r="B91" s="22" t="s">
        <v>56</v>
      </c>
      <c r="C91" s="19">
        <v>2084.6451887516764</v>
      </c>
      <c r="D91" s="19">
        <v>1872.6065070079164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</row>
    <row r="92" spans="2:12" x14ac:dyDescent="0.25">
      <c r="B92" s="22" t="s">
        <v>57</v>
      </c>
      <c r="C92" s="19">
        <v>2042.0644672637989</v>
      </c>
      <c r="D92" s="19">
        <v>1791.359089398371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</row>
    <row r="93" spans="2:12" x14ac:dyDescent="0.25">
      <c r="B93" s="22" t="s">
        <v>58</v>
      </c>
      <c r="C93" s="19">
        <v>5940.0989005559659</v>
      </c>
      <c r="D93" s="19">
        <v>3557.9510975182334</v>
      </c>
      <c r="E93" s="19">
        <v>3874.4965033007447</v>
      </c>
      <c r="F93" s="19">
        <v>2253.0197166693829</v>
      </c>
      <c r="G93" s="19">
        <v>2372.2017527254757</v>
      </c>
      <c r="H93" s="19">
        <v>1379.4353192098638</v>
      </c>
      <c r="I93" s="19">
        <v>8366.2517104947619</v>
      </c>
      <c r="J93" s="19">
        <v>4864.9753696527032</v>
      </c>
      <c r="K93" s="19">
        <v>6102.0041480104546</v>
      </c>
      <c r="L93" s="19">
        <v>3548.3154120680797</v>
      </c>
    </row>
    <row r="94" spans="2:12" x14ac:dyDescent="0.25">
      <c r="B94" s="22" t="s">
        <v>76</v>
      </c>
      <c r="C94" s="19">
        <v>5232.6289999999999</v>
      </c>
      <c r="D94" s="19">
        <v>2912.7178402659824</v>
      </c>
      <c r="E94" s="19">
        <v>5879.8952327350617</v>
      </c>
      <c r="F94" s="19">
        <v>3419.1590778354384</v>
      </c>
      <c r="G94" s="19">
        <v>8652.6540911687098</v>
      </c>
      <c r="H94" s="19">
        <v>5031.5183540146054</v>
      </c>
      <c r="I94" s="19">
        <v>9429.9080665411184</v>
      </c>
      <c r="J94" s="19">
        <v>5483.4915406936616</v>
      </c>
      <c r="K94" s="19">
        <v>14858.265946019765</v>
      </c>
      <c r="L94" s="19">
        <v>8640.0816476104937</v>
      </c>
    </row>
    <row r="95" spans="2:12" x14ac:dyDescent="0.25">
      <c r="B95" s="22" t="s">
        <v>77</v>
      </c>
      <c r="C95" s="19">
        <v>5703.5020000000004</v>
      </c>
      <c r="D95" s="19">
        <v>3174.8271147590672</v>
      </c>
      <c r="E95" s="19">
        <v>3918.1771993465936</v>
      </c>
      <c r="F95" s="19">
        <v>2278.4200414200445</v>
      </c>
      <c r="G95" s="19">
        <v>3998.1745092719339</v>
      </c>
      <c r="H95" s="19">
        <v>2324.9384771416294</v>
      </c>
      <c r="I95" s="19">
        <v>8358.8661613332079</v>
      </c>
      <c r="J95" s="19">
        <v>4860.6806728152606</v>
      </c>
      <c r="K95" s="19">
        <v>7992.0396173128311</v>
      </c>
      <c r="L95" s="19">
        <v>4647.371037467411</v>
      </c>
    </row>
    <row r="96" spans="2:12" x14ac:dyDescent="0.25">
      <c r="B96" s="22" t="s">
        <v>78</v>
      </c>
      <c r="C96" s="19">
        <v>3828.473</v>
      </c>
      <c r="D96" s="19">
        <v>2131.1011969190636</v>
      </c>
      <c r="E96" s="19">
        <v>3876.481540584311</v>
      </c>
      <c r="F96" s="19">
        <v>2254.1740158497764</v>
      </c>
      <c r="G96" s="19">
        <v>5493.5664060108738</v>
      </c>
      <c r="H96" s="19">
        <v>3194.5088650953235</v>
      </c>
      <c r="I96" s="19">
        <v>7571.750571833436</v>
      </c>
      <c r="J96" s="19">
        <v>4402.9729575211431</v>
      </c>
      <c r="K96" s="19">
        <v>5924.5365364770132</v>
      </c>
      <c r="L96" s="19">
        <v>3445.1179959613833</v>
      </c>
    </row>
    <row r="97" spans="2:12" x14ac:dyDescent="0.25">
      <c r="B97" s="22" t="s">
        <v>79</v>
      </c>
      <c r="C97" s="19">
        <v>7859.473</v>
      </c>
      <c r="D97" s="19">
        <v>4374.9380257409739</v>
      </c>
      <c r="E97" s="19">
        <v>4726.8774383487089</v>
      </c>
      <c r="F97" s="19">
        <v>2748.6792303997745</v>
      </c>
      <c r="G97" s="19">
        <v>7962.7884942269193</v>
      </c>
      <c r="H97" s="19">
        <v>4630.3615093929538</v>
      </c>
      <c r="I97" s="19">
        <v>6108.825140543041</v>
      </c>
      <c r="J97" s="19">
        <v>3552.2818192257773</v>
      </c>
      <c r="K97" s="19">
        <v>4678.6892326134302</v>
      </c>
      <c r="L97" s="19">
        <v>2720.6577887647095</v>
      </c>
    </row>
    <row r="98" spans="2:12" x14ac:dyDescent="0.25">
      <c r="B98" s="22" t="s">
        <v>80</v>
      </c>
      <c r="C98" s="19">
        <v>7499.1603206178634</v>
      </c>
      <c r="D98" s="19">
        <v>4174.3717200962174</v>
      </c>
      <c r="E98" s="19">
        <v>3819.3672775485547</v>
      </c>
      <c r="F98" s="19">
        <v>2220.9620718944848</v>
      </c>
      <c r="G98" s="19">
        <v>5176.7882778887542</v>
      </c>
      <c r="H98" s="19">
        <v>3010.3023835923109</v>
      </c>
      <c r="I98" s="19">
        <v>8257.2466892131179</v>
      </c>
      <c r="J98" s="19">
        <v>4801.5889497774288</v>
      </c>
      <c r="K98" s="19">
        <v>10130.369523859976</v>
      </c>
      <c r="L98" s="19">
        <v>5890.8098781245762</v>
      </c>
    </row>
    <row r="99" spans="2:12" x14ac:dyDescent="0.25">
      <c r="B99" s="22" t="s">
        <v>81</v>
      </c>
      <c r="C99" s="19">
        <v>4336.7449999999999</v>
      </c>
      <c r="D99" s="19">
        <v>2414.0283213626981</v>
      </c>
      <c r="E99" s="19">
        <v>4617.088087694925</v>
      </c>
      <c r="F99" s="19">
        <v>2684.8367229945989</v>
      </c>
      <c r="G99" s="19">
        <v>3860.2515168930986</v>
      </c>
      <c r="H99" s="19">
        <v>2244.7362570733371</v>
      </c>
      <c r="I99" s="19">
        <v>8843.6405115986672</v>
      </c>
      <c r="J99" s="19">
        <v>5142.5769574946262</v>
      </c>
      <c r="K99" s="19">
        <v>9201.4394880805066</v>
      </c>
      <c r="L99" s="19">
        <v>5350.637062318815</v>
      </c>
    </row>
    <row r="100" spans="2:12" x14ac:dyDescent="0.25">
      <c r="B100" s="22" t="s">
        <v>82</v>
      </c>
      <c r="C100" s="19">
        <v>6690.52</v>
      </c>
      <c r="D100" s="19">
        <v>3724.2458649091568</v>
      </c>
      <c r="E100" s="19">
        <v>10211.019441907811</v>
      </c>
      <c r="F100" s="19">
        <v>5937.7078054693911</v>
      </c>
      <c r="G100" s="19">
        <v>6647.5343949455328</v>
      </c>
      <c r="H100" s="19">
        <v>3865.5412506608268</v>
      </c>
      <c r="I100" s="19">
        <v>6650.151224864806</v>
      </c>
      <c r="J100" s="19">
        <v>3867.0629372588846</v>
      </c>
      <c r="K100" s="19">
        <v>5647.0936859779986</v>
      </c>
      <c r="L100" s="19">
        <v>3283.7849783962056</v>
      </c>
    </row>
    <row r="101" spans="2:12" x14ac:dyDescent="0.25">
      <c r="B101" s="22" t="s">
        <v>83</v>
      </c>
      <c r="C101" s="19">
        <v>7238.5839999999998</v>
      </c>
      <c r="D101" s="19">
        <v>4029.3230862304899</v>
      </c>
      <c r="E101" s="19">
        <v>4962.338906876661</v>
      </c>
      <c r="F101" s="19">
        <v>2885.6000743487784</v>
      </c>
      <c r="G101" s="19">
        <v>6359.2254595848826</v>
      </c>
      <c r="H101" s="19">
        <v>3697.8896047486091</v>
      </c>
      <c r="I101" s="19">
        <v>8897.2918389919396</v>
      </c>
      <c r="J101" s="19">
        <v>5173.7752043738128</v>
      </c>
      <c r="K101" s="19">
        <v>10707.870041863145</v>
      </c>
      <c r="L101" s="19">
        <v>6226.6264293434187</v>
      </c>
    </row>
    <row r="102" spans="2:12" x14ac:dyDescent="0.25">
      <c r="B102" s="22" t="s">
        <v>84</v>
      </c>
      <c r="C102" s="19">
        <v>1883.9659999999999</v>
      </c>
      <c r="D102" s="19">
        <v>1048.7006951042622</v>
      </c>
      <c r="E102" s="19">
        <v>3597.2430868885513</v>
      </c>
      <c r="F102" s="19">
        <v>2091.7968550256924</v>
      </c>
      <c r="G102" s="19">
        <v>1657.9999841015224</v>
      </c>
      <c r="H102" s="19">
        <v>964.12699075503519</v>
      </c>
      <c r="I102" s="19">
        <v>3880.4778495881674</v>
      </c>
      <c r="J102" s="19">
        <v>2256.4978695355189</v>
      </c>
      <c r="K102" s="19">
        <v>2799.5134713753437</v>
      </c>
      <c r="L102" s="19">
        <v>1627.9170836047624</v>
      </c>
    </row>
    <row r="103" spans="2:12" x14ac:dyDescent="0.25">
      <c r="B103" s="22" t="s">
        <v>85</v>
      </c>
      <c r="C103" s="19">
        <v>6074.732</v>
      </c>
      <c r="D103" s="19">
        <v>3381.4704962246101</v>
      </c>
      <c r="E103" s="19">
        <v>5213.1029389413579</v>
      </c>
      <c r="F103" s="19">
        <v>3031.4193589943993</v>
      </c>
      <c r="G103" s="19">
        <v>15258.612554686306</v>
      </c>
      <c r="H103" s="19">
        <v>8872.8832005500881</v>
      </c>
      <c r="I103" s="19">
        <v>14962.332714915112</v>
      </c>
      <c r="J103" s="19">
        <v>8700.5964737231352</v>
      </c>
      <c r="K103" s="19">
        <v>25930.684257792986</v>
      </c>
      <c r="L103" s="19">
        <v>15078.692895906619</v>
      </c>
    </row>
    <row r="104" spans="2:12" x14ac:dyDescent="0.25">
      <c r="B104" s="22" t="s">
        <v>92</v>
      </c>
      <c r="C104" s="19">
        <v>4405.5476377896985</v>
      </c>
      <c r="D104" s="19">
        <v>2452.3271805435293</v>
      </c>
      <c r="E104" s="19">
        <v>4116.4982252667123</v>
      </c>
      <c r="F104" s="19">
        <v>2393.7437179925937</v>
      </c>
      <c r="G104" s="19">
        <v>6551.899923835892</v>
      </c>
      <c r="H104" s="19">
        <v>3809.9298057105716</v>
      </c>
      <c r="I104" s="19">
        <v>9657.1346473268204</v>
      </c>
      <c r="J104" s="19">
        <v>5615.6237974205442</v>
      </c>
      <c r="K104" s="19">
        <v>8441.6022226682653</v>
      </c>
      <c r="L104" s="19">
        <v>4908.7916924815963</v>
      </c>
    </row>
    <row r="105" spans="2:12" x14ac:dyDescent="0.25">
      <c r="B105" s="22" t="s">
        <v>93</v>
      </c>
      <c r="C105" s="19">
        <v>4180.0870000000004</v>
      </c>
      <c r="D105" s="19">
        <v>2326.8254035036875</v>
      </c>
      <c r="E105" s="19">
        <v>18658.103644845014</v>
      </c>
      <c r="F105" s="19">
        <v>10849.687269477376</v>
      </c>
      <c r="G105" s="19">
        <v>8445.2707897115761</v>
      </c>
      <c r="H105" s="19">
        <v>4910.9249642172817</v>
      </c>
      <c r="I105" s="19">
        <v>10396.557126573716</v>
      </c>
      <c r="J105" s="19">
        <v>6045.5979691026159</v>
      </c>
      <c r="K105" s="19">
        <v>12689.634087924576</v>
      </c>
      <c r="L105" s="19">
        <v>7379.0222221281419</v>
      </c>
    </row>
    <row r="106" spans="2:12" x14ac:dyDescent="0.25">
      <c r="B106" s="22" t="s">
        <v>94</v>
      </c>
      <c r="C106" s="19">
        <v>5972.1229999999996</v>
      </c>
      <c r="D106" s="19">
        <v>3324.3536338685408</v>
      </c>
      <c r="E106" s="19">
        <v>5626.9140819133445</v>
      </c>
      <c r="F106" s="19">
        <v>3272.0505386326099</v>
      </c>
      <c r="G106" s="19">
        <v>5881.3184823223792</v>
      </c>
      <c r="H106" s="19">
        <v>3419.9866974704632</v>
      </c>
      <c r="I106" s="19">
        <v>8323.668043304704</v>
      </c>
      <c r="J106" s="19">
        <v>4840.2129671816847</v>
      </c>
      <c r="K106" s="19">
        <v>7981.9280150095556</v>
      </c>
      <c r="L106" s="19">
        <v>4641.4911407280561</v>
      </c>
    </row>
    <row r="107" spans="2:12" x14ac:dyDescent="0.25">
      <c r="B107" s="22" t="s">
        <v>95</v>
      </c>
      <c r="C107" s="19">
        <v>7102.0889999999999</v>
      </c>
      <c r="D107" s="19">
        <v>3953.3437780689733</v>
      </c>
      <c r="E107" s="19">
        <v>7145.736719592991</v>
      </c>
      <c r="F107" s="19">
        <v>4155.2459024433256</v>
      </c>
      <c r="G107" s="19">
        <v>12387.052413270088</v>
      </c>
      <c r="H107" s="19">
        <v>7203.0709783165566</v>
      </c>
      <c r="I107" s="19">
        <v>11434.502200064346</v>
      </c>
      <c r="J107" s="19">
        <v>6649.1630293374164</v>
      </c>
      <c r="K107" s="19">
        <v>13980.38543920626</v>
      </c>
      <c r="L107" s="19">
        <v>8129.5941328984418</v>
      </c>
    </row>
    <row r="108" spans="2:12" x14ac:dyDescent="0.25">
      <c r="B108" s="22" t="s">
        <v>100</v>
      </c>
      <c r="C108" s="19">
        <v>4626.2330000000002</v>
      </c>
      <c r="D108" s="19">
        <v>2575.1704451891756</v>
      </c>
      <c r="E108" s="19">
        <v>5238.9133615314131</v>
      </c>
      <c r="F108" s="19">
        <v>3046.4281197305163</v>
      </c>
      <c r="G108" s="19">
        <v>5047.1214988431266</v>
      </c>
      <c r="H108" s="19">
        <v>2934.9011515772786</v>
      </c>
      <c r="I108" s="19">
        <v>9132.2984133879054</v>
      </c>
      <c r="J108" s="19">
        <v>5310.4315273850661</v>
      </c>
      <c r="K108" s="19">
        <v>8750.8006731646765</v>
      </c>
      <c r="L108" s="19">
        <v>5088.5905914452596</v>
      </c>
    </row>
    <row r="109" spans="2:12" x14ac:dyDescent="0.25">
      <c r="B109" s="22" t="s">
        <v>101</v>
      </c>
      <c r="C109" s="19">
        <v>4580.4989999999998</v>
      </c>
      <c r="D109" s="19">
        <v>2549.7127909346586</v>
      </c>
      <c r="E109" s="19">
        <v>4069.6622087626597</v>
      </c>
      <c r="F109" s="19">
        <v>2366.5085743954864</v>
      </c>
      <c r="G109" s="19">
        <v>2730.2412898628336</v>
      </c>
      <c r="H109" s="19">
        <v>1587.6353100552378</v>
      </c>
      <c r="I109" s="19">
        <v>6299.5132448365421</v>
      </c>
      <c r="J109" s="19">
        <v>3663.1669518724489</v>
      </c>
      <c r="K109" s="19">
        <v>3121.3710027940892</v>
      </c>
      <c r="L109" s="19">
        <v>1815.0772381247627</v>
      </c>
    </row>
    <row r="110" spans="2:12" x14ac:dyDescent="0.25">
      <c r="B110" s="22" t="s">
        <v>102</v>
      </c>
      <c r="C110" s="19">
        <v>7683.59</v>
      </c>
      <c r="D110" s="19">
        <v>4277.0335734241889</v>
      </c>
      <c r="E110" s="19">
        <v>3999.8180300128879</v>
      </c>
      <c r="F110" s="19">
        <v>2325.8941844524943</v>
      </c>
      <c r="G110" s="19">
        <v>4953.6641125588494</v>
      </c>
      <c r="H110" s="19">
        <v>2880.5556814529705</v>
      </c>
      <c r="I110" s="19">
        <v>6075.6589166306912</v>
      </c>
      <c r="J110" s="19">
        <v>3532.9956600207474</v>
      </c>
      <c r="K110" s="19">
        <v>3347.5320662567806</v>
      </c>
      <c r="L110" s="19">
        <v>1946.5898965283184</v>
      </c>
    </row>
    <row r="111" spans="2:12" x14ac:dyDescent="0.25">
      <c r="B111" s="22" t="s">
        <v>103</v>
      </c>
      <c r="C111" s="19">
        <v>8468.2880000000005</v>
      </c>
      <c r="D111" s="19">
        <v>4713.8319553297388</v>
      </c>
      <c r="E111" s="19">
        <v>10307.256715883119</v>
      </c>
      <c r="F111" s="19">
        <v>5993.6697802860335</v>
      </c>
      <c r="G111" s="19">
        <v>6260.8929759038519</v>
      </c>
      <c r="H111" s="19">
        <v>3640.7092654880894</v>
      </c>
      <c r="I111" s="19">
        <v>8217.5468398552894</v>
      </c>
      <c r="J111" s="19">
        <v>4778.5034873758505</v>
      </c>
      <c r="K111" s="19">
        <v>5080.5838749789664</v>
      </c>
      <c r="L111" s="19">
        <v>2954.3595233002688</v>
      </c>
    </row>
    <row r="112" spans="2:12" x14ac:dyDescent="0.25">
      <c r="B112" s="22" t="s">
        <v>104</v>
      </c>
      <c r="C112" s="19">
        <v>6610.1629999999996</v>
      </c>
      <c r="D112" s="19">
        <v>3679.5155288893461</v>
      </c>
      <c r="E112" s="19">
        <v>10475.866375297714</v>
      </c>
      <c r="F112" s="19">
        <v>6091.7162972356209</v>
      </c>
      <c r="G112" s="19">
        <v>4940.7293783368232</v>
      </c>
      <c r="H112" s="19">
        <v>2873.0341335028629</v>
      </c>
      <c r="I112" s="19">
        <v>7680.2323130681198</v>
      </c>
      <c r="J112" s="19">
        <v>4466.0550900491126</v>
      </c>
      <c r="K112" s="19">
        <v>6213.6082808146011</v>
      </c>
      <c r="L112" s="19">
        <v>3613.2132152936906</v>
      </c>
    </row>
    <row r="113" spans="2:12" x14ac:dyDescent="0.25">
      <c r="B113" s="22" t="s">
        <v>105</v>
      </c>
      <c r="C113" s="19">
        <v>8954.973</v>
      </c>
      <c r="D113" s="19">
        <v>4984.7427453622959</v>
      </c>
      <c r="E113" s="19">
        <v>8274.8575290693425</v>
      </c>
      <c r="F113" s="19">
        <v>4811.8296531538217</v>
      </c>
      <c r="G113" s="19">
        <v>7427.1027668700681</v>
      </c>
      <c r="H113" s="19">
        <v>4318.8602589349448</v>
      </c>
      <c r="I113" s="19">
        <v>6876.9718904481542</v>
      </c>
      <c r="J113" s="19">
        <v>3998.9591542956009</v>
      </c>
      <c r="K113" s="19">
        <v>5093.088477492458</v>
      </c>
      <c r="L113" s="19">
        <v>2961.6309496618646</v>
      </c>
    </row>
    <row r="114" spans="2:12" x14ac:dyDescent="0.25">
      <c r="B114" s="22" t="s">
        <v>106</v>
      </c>
      <c r="C114" s="19">
        <v>5114.0559999999996</v>
      </c>
      <c r="D114" s="19">
        <v>2846.7148301310026</v>
      </c>
      <c r="E114" s="19">
        <v>4592.2578389874234</v>
      </c>
      <c r="F114" s="19">
        <v>2670.3979333711864</v>
      </c>
      <c r="G114" s="19">
        <v>7347.3025334744689</v>
      </c>
      <c r="H114" s="19">
        <v>4272.4564232154034</v>
      </c>
      <c r="I114" s="19">
        <v>7721.0529970139032</v>
      </c>
      <c r="J114" s="19">
        <v>4489.7923177635848</v>
      </c>
      <c r="K114" s="19">
        <v>8217.8625207234145</v>
      </c>
      <c r="L114" s="19">
        <v>4778.6870558006658</v>
      </c>
    </row>
    <row r="115" spans="2:12" x14ac:dyDescent="0.25">
      <c r="B115" s="22" t="s">
        <v>107</v>
      </c>
      <c r="C115" s="19">
        <v>3740.3139999999999</v>
      </c>
      <c r="D115" s="19">
        <v>2082.0278537205463</v>
      </c>
      <c r="E115" s="19">
        <v>4787.0260432022551</v>
      </c>
      <c r="F115" s="19">
        <v>2783.655644122111</v>
      </c>
      <c r="G115" s="19">
        <v>7163.0710302392035</v>
      </c>
      <c r="H115" s="19">
        <v>4165.3258040840983</v>
      </c>
      <c r="I115" s="19">
        <v>8003.3022955128863</v>
      </c>
      <c r="J115" s="19">
        <v>4653.920284840744</v>
      </c>
      <c r="K115" s="19">
        <v>4873.3689574125156</v>
      </c>
      <c r="L115" s="19">
        <v>2833.8640487353773</v>
      </c>
    </row>
    <row r="116" spans="2:12" x14ac:dyDescent="0.25">
      <c r="B116" s="22" t="s">
        <v>109</v>
      </c>
      <c r="C116" s="19">
        <v>4764.1229999999996</v>
      </c>
      <c r="D116" s="19">
        <v>2651.926293689703</v>
      </c>
      <c r="E116" s="19">
        <v>3782.8169144317371</v>
      </c>
      <c r="F116" s="19">
        <v>2199.708035742055</v>
      </c>
      <c r="G116" s="19">
        <v>3631.1858266109039</v>
      </c>
      <c r="H116" s="19">
        <v>2111.5345581742404</v>
      </c>
      <c r="I116" s="19">
        <v>8088.9079214600988</v>
      </c>
      <c r="J116" s="19">
        <v>4703.6999563290474</v>
      </c>
      <c r="K116" s="19">
        <v>6032.2646003415393</v>
      </c>
      <c r="L116" s="19">
        <v>3507.7618650986055</v>
      </c>
    </row>
    <row r="117" spans="2:12" x14ac:dyDescent="0.25">
      <c r="B117" s="22" t="s">
        <v>110</v>
      </c>
      <c r="C117" s="19">
        <v>9120.4809999999998</v>
      </c>
      <c r="D117" s="19">
        <v>5076.8719925752448</v>
      </c>
      <c r="E117" s="19">
        <v>3904.5115508832328</v>
      </c>
      <c r="F117" s="19">
        <v>2270.4734668385995</v>
      </c>
      <c r="G117" s="19">
        <v>7579.4004163915415</v>
      </c>
      <c r="H117" s="19">
        <v>4407.4213421316817</v>
      </c>
      <c r="I117" s="19">
        <v>7491.838845157692</v>
      </c>
      <c r="J117" s="19">
        <v>4356.5042884591976</v>
      </c>
      <c r="K117" s="19">
        <v>4653.4149334939511</v>
      </c>
      <c r="L117" s="19">
        <v>2705.9607838267329</v>
      </c>
    </row>
    <row r="118" spans="2:12" x14ac:dyDescent="0.25">
      <c r="B118" s="22" t="s">
        <v>111</v>
      </c>
      <c r="C118" s="19">
        <v>4361.8444234332501</v>
      </c>
      <c r="D118" s="19">
        <v>2472.3404745724602</v>
      </c>
      <c r="E118" s="19">
        <v>10133.185734986868</v>
      </c>
      <c r="F118" s="19">
        <v>5892.4475048948625</v>
      </c>
      <c r="G118" s="19">
        <v>5169.7066091904499</v>
      </c>
      <c r="H118" s="19">
        <v>3006.1843932442466</v>
      </c>
      <c r="I118" s="19">
        <v>8365.1429593985358</v>
      </c>
      <c r="J118" s="19">
        <v>4864.3306308902493</v>
      </c>
      <c r="K118" s="19">
        <v>6384.0633470905441</v>
      </c>
      <c r="L118" s="19">
        <v>3712.3328363331516</v>
      </c>
    </row>
    <row r="119" spans="2:12" x14ac:dyDescent="0.25">
      <c r="B119" s="22" t="s">
        <v>112</v>
      </c>
      <c r="C119" s="19">
        <v>3302.9319999999998</v>
      </c>
      <c r="D119" s="19">
        <v>1838.5612224557715</v>
      </c>
      <c r="E119" s="19">
        <v>5433.2643128844002</v>
      </c>
      <c r="F119" s="19">
        <v>3159.4431979422793</v>
      </c>
      <c r="G119" s="19">
        <v>4837.2072748463488</v>
      </c>
      <c r="H119" s="19">
        <v>2812.836030323152</v>
      </c>
      <c r="I119" s="19">
        <v>8473.3132047603958</v>
      </c>
      <c r="J119" s="19">
        <v>4927.23162856817</v>
      </c>
      <c r="K119" s="19">
        <v>9568.0574768258211</v>
      </c>
      <c r="L119" s="19">
        <v>5563.8254227742145</v>
      </c>
    </row>
    <row r="120" spans="2:12" x14ac:dyDescent="0.25">
      <c r="B120" s="22" t="s">
        <v>113</v>
      </c>
      <c r="C120" s="19">
        <v>3615.2750000000001</v>
      </c>
      <c r="D120" s="19">
        <v>2012.4255452039718</v>
      </c>
      <c r="E120" s="19">
        <v>8400.9740582756476</v>
      </c>
      <c r="F120" s="19">
        <v>4885.1664148872887</v>
      </c>
      <c r="G120" s="19">
        <v>5850.7852362276099</v>
      </c>
      <c r="H120" s="19">
        <v>3402.2316148663549</v>
      </c>
      <c r="I120" s="19">
        <v>7271.2406445771494</v>
      </c>
      <c r="J120" s="19">
        <v>4228.2264348216131</v>
      </c>
      <c r="K120" s="19">
        <v>10366.67807441862</v>
      </c>
      <c r="L120" s="19">
        <v>6028.2233002744269</v>
      </c>
    </row>
    <row r="121" spans="2:12" x14ac:dyDescent="0.25">
      <c r="B121" s="16" t="s">
        <v>119</v>
      </c>
      <c r="C121" s="25">
        <v>175281.06694899494</v>
      </c>
      <c r="D121" s="25">
        <v>103271.64004495242</v>
      </c>
      <c r="E121" s="25">
        <v>173643.75099999999</v>
      </c>
      <c r="F121" s="25">
        <v>100973.84120650004</v>
      </c>
      <c r="G121" s="25">
        <v>173643.75</v>
      </c>
      <c r="H121" s="25">
        <v>100973.84062500003</v>
      </c>
      <c r="I121" s="25">
        <v>231525.00000000003</v>
      </c>
      <c r="J121" s="25">
        <v>134770.35187835791</v>
      </c>
      <c r="K121" s="25">
        <v>228768.75000000006</v>
      </c>
      <c r="L121" s="25">
        <v>133029.02812500004</v>
      </c>
    </row>
    <row r="122" spans="2:12" x14ac:dyDescent="0.25"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2:12" x14ac:dyDescent="0.25">
      <c r="B123" s="2"/>
      <c r="C123" s="27" t="s">
        <v>137</v>
      </c>
      <c r="D123" s="27"/>
      <c r="E123" s="27"/>
      <c r="F123" s="27"/>
      <c r="G123" s="27"/>
      <c r="H123" s="27"/>
      <c r="I123" s="27"/>
      <c r="J123" s="27"/>
      <c r="K123" s="27"/>
      <c r="L123" s="27"/>
    </row>
    <row r="124" spans="2:12" x14ac:dyDescent="0.25">
      <c r="B124" s="33" t="s">
        <v>123</v>
      </c>
      <c r="C124" s="33" t="s">
        <v>145</v>
      </c>
      <c r="D124" s="33"/>
      <c r="E124" s="33" t="s">
        <v>66</v>
      </c>
      <c r="F124" s="33"/>
      <c r="G124" s="33" t="s">
        <v>67</v>
      </c>
      <c r="H124" s="33"/>
      <c r="I124" s="33" t="s">
        <v>144</v>
      </c>
      <c r="J124" s="33"/>
      <c r="K124" s="33" t="s">
        <v>69</v>
      </c>
      <c r="L124" s="33"/>
    </row>
    <row r="125" spans="2:12" ht="48.75" x14ac:dyDescent="0.25">
      <c r="B125" s="33"/>
      <c r="C125" s="17" t="s">
        <v>124</v>
      </c>
      <c r="D125" s="17" t="s">
        <v>125</v>
      </c>
      <c r="E125" s="17" t="s">
        <v>124</v>
      </c>
      <c r="F125" s="17" t="s">
        <v>125</v>
      </c>
      <c r="G125" s="17" t="s">
        <v>124</v>
      </c>
      <c r="H125" s="17" t="s">
        <v>125</v>
      </c>
      <c r="I125" s="17" t="s">
        <v>124</v>
      </c>
      <c r="J125" s="17" t="s">
        <v>125</v>
      </c>
      <c r="K125" s="17" t="s">
        <v>124</v>
      </c>
      <c r="L125" s="17" t="s">
        <v>125</v>
      </c>
    </row>
    <row r="126" spans="2:12" x14ac:dyDescent="0.25">
      <c r="B126" s="22" t="s">
        <v>32</v>
      </c>
      <c r="C126" s="19">
        <v>108410.01700000001</v>
      </c>
      <c r="D126" s="19">
        <v>63114.272275025833</v>
      </c>
      <c r="E126" s="19">
        <v>0</v>
      </c>
      <c r="F126" s="19">
        <v>0</v>
      </c>
      <c r="G126" s="19">
        <v>0</v>
      </c>
      <c r="H126" s="19">
        <v>0</v>
      </c>
      <c r="I126" s="19">
        <v>171234.38830985915</v>
      </c>
      <c r="J126" s="19">
        <v>171234.38830985921</v>
      </c>
      <c r="K126" s="19">
        <v>0</v>
      </c>
      <c r="L126" s="19">
        <v>0</v>
      </c>
    </row>
    <row r="127" spans="2:12" x14ac:dyDescent="0.25">
      <c r="B127" s="22" t="s">
        <v>51</v>
      </c>
      <c r="C127" s="19">
        <v>113133.84740931363</v>
      </c>
      <c r="D127" s="19">
        <v>65927.982742927474</v>
      </c>
      <c r="E127" s="19">
        <v>0</v>
      </c>
      <c r="F127" s="19">
        <v>0</v>
      </c>
      <c r="G127" s="19">
        <v>0</v>
      </c>
      <c r="H127" s="19">
        <v>0</v>
      </c>
      <c r="I127" s="19">
        <v>171234.38830985915</v>
      </c>
      <c r="J127" s="19">
        <v>171234.38830985915</v>
      </c>
      <c r="K127" s="19">
        <v>0</v>
      </c>
      <c r="L127" s="19">
        <v>0</v>
      </c>
    </row>
    <row r="128" spans="2:12" x14ac:dyDescent="0.25">
      <c r="B128" s="22" t="s">
        <v>52</v>
      </c>
      <c r="C128" s="19">
        <v>48761.289115422514</v>
      </c>
      <c r="D128" s="19">
        <v>28415.310722119244</v>
      </c>
      <c r="E128" s="19">
        <v>0</v>
      </c>
      <c r="F128" s="19">
        <v>0</v>
      </c>
      <c r="G128" s="19">
        <v>0</v>
      </c>
      <c r="H128" s="19">
        <v>0</v>
      </c>
      <c r="I128" s="19">
        <v>171234.38830985915</v>
      </c>
      <c r="J128" s="19">
        <v>171234.38830985921</v>
      </c>
      <c r="K128" s="19">
        <v>0</v>
      </c>
      <c r="L128" s="19">
        <v>0</v>
      </c>
    </row>
    <row r="129" spans="2:12" x14ac:dyDescent="0.25">
      <c r="B129" s="22" t="s">
        <v>54</v>
      </c>
      <c r="C129" s="19">
        <v>37112.948606931561</v>
      </c>
      <c r="D129" s="19">
        <v>21627.319244651706</v>
      </c>
      <c r="E129" s="19">
        <v>0</v>
      </c>
      <c r="F129" s="19">
        <v>0</v>
      </c>
      <c r="G129" s="19">
        <v>0</v>
      </c>
      <c r="H129" s="19">
        <v>0</v>
      </c>
      <c r="I129" s="19">
        <v>171234.38830985915</v>
      </c>
      <c r="J129" s="19">
        <v>151329.13037732241</v>
      </c>
      <c r="K129" s="19">
        <v>0</v>
      </c>
      <c r="L129" s="19">
        <v>0</v>
      </c>
    </row>
    <row r="130" spans="2:12" x14ac:dyDescent="0.25">
      <c r="B130" s="22" t="s">
        <v>55</v>
      </c>
      <c r="C130" s="19">
        <v>28970.283782701688</v>
      </c>
      <c r="D130" s="19">
        <v>16775.321212023708</v>
      </c>
      <c r="E130" s="19">
        <v>0</v>
      </c>
      <c r="F130" s="19">
        <v>0</v>
      </c>
      <c r="G130" s="19">
        <v>0</v>
      </c>
      <c r="H130" s="19">
        <v>0</v>
      </c>
      <c r="I130" s="19">
        <v>22831.251774647892</v>
      </c>
      <c r="J130" s="19">
        <v>22831.251774647892</v>
      </c>
      <c r="K130" s="19">
        <v>0</v>
      </c>
      <c r="L130" s="19">
        <v>0</v>
      </c>
    </row>
    <row r="131" spans="2:12" x14ac:dyDescent="0.25">
      <c r="B131" s="22" t="s">
        <v>56</v>
      </c>
      <c r="C131" s="19">
        <v>32401.343805783843</v>
      </c>
      <c r="D131" s="19">
        <v>18282.235808849022</v>
      </c>
      <c r="E131" s="19">
        <v>0</v>
      </c>
      <c r="F131" s="19">
        <v>0</v>
      </c>
      <c r="G131" s="19">
        <v>0</v>
      </c>
      <c r="H131" s="19">
        <v>0</v>
      </c>
      <c r="I131" s="19">
        <v>22831.251774647892</v>
      </c>
      <c r="J131" s="19">
        <v>22831.251774647892</v>
      </c>
      <c r="K131" s="19">
        <v>0</v>
      </c>
      <c r="L131" s="19">
        <v>0</v>
      </c>
    </row>
    <row r="132" spans="2:12" x14ac:dyDescent="0.25">
      <c r="B132" s="22" t="s">
        <v>57</v>
      </c>
      <c r="C132" s="19">
        <v>32401.343805783843</v>
      </c>
      <c r="D132" s="19">
        <v>18881.66380695509</v>
      </c>
      <c r="E132" s="19">
        <v>0</v>
      </c>
      <c r="F132" s="19">
        <v>0</v>
      </c>
      <c r="G132" s="19">
        <v>0</v>
      </c>
      <c r="H132" s="19">
        <v>0</v>
      </c>
      <c r="I132" s="19">
        <v>22831.251774647892</v>
      </c>
      <c r="J132" s="19">
        <v>22831.251774647892</v>
      </c>
      <c r="K132" s="19">
        <v>0</v>
      </c>
      <c r="L132" s="19">
        <v>0</v>
      </c>
    </row>
    <row r="133" spans="2:12" x14ac:dyDescent="0.25">
      <c r="B133" s="22" t="s">
        <v>58</v>
      </c>
      <c r="C133" s="19">
        <v>75528.947172562534</v>
      </c>
      <c r="D133" s="19">
        <v>43964.457038864115</v>
      </c>
      <c r="E133" s="19">
        <v>243225.49167008852</v>
      </c>
      <c r="F133" s="19">
        <v>185177.12000000002</v>
      </c>
      <c r="G133" s="19">
        <v>1972.253512023304</v>
      </c>
      <c r="H133" s="19">
        <v>1148.1802529162335</v>
      </c>
      <c r="I133" s="19">
        <v>11415.625887323946</v>
      </c>
      <c r="J133" s="19">
        <v>11415.625887323946</v>
      </c>
      <c r="K133" s="19">
        <v>5974.940393973633</v>
      </c>
      <c r="L133" s="19">
        <v>3474.4278390956674</v>
      </c>
    </row>
    <row r="134" spans="2:12" x14ac:dyDescent="0.25">
      <c r="B134" s="22" t="s">
        <v>76</v>
      </c>
      <c r="C134" s="19">
        <v>80629.758992392512</v>
      </c>
      <c r="D134" s="19">
        <v>46986.445534594626</v>
      </c>
      <c r="E134" s="19">
        <v>567098.84024647984</v>
      </c>
      <c r="F134" s="19">
        <v>405348.84000000008</v>
      </c>
      <c r="G134" s="19">
        <v>5916.7506585043675</v>
      </c>
      <c r="H134" s="19">
        <v>3444.5350083592925</v>
      </c>
      <c r="I134" s="19">
        <v>0</v>
      </c>
      <c r="J134" s="19">
        <v>0</v>
      </c>
      <c r="K134" s="19">
        <v>10507.493101376349</v>
      </c>
      <c r="L134" s="19">
        <v>6110.1072384503468</v>
      </c>
    </row>
    <row r="135" spans="2:12" x14ac:dyDescent="0.25">
      <c r="B135" s="22" t="s">
        <v>77</v>
      </c>
      <c r="C135" s="19">
        <v>90100.995987155417</v>
      </c>
      <c r="D135" s="19">
        <v>52446.664687326847</v>
      </c>
      <c r="E135" s="19">
        <v>300632.34164976829</v>
      </c>
      <c r="F135" s="19">
        <v>228832.08961999998</v>
      </c>
      <c r="G135" s="19">
        <v>5916.7506585043675</v>
      </c>
      <c r="H135" s="19">
        <v>3444.5350083592925</v>
      </c>
      <c r="I135" s="19">
        <v>0</v>
      </c>
      <c r="J135" s="19">
        <v>0</v>
      </c>
      <c r="K135" s="19">
        <v>9481.2867784022401</v>
      </c>
      <c r="L135" s="19">
        <v>5513.3682616409023</v>
      </c>
    </row>
    <row r="136" spans="2:12" x14ac:dyDescent="0.25">
      <c r="B136" s="22" t="s">
        <v>78</v>
      </c>
      <c r="C136" s="19">
        <v>67378.022813330899</v>
      </c>
      <c r="D136" s="19">
        <v>39219.90574099301</v>
      </c>
      <c r="E136" s="19">
        <v>260293.94627462013</v>
      </c>
      <c r="F136" s="19">
        <v>199570.07152250002</v>
      </c>
      <c r="G136" s="19">
        <v>5916.7506585043675</v>
      </c>
      <c r="H136" s="19">
        <v>3444.5350083592925</v>
      </c>
      <c r="I136" s="19">
        <v>0</v>
      </c>
      <c r="J136" s="19">
        <v>0</v>
      </c>
      <c r="K136" s="19">
        <v>4476.720407454156</v>
      </c>
      <c r="L136" s="19">
        <v>2603.2129169345917</v>
      </c>
    </row>
    <row r="137" spans="2:12" x14ac:dyDescent="0.25">
      <c r="B137" s="22" t="s">
        <v>79</v>
      </c>
      <c r="C137" s="19">
        <v>50164.877326156588</v>
      </c>
      <c r="D137" s="19">
        <v>29200.348690716874</v>
      </c>
      <c r="E137" s="19">
        <v>195577.93971673198</v>
      </c>
      <c r="F137" s="19">
        <v>150062.80345999997</v>
      </c>
      <c r="G137" s="19">
        <v>5916.7506585043675</v>
      </c>
      <c r="H137" s="19">
        <v>3444.5350083592925</v>
      </c>
      <c r="I137" s="19">
        <v>0</v>
      </c>
      <c r="J137" s="19">
        <v>0</v>
      </c>
      <c r="K137" s="19">
        <v>7176.4955038690377</v>
      </c>
      <c r="L137" s="19">
        <v>4173.1321354998454</v>
      </c>
    </row>
    <row r="138" spans="2:12" x14ac:dyDescent="0.25">
      <c r="B138" s="22" t="s">
        <v>80</v>
      </c>
      <c r="C138" s="19">
        <v>127456.61532313298</v>
      </c>
      <c r="D138" s="19">
        <v>74190.90424912631</v>
      </c>
      <c r="E138" s="19">
        <v>397075.01223577018</v>
      </c>
      <c r="F138" s="19">
        <v>297806.25894999999</v>
      </c>
      <c r="G138" s="19">
        <v>5916.7506585043675</v>
      </c>
      <c r="H138" s="19">
        <v>3444.5350083592925</v>
      </c>
      <c r="I138" s="19">
        <v>11415.625887323946</v>
      </c>
      <c r="J138" s="19">
        <v>11415.625887323946</v>
      </c>
      <c r="K138" s="19">
        <v>9669.84717302635</v>
      </c>
      <c r="L138" s="19">
        <v>5623.0161311148222</v>
      </c>
    </row>
    <row r="139" spans="2:12" x14ac:dyDescent="0.25">
      <c r="B139" s="22" t="s">
        <v>81</v>
      </c>
      <c r="C139" s="19">
        <v>106643.53508286319</v>
      </c>
      <c r="D139" s="19">
        <v>62145.797280242761</v>
      </c>
      <c r="E139" s="19">
        <v>347015.00953974645</v>
      </c>
      <c r="F139" s="19">
        <v>260261.25750000001</v>
      </c>
      <c r="G139" s="19">
        <v>5916.7506585043675</v>
      </c>
      <c r="H139" s="19">
        <v>3444.5350083592925</v>
      </c>
      <c r="I139" s="19">
        <v>0</v>
      </c>
      <c r="J139" s="19">
        <v>0</v>
      </c>
      <c r="K139" s="19">
        <v>8615.8706825547979</v>
      </c>
      <c r="L139" s="19">
        <v>5010.1288019056155</v>
      </c>
    </row>
    <row r="140" spans="2:12" x14ac:dyDescent="0.25">
      <c r="B140" s="22" t="s">
        <v>82</v>
      </c>
      <c r="C140" s="19">
        <v>67851.364098084596</v>
      </c>
      <c r="D140" s="19">
        <v>39539.922557434948</v>
      </c>
      <c r="E140" s="19">
        <v>199372.19162053915</v>
      </c>
      <c r="F140" s="19">
        <v>151482.91953000004</v>
      </c>
      <c r="G140" s="19">
        <v>5916.7506585043675</v>
      </c>
      <c r="H140" s="19">
        <v>3444.5350083592925</v>
      </c>
      <c r="I140" s="19">
        <v>11415.625887323946</v>
      </c>
      <c r="J140" s="19">
        <v>11415.625887323946</v>
      </c>
      <c r="K140" s="19">
        <v>6860.6725312669914</v>
      </c>
      <c r="L140" s="19">
        <v>3989.4810769317551</v>
      </c>
    </row>
    <row r="141" spans="2:12" x14ac:dyDescent="0.25">
      <c r="B141" s="22" t="s">
        <v>83</v>
      </c>
      <c r="C141" s="19">
        <v>117423.70098308354</v>
      </c>
      <c r="D141" s="19">
        <v>68350.870091188044</v>
      </c>
      <c r="E141" s="19">
        <v>368538.49946810777</v>
      </c>
      <c r="F141" s="19">
        <v>276938.49899999995</v>
      </c>
      <c r="G141" s="19">
        <v>5916.7506585043675</v>
      </c>
      <c r="H141" s="19">
        <v>3444.5350083592925</v>
      </c>
      <c r="I141" s="19">
        <v>0</v>
      </c>
      <c r="J141" s="19">
        <v>0</v>
      </c>
      <c r="K141" s="19">
        <v>13810.256815192421</v>
      </c>
      <c r="L141" s="19">
        <v>8030.6643380343912</v>
      </c>
    </row>
    <row r="142" spans="2:12" x14ac:dyDescent="0.25">
      <c r="B142" s="22" t="s">
        <v>84</v>
      </c>
      <c r="C142" s="19">
        <v>20166.079030108805</v>
      </c>
      <c r="D142" s="19">
        <v>11751.64587678679</v>
      </c>
      <c r="E142" s="19">
        <v>53122.684290466117</v>
      </c>
      <c r="F142" s="19">
        <v>39842.012999999999</v>
      </c>
      <c r="G142" s="19">
        <v>5916.7506585043675</v>
      </c>
      <c r="H142" s="19">
        <v>3444.5350083592925</v>
      </c>
      <c r="I142" s="19">
        <v>0</v>
      </c>
      <c r="J142" s="19">
        <v>0</v>
      </c>
      <c r="K142" s="19">
        <v>1745.6362426669534</v>
      </c>
      <c r="L142" s="19">
        <v>1015.0874751108335</v>
      </c>
    </row>
    <row r="143" spans="2:12" x14ac:dyDescent="0.25">
      <c r="B143" s="22" t="s">
        <v>85</v>
      </c>
      <c r="C143" s="19">
        <v>222329.95736253838</v>
      </c>
      <c r="D143" s="19">
        <v>129561.27578517971</v>
      </c>
      <c r="E143" s="19">
        <v>835750.59121268301</v>
      </c>
      <c r="F143" s="19">
        <v>635986.07299999997</v>
      </c>
      <c r="G143" s="19">
        <v>15434.999999999998</v>
      </c>
      <c r="H143" s="19">
        <v>8985.7424999999985</v>
      </c>
      <c r="I143" s="19">
        <v>0</v>
      </c>
      <c r="J143" s="19">
        <v>0</v>
      </c>
      <c r="K143" s="19">
        <v>20884.713993247293</v>
      </c>
      <c r="L143" s="19">
        <v>12144.461187073299</v>
      </c>
    </row>
    <row r="144" spans="2:12" x14ac:dyDescent="0.25">
      <c r="B144" s="22" t="s">
        <v>92</v>
      </c>
      <c r="C144" s="19">
        <v>109487.32028773442</v>
      </c>
      <c r="D144" s="19">
        <v>63802.993528347404</v>
      </c>
      <c r="E144" s="19">
        <v>278817.95200531837</v>
      </c>
      <c r="F144" s="19">
        <v>211890.50200000004</v>
      </c>
      <c r="G144" s="19">
        <v>5916.7506585043675</v>
      </c>
      <c r="H144" s="19">
        <v>3444.5350083592925</v>
      </c>
      <c r="I144" s="19">
        <v>11415.625887323898</v>
      </c>
      <c r="J144" s="19">
        <v>11415.625887323898</v>
      </c>
      <c r="K144" s="19">
        <v>8820.6165220532712</v>
      </c>
      <c r="L144" s="19">
        <v>5129.1885075739774</v>
      </c>
    </row>
    <row r="145" spans="2:12" x14ac:dyDescent="0.25">
      <c r="B145" s="22" t="s">
        <v>93</v>
      </c>
      <c r="C145" s="19">
        <v>152006.37265269537</v>
      </c>
      <c r="D145" s="19">
        <v>88580.683422013011</v>
      </c>
      <c r="E145" s="19">
        <v>461688.42748108041</v>
      </c>
      <c r="F145" s="19">
        <v>346266.32025000005</v>
      </c>
      <c r="G145" s="19">
        <v>5916.7506585043675</v>
      </c>
      <c r="H145" s="19">
        <v>3444.5350083592925</v>
      </c>
      <c r="I145" s="19">
        <v>0</v>
      </c>
      <c r="J145" s="19">
        <v>0</v>
      </c>
      <c r="K145" s="19">
        <v>13522.418482223813</v>
      </c>
      <c r="L145" s="19">
        <v>7863.2863474131473</v>
      </c>
    </row>
    <row r="146" spans="2:12" x14ac:dyDescent="0.25">
      <c r="B146" s="22" t="s">
        <v>94</v>
      </c>
      <c r="C146" s="19">
        <v>91180.433863948681</v>
      </c>
      <c r="D146" s="19">
        <v>53134.77984793565</v>
      </c>
      <c r="E146" s="19">
        <v>288839.4391710115</v>
      </c>
      <c r="F146" s="19">
        <v>217017.97349999999</v>
      </c>
      <c r="G146" s="19">
        <v>5916.7506585043675</v>
      </c>
      <c r="H146" s="19">
        <v>3444.5350083592925</v>
      </c>
      <c r="I146" s="19">
        <v>0</v>
      </c>
      <c r="J146" s="19">
        <v>0</v>
      </c>
      <c r="K146" s="19">
        <v>8218.7198248512559</v>
      </c>
      <c r="L146" s="19">
        <v>4779.1855781510058</v>
      </c>
    </row>
    <row r="147" spans="2:12" x14ac:dyDescent="0.25">
      <c r="B147" s="22" t="s">
        <v>95</v>
      </c>
      <c r="C147" s="19">
        <v>141677.84986056553</v>
      </c>
      <c r="D147" s="19">
        <v>82561.806767696151</v>
      </c>
      <c r="E147" s="19">
        <v>469378.82568842318</v>
      </c>
      <c r="F147" s="19">
        <v>381152.31297999999</v>
      </c>
      <c r="G147" s="19">
        <v>11061.752304765296</v>
      </c>
      <c r="H147" s="19">
        <v>6439.7834667575298</v>
      </c>
      <c r="I147" s="19">
        <v>0</v>
      </c>
      <c r="J147" s="19">
        <v>0</v>
      </c>
      <c r="K147" s="19">
        <v>18047.887837086982</v>
      </c>
      <c r="L147" s="19">
        <v>10494.846777266079</v>
      </c>
    </row>
    <row r="148" spans="2:12" x14ac:dyDescent="0.25">
      <c r="B148" s="22" t="s">
        <v>100</v>
      </c>
      <c r="C148" s="19">
        <v>111973.87321931853</v>
      </c>
      <c r="D148" s="19">
        <v>65252.015702258766</v>
      </c>
      <c r="E148" s="19">
        <v>348894.65525883232</v>
      </c>
      <c r="F148" s="19">
        <v>264797.4913688323</v>
      </c>
      <c r="G148" s="19">
        <v>5916.7506585043675</v>
      </c>
      <c r="H148" s="19">
        <v>3444.5350083592925</v>
      </c>
      <c r="I148" s="19">
        <v>0</v>
      </c>
      <c r="J148" s="19">
        <v>0</v>
      </c>
      <c r="K148" s="19">
        <v>7417.3035764385495</v>
      </c>
      <c r="L148" s="19">
        <v>4313.1620296990177</v>
      </c>
    </row>
    <row r="149" spans="2:12" x14ac:dyDescent="0.25">
      <c r="B149" s="22" t="s">
        <v>101</v>
      </c>
      <c r="C149" s="19">
        <v>32468.86942310329</v>
      </c>
      <c r="D149" s="19">
        <v>18921.013594673073</v>
      </c>
      <c r="E149" s="19">
        <v>163755.52113893532</v>
      </c>
      <c r="F149" s="19">
        <v>124251.84000000001</v>
      </c>
      <c r="G149" s="19">
        <v>5916.7506585043675</v>
      </c>
      <c r="H149" s="19">
        <v>3444.5350083592925</v>
      </c>
      <c r="I149" s="19">
        <v>0</v>
      </c>
      <c r="J149" s="19">
        <v>0</v>
      </c>
      <c r="K149" s="19">
        <v>3142.7281783098092</v>
      </c>
      <c r="L149" s="19">
        <v>1827.4964356871542</v>
      </c>
    </row>
    <row r="150" spans="2:12" x14ac:dyDescent="0.25">
      <c r="B150" s="22" t="s">
        <v>102</v>
      </c>
      <c r="C150" s="19">
        <v>34638.863897797019</v>
      </c>
      <c r="D150" s="19">
        <v>20185.563167404129</v>
      </c>
      <c r="E150" s="19">
        <v>189561.34915439266</v>
      </c>
      <c r="F150" s="19">
        <v>149689.34700000001</v>
      </c>
      <c r="G150" s="19">
        <v>1972.2485732405321</v>
      </c>
      <c r="H150" s="19">
        <v>1148.1773777215294</v>
      </c>
      <c r="I150" s="19">
        <v>0</v>
      </c>
      <c r="J150" s="19">
        <v>0</v>
      </c>
      <c r="K150" s="19">
        <v>3882.7721895227387</v>
      </c>
      <c r="L150" s="19">
        <v>2257.8320282074724</v>
      </c>
    </row>
    <row r="151" spans="2:12" x14ac:dyDescent="0.25">
      <c r="B151" s="22" t="s">
        <v>103</v>
      </c>
      <c r="C151" s="19">
        <v>60386.895803382838</v>
      </c>
      <c r="D151" s="19">
        <v>35190.054250022869</v>
      </c>
      <c r="E151" s="19">
        <v>306931.61537363438</v>
      </c>
      <c r="F151" s="19">
        <v>237888.17700000005</v>
      </c>
      <c r="G151" s="19">
        <v>5916.7506585043675</v>
      </c>
      <c r="H151" s="19">
        <v>3444.5350083592925</v>
      </c>
      <c r="I151" s="19">
        <v>0</v>
      </c>
      <c r="J151" s="19">
        <v>0</v>
      </c>
      <c r="K151" s="19">
        <v>7207.2318363225813</v>
      </c>
      <c r="L151" s="19">
        <v>4191.0053128215814</v>
      </c>
    </row>
    <row r="152" spans="2:12" x14ac:dyDescent="0.25">
      <c r="B152" s="22" t="s">
        <v>104</v>
      </c>
      <c r="C152" s="19">
        <v>67220.367834833174</v>
      </c>
      <c r="D152" s="19">
        <v>39172.213761677704</v>
      </c>
      <c r="E152" s="19">
        <v>302656.49711219681</v>
      </c>
      <c r="F152" s="19">
        <v>228306.497</v>
      </c>
      <c r="G152" s="19">
        <v>5916.7506585043675</v>
      </c>
      <c r="H152" s="19">
        <v>3444.5350083592925</v>
      </c>
      <c r="I152" s="19">
        <v>0</v>
      </c>
      <c r="J152" s="19">
        <v>0</v>
      </c>
      <c r="K152" s="19">
        <v>8018.068306105637</v>
      </c>
      <c r="L152" s="19">
        <v>4662.5067200004278</v>
      </c>
    </row>
    <row r="153" spans="2:12" x14ac:dyDescent="0.25">
      <c r="B153" s="22" t="s">
        <v>105</v>
      </c>
      <c r="C153" s="19">
        <v>62075.515578402061</v>
      </c>
      <c r="D153" s="19">
        <v>36174.085979093114</v>
      </c>
      <c r="E153" s="19">
        <v>213169.3213627199</v>
      </c>
      <c r="F153" s="19">
        <v>171924.72957</v>
      </c>
      <c r="G153" s="19">
        <v>5916.7506585043675</v>
      </c>
      <c r="H153" s="19">
        <v>3444.5350083592925</v>
      </c>
      <c r="I153" s="19">
        <v>0</v>
      </c>
      <c r="J153" s="19">
        <v>0</v>
      </c>
      <c r="K153" s="19">
        <v>5267.6434679714575</v>
      </c>
      <c r="L153" s="19">
        <v>3063.1346766254023</v>
      </c>
    </row>
    <row r="154" spans="2:12" x14ac:dyDescent="0.25">
      <c r="B154" s="22" t="s">
        <v>106</v>
      </c>
      <c r="C154" s="19">
        <v>99097.767770379316</v>
      </c>
      <c r="D154" s="19">
        <v>57748.55252123197</v>
      </c>
      <c r="E154" s="19">
        <v>339025.83666059416</v>
      </c>
      <c r="F154" s="19">
        <v>264051.39175000007</v>
      </c>
      <c r="G154" s="19">
        <v>5916.7506585043675</v>
      </c>
      <c r="H154" s="19">
        <v>3444.5350083592925</v>
      </c>
      <c r="I154" s="19">
        <v>0</v>
      </c>
      <c r="J154" s="19">
        <v>0</v>
      </c>
      <c r="K154" s="19">
        <v>8413.0854776615852</v>
      </c>
      <c r="L154" s="19">
        <v>4892.209205260212</v>
      </c>
    </row>
    <row r="155" spans="2:12" x14ac:dyDescent="0.25">
      <c r="B155" s="22" t="s">
        <v>107</v>
      </c>
      <c r="C155" s="19">
        <v>55575.110116710326</v>
      </c>
      <c r="D155" s="19">
        <v>38386.018753566648</v>
      </c>
      <c r="E155" s="19">
        <v>186557.30711479989</v>
      </c>
      <c r="F155" s="19">
        <v>140182.30699999997</v>
      </c>
      <c r="G155" s="19">
        <v>5916.7506585043675</v>
      </c>
      <c r="H155" s="19">
        <v>3444.5350083592925</v>
      </c>
      <c r="I155" s="19">
        <v>0</v>
      </c>
      <c r="J155" s="19">
        <v>0</v>
      </c>
      <c r="K155" s="19">
        <v>4883.7861306784707</v>
      </c>
      <c r="L155" s="19">
        <v>2839.9216349895314</v>
      </c>
    </row>
    <row r="156" spans="2:12" x14ac:dyDescent="0.25">
      <c r="B156" s="22" t="s">
        <v>109</v>
      </c>
      <c r="C156" s="19">
        <v>71398.492503422807</v>
      </c>
      <c r="D156" s="19">
        <v>41606.987594559367</v>
      </c>
      <c r="E156" s="19">
        <v>228521.0595416447</v>
      </c>
      <c r="F156" s="19">
        <v>174648.38300000003</v>
      </c>
      <c r="G156" s="19">
        <v>1972.2485732405321</v>
      </c>
      <c r="H156" s="19">
        <v>1148.1773777215294</v>
      </c>
      <c r="I156" s="19">
        <v>0</v>
      </c>
      <c r="J156" s="19">
        <v>0</v>
      </c>
      <c r="K156" s="19">
        <v>5256.6022323720726</v>
      </c>
      <c r="L156" s="19">
        <v>3056.7141981243603</v>
      </c>
    </row>
    <row r="157" spans="2:12" x14ac:dyDescent="0.25">
      <c r="B157" s="22" t="s">
        <v>110</v>
      </c>
      <c r="C157" s="19">
        <v>46349.476306807599</v>
      </c>
      <c r="D157" s="19">
        <v>27009.843178680814</v>
      </c>
      <c r="E157" s="19">
        <v>193821.41792563579</v>
      </c>
      <c r="F157" s="19">
        <v>145739.07621999996</v>
      </c>
      <c r="G157" s="19">
        <v>5916.7506585043675</v>
      </c>
      <c r="H157" s="19">
        <v>3444.5350083592925</v>
      </c>
      <c r="I157" s="19">
        <v>0</v>
      </c>
      <c r="J157" s="19">
        <v>0</v>
      </c>
      <c r="K157" s="19">
        <v>7583.0365232253043</v>
      </c>
      <c r="L157" s="19">
        <v>4409.5357382555148</v>
      </c>
    </row>
    <row r="158" spans="2:12" x14ac:dyDescent="0.25">
      <c r="B158" s="22" t="s">
        <v>111</v>
      </c>
      <c r="C158" s="19">
        <v>80331.70546370701</v>
      </c>
      <c r="D158" s="19">
        <v>46812.756901247252</v>
      </c>
      <c r="E158" s="19">
        <v>264650.89071621688</v>
      </c>
      <c r="F158" s="19">
        <v>199947.99971621687</v>
      </c>
      <c r="G158" s="19">
        <v>5916.7506585043675</v>
      </c>
      <c r="H158" s="19">
        <v>3444.5350083592925</v>
      </c>
      <c r="I158" s="19">
        <v>11415.625887323946</v>
      </c>
      <c r="J158" s="19">
        <v>11415.625887323946</v>
      </c>
      <c r="K158" s="19">
        <v>6194.6350501373636</v>
      </c>
      <c r="L158" s="19">
        <v>3602.1802816548766</v>
      </c>
    </row>
    <row r="159" spans="2:12" x14ac:dyDescent="0.25">
      <c r="B159" s="22" t="s">
        <v>112</v>
      </c>
      <c r="C159" s="19">
        <v>110036.56740975825</v>
      </c>
      <c r="D159" s="19">
        <v>84123.063872059036</v>
      </c>
      <c r="E159" s="19">
        <v>396960.65314306639</v>
      </c>
      <c r="F159" s="19">
        <v>298656.92200000002</v>
      </c>
      <c r="G159" s="19">
        <v>5916.7309033732818</v>
      </c>
      <c r="H159" s="19">
        <v>3444.5235075804785</v>
      </c>
      <c r="I159" s="19">
        <v>0</v>
      </c>
      <c r="J159" s="19">
        <v>0</v>
      </c>
      <c r="K159" s="19">
        <v>7518.6649976902663</v>
      </c>
      <c r="L159" s="19">
        <v>4372.1036961568898</v>
      </c>
    </row>
    <row r="160" spans="2:12" x14ac:dyDescent="0.25">
      <c r="B160" s="22" t="s">
        <v>113</v>
      </c>
      <c r="C160" s="19">
        <v>116736.56932291105</v>
      </c>
      <c r="D160" s="19">
        <v>88027.444576885653</v>
      </c>
      <c r="E160" s="19">
        <v>396616.9172264954</v>
      </c>
      <c r="F160" s="19">
        <v>315907.72399999999</v>
      </c>
      <c r="G160" s="19">
        <v>11061.752304765296</v>
      </c>
      <c r="H160" s="19">
        <v>6439.7834667575298</v>
      </c>
      <c r="I160" s="19">
        <v>0</v>
      </c>
      <c r="J160" s="19">
        <v>0</v>
      </c>
      <c r="K160" s="19">
        <v>8925.8657443187094</v>
      </c>
      <c r="L160" s="19">
        <v>5190.3909303213295</v>
      </c>
    </row>
    <row r="161" spans="2:12" x14ac:dyDescent="0.25">
      <c r="B161" s="16" t="s">
        <v>119</v>
      </c>
      <c r="C161" s="25">
        <v>2869506.9790128237</v>
      </c>
      <c r="D161" s="25">
        <v>1717072.2207643595</v>
      </c>
      <c r="E161" s="25">
        <v>8797550.2339999974</v>
      </c>
      <c r="F161" s="25">
        <v>6703626.9399375496</v>
      </c>
      <c r="G161" s="25">
        <v>173643.74999999991</v>
      </c>
      <c r="H161" s="25">
        <v>101089.60312499999</v>
      </c>
      <c r="I161" s="25">
        <v>810509.4380000002</v>
      </c>
      <c r="J161" s="25">
        <v>790604.18006746366</v>
      </c>
      <c r="K161" s="25">
        <v>231525.00000000006</v>
      </c>
      <c r="L161" s="25">
        <v>134631.78750000006</v>
      </c>
    </row>
    <row r="163" spans="2:12" x14ac:dyDescent="0.25">
      <c r="B163" s="2"/>
      <c r="C163" s="27" t="s">
        <v>137</v>
      </c>
      <c r="D163" s="27"/>
      <c r="E163" s="27"/>
      <c r="F163" s="27"/>
      <c r="G163" s="27"/>
      <c r="H163" s="27"/>
      <c r="I163" s="27"/>
      <c r="J163" s="27"/>
      <c r="K163" s="27"/>
      <c r="L163" s="27"/>
    </row>
    <row r="164" spans="2:12" x14ac:dyDescent="0.25">
      <c r="B164" s="33" t="s">
        <v>136</v>
      </c>
      <c r="C164" s="33" t="s">
        <v>48</v>
      </c>
      <c r="D164" s="33"/>
      <c r="E164" s="33" t="s">
        <v>53</v>
      </c>
      <c r="F164" s="33"/>
      <c r="G164" s="33" t="s">
        <v>74</v>
      </c>
      <c r="H164" s="33"/>
      <c r="I164" s="33" t="s">
        <v>50</v>
      </c>
      <c r="J164" s="33"/>
      <c r="K164" s="33" t="s">
        <v>135</v>
      </c>
      <c r="L164" s="33"/>
    </row>
    <row r="165" spans="2:12" ht="48.75" x14ac:dyDescent="0.25">
      <c r="B165" s="33"/>
      <c r="C165" s="17" t="s">
        <v>124</v>
      </c>
      <c r="D165" s="17" t="s">
        <v>125</v>
      </c>
      <c r="E165" s="17" t="s">
        <v>124</v>
      </c>
      <c r="F165" s="17" t="s">
        <v>125</v>
      </c>
      <c r="G165" s="17" t="s">
        <v>124</v>
      </c>
      <c r="H165" s="17" t="s">
        <v>125</v>
      </c>
      <c r="I165" s="17" t="s">
        <v>124</v>
      </c>
      <c r="J165" s="17" t="s">
        <v>125</v>
      </c>
      <c r="K165" s="17" t="s">
        <v>124</v>
      </c>
      <c r="L165" s="17" t="s">
        <v>125</v>
      </c>
    </row>
    <row r="166" spans="2:12" x14ac:dyDescent="0.25">
      <c r="B166" s="22" t="s">
        <v>32</v>
      </c>
      <c r="C166" s="19">
        <v>5940.9055772700904</v>
      </c>
      <c r="D166" s="19">
        <v>3454.636593182558</v>
      </c>
      <c r="E166" s="19">
        <v>0</v>
      </c>
      <c r="F166" s="19">
        <v>0</v>
      </c>
      <c r="G166" s="19">
        <v>0</v>
      </c>
      <c r="H166" s="19">
        <v>0</v>
      </c>
      <c r="I166" s="19">
        <v>6237.9508561335942</v>
      </c>
      <c r="J166" s="19">
        <v>3627.3684228416855</v>
      </c>
      <c r="K166" s="19">
        <v>1454228.3005308979</v>
      </c>
      <c r="L166" s="19">
        <v>774944.27305865206</v>
      </c>
    </row>
    <row r="167" spans="2:12" x14ac:dyDescent="0.25">
      <c r="B167" s="22" t="s">
        <v>51</v>
      </c>
      <c r="C167" s="19">
        <v>6024.5280438208511</v>
      </c>
      <c r="D167" s="19">
        <v>3503.2630574818245</v>
      </c>
      <c r="E167" s="19">
        <v>0</v>
      </c>
      <c r="F167" s="19">
        <v>0</v>
      </c>
      <c r="G167" s="19">
        <v>0</v>
      </c>
      <c r="H167" s="19">
        <v>0</v>
      </c>
      <c r="I167" s="19">
        <v>6325.7544460118925</v>
      </c>
      <c r="J167" s="19">
        <v>3678.4262103559163</v>
      </c>
      <c r="K167" s="19">
        <v>1301001.9053611024</v>
      </c>
      <c r="L167" s="19">
        <v>628211.59863837017</v>
      </c>
    </row>
    <row r="168" spans="2:12" x14ac:dyDescent="0.25">
      <c r="B168" s="22" t="s">
        <v>52</v>
      </c>
      <c r="C168" s="19">
        <v>5028.6617284917147</v>
      </c>
      <c r="D168" s="19">
        <v>2924.1667951179325</v>
      </c>
      <c r="E168" s="19">
        <v>8803.8097835806529</v>
      </c>
      <c r="F168" s="19">
        <v>5119.4153891521501</v>
      </c>
      <c r="G168" s="19">
        <v>0</v>
      </c>
      <c r="H168" s="19">
        <v>0</v>
      </c>
      <c r="I168" s="19">
        <v>5280.0948149162996</v>
      </c>
      <c r="J168" s="19">
        <v>3070.3751348738278</v>
      </c>
      <c r="K168" s="19">
        <v>916833.1132321473</v>
      </c>
      <c r="L168" s="19">
        <v>378434.20280463243</v>
      </c>
    </row>
    <row r="169" spans="2:12" x14ac:dyDescent="0.25">
      <c r="B169" s="22" t="s">
        <v>54</v>
      </c>
      <c r="C169" s="19">
        <v>3033.9889838319241</v>
      </c>
      <c r="D169" s="19">
        <v>1764.2645940982638</v>
      </c>
      <c r="E169" s="19">
        <v>0</v>
      </c>
      <c r="F169" s="19">
        <v>0</v>
      </c>
      <c r="G169" s="19">
        <v>0</v>
      </c>
      <c r="H169" s="19">
        <v>0</v>
      </c>
      <c r="I169" s="19">
        <v>3185.6884330235198</v>
      </c>
      <c r="J169" s="19">
        <v>1852.4778238031765</v>
      </c>
      <c r="K169" s="19">
        <v>825392.7052971517</v>
      </c>
      <c r="L169" s="19">
        <v>279645.34963354259</v>
      </c>
    </row>
    <row r="170" spans="2:12" x14ac:dyDescent="0.25">
      <c r="B170" s="22" t="s">
        <v>55</v>
      </c>
      <c r="C170" s="19">
        <v>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53886.18074865784</v>
      </c>
      <c r="L170" s="19">
        <v>41478.675448078422</v>
      </c>
    </row>
    <row r="171" spans="2:12" x14ac:dyDescent="0.25">
      <c r="B171" s="22" t="s">
        <v>56</v>
      </c>
      <c r="C171" s="19">
        <v>0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57317.240769183409</v>
      </c>
      <c r="L171" s="19">
        <v>42986.094090504826</v>
      </c>
    </row>
    <row r="172" spans="2:12" x14ac:dyDescent="0.25">
      <c r="B172" s="22" t="s">
        <v>57</v>
      </c>
      <c r="C172" s="19">
        <v>0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57274.660047695535</v>
      </c>
      <c r="L172" s="19">
        <v>43504.274671001353</v>
      </c>
    </row>
    <row r="173" spans="2:12" x14ac:dyDescent="0.25">
      <c r="B173" s="22" t="s">
        <v>58</v>
      </c>
      <c r="C173" s="19">
        <v>4559.548771986505</v>
      </c>
      <c r="D173" s="19">
        <v>2651.3776109101532</v>
      </c>
      <c r="E173" s="19">
        <v>3286.0149262045384</v>
      </c>
      <c r="F173" s="19">
        <v>1910.817679587939</v>
      </c>
      <c r="G173" s="19">
        <v>4202.403775645621</v>
      </c>
      <c r="H173" s="19">
        <v>2443.6977955379289</v>
      </c>
      <c r="I173" s="19">
        <v>4787.5262105858292</v>
      </c>
      <c r="J173" s="19">
        <v>2783.9464914556597</v>
      </c>
      <c r="K173" s="19">
        <v>1060926.290442365</v>
      </c>
      <c r="L173" s="19">
        <v>857527.43576696108</v>
      </c>
    </row>
    <row r="174" spans="2:12" x14ac:dyDescent="0.25">
      <c r="B174" s="22" t="s">
        <v>76</v>
      </c>
      <c r="C174" s="19">
        <v>4165.543827643718</v>
      </c>
      <c r="D174" s="19">
        <v>2422.2637357748222</v>
      </c>
      <c r="E174" s="19">
        <v>11289.478913313576</v>
      </c>
      <c r="F174" s="19">
        <v>6564.8319880918452</v>
      </c>
      <c r="G174" s="19">
        <v>8225.7945896920064</v>
      </c>
      <c r="H174" s="19">
        <v>4783.2995539059011</v>
      </c>
      <c r="I174" s="19">
        <v>4373.8210190259033</v>
      </c>
      <c r="J174" s="19">
        <v>2543.3769225635619</v>
      </c>
      <c r="K174" s="19">
        <v>1522469.9514455134</v>
      </c>
      <c r="L174" s="19">
        <v>1194084.3133819858</v>
      </c>
    </row>
    <row r="175" spans="2:12" x14ac:dyDescent="0.25">
      <c r="B175" s="22" t="s">
        <v>77</v>
      </c>
      <c r="C175" s="19">
        <v>5596.4425737779338</v>
      </c>
      <c r="D175" s="19">
        <v>3254.3313566518686</v>
      </c>
      <c r="E175" s="19">
        <v>3286.0149262045384</v>
      </c>
      <c r="F175" s="19">
        <v>1910.817679587939</v>
      </c>
      <c r="G175" s="19">
        <v>8131.7948812461273</v>
      </c>
      <c r="H175" s="19">
        <v>4728.6387234446229</v>
      </c>
      <c r="I175" s="19">
        <v>5876.2647024668286</v>
      </c>
      <c r="J175" s="19">
        <v>3417.0479244844614</v>
      </c>
      <c r="K175" s="19">
        <v>1300563.3686450601</v>
      </c>
      <c r="L175" s="19">
        <v>1058707.912847857</v>
      </c>
    </row>
    <row r="176" spans="2:12" x14ac:dyDescent="0.25">
      <c r="B176" s="22" t="s">
        <v>78</v>
      </c>
      <c r="C176" s="19">
        <v>4165.6311852441413</v>
      </c>
      <c r="D176" s="19">
        <v>2422.314534219468</v>
      </c>
      <c r="E176" s="19">
        <v>3286.0149262045375</v>
      </c>
      <c r="F176" s="19">
        <v>1910.8176795879383</v>
      </c>
      <c r="G176" s="19">
        <v>7578.4001857873645</v>
      </c>
      <c r="H176" s="19">
        <v>4406.8397080353516</v>
      </c>
      <c r="I176" s="19">
        <v>4373.9127445063477</v>
      </c>
      <c r="J176" s="19">
        <v>2543.4302609304409</v>
      </c>
      <c r="K176" s="19">
        <v>953775.1214887792</v>
      </c>
      <c r="L176" s="19">
        <v>773174.02433115535</v>
      </c>
    </row>
    <row r="177" spans="2:12" x14ac:dyDescent="0.25">
      <c r="B177" s="22" t="s">
        <v>79</v>
      </c>
      <c r="C177" s="19">
        <v>4231.8406519311584</v>
      </c>
      <c r="D177" s="19">
        <v>2460.8153390979687</v>
      </c>
      <c r="E177" s="19">
        <v>3286.0149262045384</v>
      </c>
      <c r="F177" s="19">
        <v>1910.817679587939</v>
      </c>
      <c r="G177" s="19">
        <v>10364.270630765583</v>
      </c>
      <c r="H177" s="19">
        <v>6026.8233717901867</v>
      </c>
      <c r="I177" s="19">
        <v>4443.4326845277155</v>
      </c>
      <c r="J177" s="19">
        <v>2583.8561060528668</v>
      </c>
      <c r="K177" s="19">
        <v>956853.15023440111</v>
      </c>
      <c r="L177" s="19">
        <v>789253.38654213748</v>
      </c>
    </row>
    <row r="178" spans="2:12" x14ac:dyDescent="0.25">
      <c r="B178" s="22" t="s">
        <v>80</v>
      </c>
      <c r="C178" s="19">
        <v>6371.8237532031826</v>
      </c>
      <c r="D178" s="19">
        <v>3705.2155124876504</v>
      </c>
      <c r="E178" s="19">
        <v>3286.0149262045384</v>
      </c>
      <c r="F178" s="19">
        <v>1910.817679587939</v>
      </c>
      <c r="G178" s="19">
        <v>5940.3010640891325</v>
      </c>
      <c r="H178" s="19">
        <v>3454.2850687678301</v>
      </c>
      <c r="I178" s="19">
        <v>6690.4149408633402</v>
      </c>
      <c r="J178" s="19">
        <v>3890.4762881120319</v>
      </c>
      <c r="K178" s="19">
        <v>1640759.2561298942</v>
      </c>
      <c r="L178" s="19">
        <v>1352861.2177563335</v>
      </c>
    </row>
    <row r="179" spans="2:12" x14ac:dyDescent="0.25">
      <c r="B179" s="22" t="s">
        <v>81</v>
      </c>
      <c r="C179" s="19">
        <v>5917.6013300194791</v>
      </c>
      <c r="D179" s="19">
        <v>3441.0851734063267</v>
      </c>
      <c r="E179" s="19">
        <v>3286.0149262045384</v>
      </c>
      <c r="F179" s="19">
        <v>1910.817679587939</v>
      </c>
      <c r="G179" s="19">
        <v>4455.2257980668337</v>
      </c>
      <c r="H179" s="19">
        <v>2590.7138015758642</v>
      </c>
      <c r="I179" s="19">
        <v>6213.4813965204503</v>
      </c>
      <c r="J179" s="19">
        <v>3613.1394320766422</v>
      </c>
      <c r="K179" s="19">
        <v>1463607.9219297809</v>
      </c>
      <c r="L179" s="19">
        <v>1213305.6299906799</v>
      </c>
    </row>
    <row r="180" spans="2:12" x14ac:dyDescent="0.25">
      <c r="B180" s="22" t="s">
        <v>82</v>
      </c>
      <c r="C180" s="19">
        <v>4524.9666985654949</v>
      </c>
      <c r="D180" s="19">
        <v>2631.2681352158347</v>
      </c>
      <c r="E180" s="19">
        <v>3286.0149262045384</v>
      </c>
      <c r="F180" s="19">
        <v>1910.817679587939</v>
      </c>
      <c r="G180" s="19">
        <v>9633.2952622118755</v>
      </c>
      <c r="H180" s="19">
        <v>5601.7611949762058</v>
      </c>
      <c r="I180" s="19">
        <v>4751.2150334937705</v>
      </c>
      <c r="J180" s="19">
        <v>2762.8315419766268</v>
      </c>
      <c r="K180" s="19">
        <v>1053282.5366781908</v>
      </c>
      <c r="L180" s="19">
        <v>865769.37299399427</v>
      </c>
    </row>
    <row r="181" spans="2:12" x14ac:dyDescent="0.25">
      <c r="B181" s="22" t="s">
        <v>83</v>
      </c>
      <c r="C181" s="19">
        <v>6670.3994196915137</v>
      </c>
      <c r="D181" s="19">
        <v>3878.8372625506149</v>
      </c>
      <c r="E181" s="19">
        <v>9688.7861158917694</v>
      </c>
      <c r="F181" s="19">
        <v>5634.0291263910631</v>
      </c>
      <c r="G181" s="19">
        <v>4455.2257980668337</v>
      </c>
      <c r="H181" s="19">
        <v>2590.7138015758642</v>
      </c>
      <c r="I181" s="19">
        <v>7003.9193906760884</v>
      </c>
      <c r="J181" s="19">
        <v>4072.7791256781461</v>
      </c>
      <c r="K181" s="19">
        <v>1777349.3344249579</v>
      </c>
      <c r="L181" s="19">
        <v>1473076.5973973386</v>
      </c>
    </row>
    <row r="182" spans="2:12" x14ac:dyDescent="0.25">
      <c r="B182" s="22" t="s">
        <v>84</v>
      </c>
      <c r="C182" s="19">
        <v>2639.3736392840342</v>
      </c>
      <c r="D182" s="19">
        <v>1534.7957712436657</v>
      </c>
      <c r="E182" s="19">
        <v>3286.0149262045384</v>
      </c>
      <c r="F182" s="19">
        <v>1910.817679587939</v>
      </c>
      <c r="G182" s="19">
        <v>4158.256947717352</v>
      </c>
      <c r="H182" s="19">
        <v>2418.0264150976404</v>
      </c>
      <c r="I182" s="19">
        <v>2771.3423212482357</v>
      </c>
      <c r="J182" s="19">
        <v>1611.5355598058491</v>
      </c>
      <c r="K182" s="19">
        <v>273434.65751545853</v>
      </c>
      <c r="L182" s="19">
        <v>199200.03542546974</v>
      </c>
    </row>
    <row r="183" spans="2:12" x14ac:dyDescent="0.25">
      <c r="B183" s="22" t="s">
        <v>85</v>
      </c>
      <c r="C183" s="19">
        <v>9338.8366363622172</v>
      </c>
      <c r="D183" s="19">
        <v>5430.5335040446298</v>
      </c>
      <c r="E183" s="19">
        <v>3286.0149262045384</v>
      </c>
      <c r="F183" s="19">
        <v>1910.817679587939</v>
      </c>
      <c r="G183" s="19">
        <v>21863.214075425825</v>
      </c>
      <c r="H183" s="19">
        <v>12713.458984860121</v>
      </c>
      <c r="I183" s="19">
        <v>9805.7784681803259</v>
      </c>
      <c r="J183" s="19">
        <v>5702.0601792468597</v>
      </c>
      <c r="K183" s="19">
        <v>3197642.1034137355</v>
      </c>
      <c r="L183" s="19">
        <v>2656943.8871289985</v>
      </c>
    </row>
    <row r="184" spans="2:12" x14ac:dyDescent="0.25">
      <c r="B184" s="22" t="s">
        <v>92</v>
      </c>
      <c r="C184" s="19">
        <v>6256.5854502259963</v>
      </c>
      <c r="D184" s="19">
        <v>3638.2044393064161</v>
      </c>
      <c r="E184" s="19">
        <v>3286.0149262045384</v>
      </c>
      <c r="F184" s="19">
        <v>1910.817679587939</v>
      </c>
      <c r="G184" s="19">
        <v>8326.840233521556</v>
      </c>
      <c r="H184" s="19">
        <v>4842.0575957927849</v>
      </c>
      <c r="I184" s="19">
        <v>6569.414722737296</v>
      </c>
      <c r="J184" s="19">
        <v>3820.114661271738</v>
      </c>
      <c r="K184" s="19">
        <v>1342317.217717912</v>
      </c>
      <c r="L184" s="19">
        <v>1097426.8303984583</v>
      </c>
    </row>
    <row r="185" spans="2:12" x14ac:dyDescent="0.25">
      <c r="B185" s="22" t="s">
        <v>93</v>
      </c>
      <c r="C185" s="19">
        <v>7238.4922910656041</v>
      </c>
      <c r="D185" s="19">
        <v>4209.1832672546498</v>
      </c>
      <c r="E185" s="19">
        <v>9688.7861158917694</v>
      </c>
      <c r="F185" s="19">
        <v>5634.0291263910631</v>
      </c>
      <c r="G185" s="19">
        <v>7926.4924951663188</v>
      </c>
      <c r="H185" s="19">
        <v>4609.2553859392146</v>
      </c>
      <c r="I185" s="19">
        <v>7600.4169056188839</v>
      </c>
      <c r="J185" s="19">
        <v>4419.6424306173813</v>
      </c>
      <c r="K185" s="19">
        <v>2029413.1268003571</v>
      </c>
      <c r="L185" s="19">
        <v>1685824.6395305558</v>
      </c>
    </row>
    <row r="186" spans="2:12" x14ac:dyDescent="0.25">
      <c r="B186" s="22" t="s">
        <v>94</v>
      </c>
      <c r="C186" s="19">
        <v>5461.3027304711923</v>
      </c>
      <c r="D186" s="19">
        <v>3175.747537768998</v>
      </c>
      <c r="E186" s="19">
        <v>9688.7861158917694</v>
      </c>
      <c r="F186" s="19">
        <v>5634.0291263910631</v>
      </c>
      <c r="G186" s="19">
        <v>5940.3010640891325</v>
      </c>
      <c r="H186" s="19">
        <v>3454.2850687678301</v>
      </c>
      <c r="I186" s="19">
        <v>5734.3678669947503</v>
      </c>
      <c r="J186" s="19">
        <v>3334.5349146574476</v>
      </c>
      <c r="K186" s="19">
        <v>1290362.4519510525</v>
      </c>
      <c r="L186" s="19">
        <v>1060460.4485085686</v>
      </c>
    </row>
    <row r="187" spans="2:12" x14ac:dyDescent="0.25">
      <c r="B187" s="22" t="s">
        <v>95</v>
      </c>
      <c r="C187" s="19">
        <v>8060.7864190023538</v>
      </c>
      <c r="D187" s="19">
        <v>4687.3473026498696</v>
      </c>
      <c r="E187" s="19">
        <v>3286.0149262045384</v>
      </c>
      <c r="F187" s="19">
        <v>1910.817679587939</v>
      </c>
      <c r="G187" s="19">
        <v>8324.7842064751821</v>
      </c>
      <c r="H187" s="19">
        <v>4840.8620160653181</v>
      </c>
      <c r="I187" s="19">
        <v>8463.82573995247</v>
      </c>
      <c r="J187" s="19">
        <v>4921.7146677823612</v>
      </c>
      <c r="K187" s="19">
        <v>2350289.0282185962</v>
      </c>
      <c r="L187" s="19">
        <v>2026469.5946874742</v>
      </c>
    </row>
    <row r="188" spans="2:12" x14ac:dyDescent="0.25">
      <c r="B188" s="22" t="s">
        <v>100</v>
      </c>
      <c r="C188" s="19">
        <v>5559.2220792183825</v>
      </c>
      <c r="D188" s="19">
        <v>3232.6876390654902</v>
      </c>
      <c r="E188" s="19">
        <v>9688.7861158917694</v>
      </c>
      <c r="F188" s="19">
        <v>5634.0291263910631</v>
      </c>
      <c r="G188" s="19">
        <v>8254.8099826160542</v>
      </c>
      <c r="H188" s="19">
        <v>4800.1720048912357</v>
      </c>
      <c r="I188" s="19">
        <v>5837.1831831793015</v>
      </c>
      <c r="J188" s="19">
        <v>3394.3220210187633</v>
      </c>
      <c r="K188" s="19">
        <v>1516894.6331149442</v>
      </c>
      <c r="L188" s="19">
        <v>1250858.5981647677</v>
      </c>
    </row>
    <row r="189" spans="2:12" x14ac:dyDescent="0.25">
      <c r="B189" s="22" t="s">
        <v>101</v>
      </c>
      <c r="C189" s="19">
        <v>3194.7848504143922</v>
      </c>
      <c r="D189" s="19">
        <v>1857.7673905159686</v>
      </c>
      <c r="E189" s="19">
        <v>9688.7861158917694</v>
      </c>
      <c r="F189" s="19">
        <v>5634.0291263910631</v>
      </c>
      <c r="G189" s="19">
        <v>7986.6486123432842</v>
      </c>
      <c r="H189" s="19">
        <v>4644.2361680776194</v>
      </c>
      <c r="I189" s="19">
        <v>3354.5240929351107</v>
      </c>
      <c r="J189" s="19">
        <v>1950.6557600417666</v>
      </c>
      <c r="K189" s="19">
        <v>590172.26406737429</v>
      </c>
      <c r="L189" s="19">
        <v>453847.77829969896</v>
      </c>
    </row>
    <row r="190" spans="2:12" x14ac:dyDescent="0.25">
      <c r="B190" s="22" t="s">
        <v>102</v>
      </c>
      <c r="C190" s="19">
        <v>3379.3978345841824</v>
      </c>
      <c r="D190" s="19">
        <v>1965.119840810702</v>
      </c>
      <c r="E190" s="19">
        <v>3286.0149262045384</v>
      </c>
      <c r="F190" s="19">
        <v>1910.817679587939</v>
      </c>
      <c r="G190" s="19">
        <v>8099.799404176194</v>
      </c>
      <c r="H190" s="19">
        <v>4710.0333535284572</v>
      </c>
      <c r="I190" s="19">
        <v>3548.3677263133904</v>
      </c>
      <c r="J190" s="19">
        <v>2063.3758328512363</v>
      </c>
      <c r="K190" s="19">
        <v>662861.16724348126</v>
      </c>
      <c r="L190" s="19">
        <v>518879.39759820333</v>
      </c>
    </row>
    <row r="191" spans="2:12" x14ac:dyDescent="0.25">
      <c r="B191" s="22" t="s">
        <v>103</v>
      </c>
      <c r="C191" s="19">
        <v>4378.8881555991866</v>
      </c>
      <c r="D191" s="19">
        <v>2546.323462480927</v>
      </c>
      <c r="E191" s="19">
        <v>3286.0149262045384</v>
      </c>
      <c r="F191" s="19">
        <v>1910.817679587939</v>
      </c>
      <c r="G191" s="19">
        <v>8247.2096129727506</v>
      </c>
      <c r="H191" s="19">
        <v>4795.7523899436546</v>
      </c>
      <c r="I191" s="19">
        <v>4597.8325633791464</v>
      </c>
      <c r="J191" s="19">
        <v>2673.6396356049736</v>
      </c>
      <c r="K191" s="19">
        <v>1176420.2573406762</v>
      </c>
      <c r="L191" s="19">
        <v>980026.00153819774</v>
      </c>
    </row>
    <row r="192" spans="2:12" x14ac:dyDescent="0.25">
      <c r="B192" s="22" t="s">
        <v>104</v>
      </c>
      <c r="C192" s="19">
        <v>4852.5666118031568</v>
      </c>
      <c r="D192" s="19">
        <v>2821.7674847635362</v>
      </c>
      <c r="E192" s="19">
        <v>9688.7861158917694</v>
      </c>
      <c r="F192" s="19">
        <v>5634.0291263910631</v>
      </c>
      <c r="G192" s="19">
        <v>5940.3010640891325</v>
      </c>
      <c r="H192" s="19">
        <v>3454.2850687678301</v>
      </c>
      <c r="I192" s="19">
        <v>5095.1949423933129</v>
      </c>
      <c r="J192" s="19">
        <v>2962.855859001711</v>
      </c>
      <c r="K192" s="19">
        <v>1134401.4177558376</v>
      </c>
      <c r="L192" s="19">
        <v>925000.05043848057</v>
      </c>
    </row>
    <row r="193" spans="2:12" x14ac:dyDescent="0.25">
      <c r="B193" s="22" t="s">
        <v>105</v>
      </c>
      <c r="C193" s="19">
        <v>4118.2303351121227</v>
      </c>
      <c r="D193" s="19">
        <v>2394.7509398676989</v>
      </c>
      <c r="E193" s="19">
        <v>3286.0149262045384</v>
      </c>
      <c r="F193" s="19">
        <v>1910.817679587939</v>
      </c>
      <c r="G193" s="19">
        <v>7751.545384804861</v>
      </c>
      <c r="H193" s="19">
        <v>4507.5236412640261</v>
      </c>
      <c r="I193" s="19">
        <v>4324.1418518677283</v>
      </c>
      <c r="J193" s="19">
        <v>2514.4884868610839</v>
      </c>
      <c r="K193" s="19">
        <v>997455.2283975532</v>
      </c>
      <c r="L193" s="19">
        <v>812551.47099465958</v>
      </c>
    </row>
    <row r="194" spans="2:12" x14ac:dyDescent="0.25">
      <c r="B194" s="22" t="s">
        <v>106</v>
      </c>
      <c r="C194" s="19">
        <v>5548.8130199553943</v>
      </c>
      <c r="D194" s="19">
        <v>3226.6347711040621</v>
      </c>
      <c r="E194" s="19">
        <v>9688.7861158917694</v>
      </c>
      <c r="F194" s="19">
        <v>5634.0291263910631</v>
      </c>
      <c r="G194" s="19">
        <v>5940.3241655166139</v>
      </c>
      <c r="H194" s="19">
        <v>3454.2985022479111</v>
      </c>
      <c r="I194" s="19">
        <v>5826.2536709531632</v>
      </c>
      <c r="J194" s="19">
        <v>3387.9665096592644</v>
      </c>
      <c r="K194" s="19">
        <v>1442022.3287692303</v>
      </c>
      <c r="L194" s="19">
        <v>1197942.9111293757</v>
      </c>
    </row>
    <row r="195" spans="2:12" x14ac:dyDescent="0.25">
      <c r="B195" s="22" t="s">
        <v>107</v>
      </c>
      <c r="C195" s="19">
        <v>4001.633395641898</v>
      </c>
      <c r="D195" s="19">
        <v>2326.9498195657643</v>
      </c>
      <c r="E195" s="19">
        <v>9688.7861158917694</v>
      </c>
      <c r="F195" s="19">
        <v>5634.0291263910631</v>
      </c>
      <c r="G195" s="19">
        <v>5940.3010640891325</v>
      </c>
      <c r="H195" s="19">
        <v>3454.2850687678301</v>
      </c>
      <c r="I195" s="19">
        <v>4201.7150654239913</v>
      </c>
      <c r="J195" s="19">
        <v>2443.297310544051</v>
      </c>
      <c r="K195" s="19">
        <v>892430.3522468817</v>
      </c>
      <c r="L195" s="19">
        <v>729609.96374451113</v>
      </c>
    </row>
    <row r="196" spans="2:12" x14ac:dyDescent="0.25">
      <c r="B196" s="22" t="s">
        <v>109</v>
      </c>
      <c r="C196" s="19">
        <v>4398.6749260647493</v>
      </c>
      <c r="D196" s="19">
        <v>2557.829469506652</v>
      </c>
      <c r="E196" s="19">
        <v>3286.0149262045384</v>
      </c>
      <c r="F196" s="19">
        <v>1910.817679587939</v>
      </c>
      <c r="G196" s="19">
        <v>7977.3156356384188</v>
      </c>
      <c r="H196" s="19">
        <v>4638.8090421237403</v>
      </c>
      <c r="I196" s="19">
        <v>4618.6086723679855</v>
      </c>
      <c r="J196" s="19">
        <v>2685.7209429819836</v>
      </c>
      <c r="K196" s="19">
        <v>996591.08435259142</v>
      </c>
      <c r="L196" s="19">
        <v>800976.59616064467</v>
      </c>
    </row>
    <row r="197" spans="2:12" x14ac:dyDescent="0.25">
      <c r="B197" s="22" t="s">
        <v>110</v>
      </c>
      <c r="C197" s="19">
        <v>4281.5575150560189</v>
      </c>
      <c r="D197" s="19">
        <v>2489.7256950050751</v>
      </c>
      <c r="E197" s="19">
        <v>9688.7861158917694</v>
      </c>
      <c r="F197" s="19">
        <v>5634.0291263910631</v>
      </c>
      <c r="G197" s="19">
        <v>4090.0153309198154</v>
      </c>
      <c r="H197" s="19">
        <v>2378.3439149298724</v>
      </c>
      <c r="I197" s="19">
        <v>4495.6353908088186</v>
      </c>
      <c r="J197" s="19">
        <v>2614.2119797553282</v>
      </c>
      <c r="K197" s="19">
        <v>924747.84393336263</v>
      </c>
      <c r="L197" s="19">
        <v>766208.7633832444</v>
      </c>
    </row>
    <row r="198" spans="2:12" x14ac:dyDescent="0.25">
      <c r="B198" s="22" t="s">
        <v>111</v>
      </c>
      <c r="C198" s="19">
        <v>4663.262890567491</v>
      </c>
      <c r="D198" s="19">
        <v>2711.6873708649955</v>
      </c>
      <c r="E198" s="19">
        <v>3286.0149262045384</v>
      </c>
      <c r="F198" s="19">
        <v>1910.817679587939</v>
      </c>
      <c r="G198" s="19">
        <v>5940.3010640891325</v>
      </c>
      <c r="H198" s="19">
        <v>3454.2850687678301</v>
      </c>
      <c r="I198" s="19">
        <v>4896.4260350958639</v>
      </c>
      <c r="J198" s="19">
        <v>2847.2717394082447</v>
      </c>
      <c r="K198" s="19">
        <v>1115007.4225693673</v>
      </c>
      <c r="L198" s="19">
        <v>900479.40854996012</v>
      </c>
    </row>
    <row r="199" spans="2:12" x14ac:dyDescent="0.25">
      <c r="B199" s="22" t="s">
        <v>112</v>
      </c>
      <c r="C199" s="19">
        <v>5834.5971177311503</v>
      </c>
      <c r="D199" s="19">
        <v>3392.8182239606631</v>
      </c>
      <c r="E199" s="19">
        <v>3286.0149262045384</v>
      </c>
      <c r="F199" s="19">
        <v>1910.817679587939</v>
      </c>
      <c r="G199" s="19">
        <v>8241.7807775132351</v>
      </c>
      <c r="H199" s="19">
        <v>4792.5955221239456</v>
      </c>
      <c r="I199" s="19">
        <v>6126.3269736177062</v>
      </c>
      <c r="J199" s="19">
        <v>3562.4591351586969</v>
      </c>
      <c r="K199" s="19">
        <v>1463045.760853261</v>
      </c>
      <c r="L199" s="19">
        <v>1214931.4818934812</v>
      </c>
    </row>
    <row r="200" spans="2:12" x14ac:dyDescent="0.25">
      <c r="B200" s="22" t="s">
        <v>113</v>
      </c>
      <c r="C200" s="19">
        <v>5936.1115563627864</v>
      </c>
      <c r="D200" s="19">
        <v>3451.8488700249595</v>
      </c>
      <c r="E200" s="19">
        <v>10489.132514602674</v>
      </c>
      <c r="F200" s="19">
        <v>6099.4305572414551</v>
      </c>
      <c r="G200" s="19">
        <v>2781.7968932646204</v>
      </c>
      <c r="H200" s="19">
        <v>1617.6148934333771</v>
      </c>
      <c r="I200" s="19">
        <v>6232.9171341809242</v>
      </c>
      <c r="J200" s="19">
        <v>3624.4413135262075</v>
      </c>
      <c r="K200" s="19">
        <v>1601921.5288115863</v>
      </c>
      <c r="L200" s="19">
        <v>1355249.052650091</v>
      </c>
    </row>
    <row r="201" spans="2:12" x14ac:dyDescent="0.25">
      <c r="B201" s="16" t="s">
        <v>119</v>
      </c>
      <c r="C201" s="25">
        <v>165375</v>
      </c>
      <c r="D201" s="25">
        <v>96165.562500000029</v>
      </c>
      <c r="E201" s="25">
        <v>173643.74999999994</v>
      </c>
      <c r="F201" s="25">
        <v>100973.840625</v>
      </c>
      <c r="G201" s="25">
        <v>206718.74999999994</v>
      </c>
      <c r="H201" s="25">
        <v>120206.95312499999</v>
      </c>
      <c r="I201" s="25">
        <v>173643.75000000003</v>
      </c>
      <c r="J201" s="25">
        <v>100973.84062499998</v>
      </c>
      <c r="K201" s="25">
        <v>41392950.912479043</v>
      </c>
      <c r="L201" s="25">
        <v>32399851.269578062</v>
      </c>
    </row>
    <row r="203" spans="2:12" x14ac:dyDescent="0.25">
      <c r="B203" s="34" t="s">
        <v>149</v>
      </c>
      <c r="C203" s="34"/>
      <c r="D203" s="34"/>
      <c r="E203" s="34"/>
      <c r="F203" s="34"/>
      <c r="G203" s="34"/>
      <c r="H203" s="34"/>
      <c r="I203" s="34"/>
    </row>
    <row r="204" spans="2:12" x14ac:dyDescent="0.25">
      <c r="B204" s="28" t="s">
        <v>126</v>
      </c>
      <c r="C204" s="30" t="s">
        <v>127</v>
      </c>
      <c r="D204" s="31"/>
      <c r="E204" s="32"/>
      <c r="F204" s="30" t="s">
        <v>128</v>
      </c>
      <c r="G204" s="31"/>
      <c r="H204" s="32"/>
      <c r="I204" s="16" t="s">
        <v>129</v>
      </c>
    </row>
    <row r="205" spans="2:12" ht="48.75" x14ac:dyDescent="0.25">
      <c r="B205" s="29"/>
      <c r="C205" s="17" t="s">
        <v>130</v>
      </c>
      <c r="D205" s="17" t="s">
        <v>133</v>
      </c>
      <c r="E205" s="17" t="s">
        <v>117</v>
      </c>
      <c r="F205" s="17" t="s">
        <v>130</v>
      </c>
      <c r="G205" s="17" t="s">
        <v>134</v>
      </c>
      <c r="H205" s="16" t="s">
        <v>117</v>
      </c>
      <c r="I205" s="17" t="s">
        <v>131</v>
      </c>
    </row>
    <row r="206" spans="2:12" x14ac:dyDescent="0.25">
      <c r="B206" s="18" t="s">
        <v>59</v>
      </c>
      <c r="C206" s="19">
        <v>1534894.3937342588</v>
      </c>
      <c r="D206" s="19">
        <v>876518.10313044523</v>
      </c>
      <c r="E206" s="20">
        <f t="shared" ref="E206:E228" si="0">D206/C206</f>
        <v>0.57106085389885108</v>
      </c>
      <c r="F206" s="19">
        <v>1611639.1114403876</v>
      </c>
      <c r="G206" s="19">
        <v>1349806.4112947097</v>
      </c>
      <c r="H206" s="20">
        <f t="shared" ref="H206:H229" si="1">G206/F206</f>
        <v>0.83753639491184395</v>
      </c>
      <c r="I206" s="21">
        <f t="shared" ref="I206:I229" si="2">H206-E206</f>
        <v>0.26647554101299287</v>
      </c>
    </row>
    <row r="207" spans="2:12" ht="24.75" x14ac:dyDescent="0.25">
      <c r="B207" s="18" t="s">
        <v>33</v>
      </c>
      <c r="C207" s="19">
        <v>2316000</v>
      </c>
      <c r="D207" s="19">
        <v>1764000</v>
      </c>
      <c r="E207" s="20">
        <f t="shared" si="0"/>
        <v>0.76165803108808294</v>
      </c>
      <c r="F207" s="19">
        <v>2316000</v>
      </c>
      <c r="G207" s="19">
        <v>2316000</v>
      </c>
      <c r="H207" s="20">
        <f t="shared" si="1"/>
        <v>1</v>
      </c>
      <c r="I207" s="21">
        <f t="shared" si="2"/>
        <v>0.23834196891191706</v>
      </c>
    </row>
    <row r="208" spans="2:12" ht="24.75" x14ac:dyDescent="0.25">
      <c r="B208" s="18" t="s">
        <v>142</v>
      </c>
      <c r="C208" s="19">
        <v>4825000</v>
      </c>
      <c r="D208" s="19">
        <v>4101250</v>
      </c>
      <c r="E208" s="20">
        <f t="shared" si="0"/>
        <v>0.85</v>
      </c>
      <c r="F208" s="19">
        <v>5790000</v>
      </c>
      <c r="G208" s="19">
        <v>5790000</v>
      </c>
      <c r="H208" s="20">
        <f t="shared" si="1"/>
        <v>1</v>
      </c>
      <c r="I208" s="21">
        <f t="shared" si="2"/>
        <v>0.15000000000000002</v>
      </c>
    </row>
    <row r="209" spans="2:14" x14ac:dyDescent="0.25">
      <c r="B209" s="18" t="s">
        <v>38</v>
      </c>
      <c r="C209" s="19">
        <v>220499.99999999997</v>
      </c>
      <c r="D209" s="19">
        <v>103972.11678724788</v>
      </c>
      <c r="E209" s="20">
        <f t="shared" si="0"/>
        <v>0.47152887431858459</v>
      </c>
      <c r="F209" s="19">
        <v>231525.00000000003</v>
      </c>
      <c r="G209" s="19">
        <v>134724.16375223864</v>
      </c>
      <c r="H209" s="20">
        <f t="shared" si="1"/>
        <v>0.58189899039947579</v>
      </c>
      <c r="I209" s="21">
        <f t="shared" si="2"/>
        <v>0.1103701160808912</v>
      </c>
      <c r="N209" s="11"/>
    </row>
    <row r="210" spans="2:14" x14ac:dyDescent="0.25">
      <c r="B210" s="18" t="s">
        <v>141</v>
      </c>
      <c r="C210" s="19">
        <v>3184000</v>
      </c>
      <c r="D210" s="19">
        <v>1273600.0010430305</v>
      </c>
      <c r="E210" s="20">
        <f t="shared" si="0"/>
        <v>0.40000000032758498</v>
      </c>
      <c r="F210" s="22">
        <v>3184000.000362664</v>
      </c>
      <c r="G210" s="22">
        <v>2085520.0002266646</v>
      </c>
      <c r="H210" s="20">
        <f t="shared" si="1"/>
        <v>0.65499999999658276</v>
      </c>
      <c r="I210" s="21">
        <f t="shared" si="2"/>
        <v>0.25499999966899778</v>
      </c>
    </row>
    <row r="211" spans="2:14" x14ac:dyDescent="0.25">
      <c r="B211" s="18" t="s">
        <v>62</v>
      </c>
      <c r="C211" s="19">
        <v>0</v>
      </c>
      <c r="D211" s="19">
        <v>0</v>
      </c>
      <c r="E211" s="20" t="s">
        <v>132</v>
      </c>
      <c r="F211" s="19">
        <v>1000000</v>
      </c>
      <c r="G211" s="19">
        <v>531999.99999340007</v>
      </c>
      <c r="H211" s="20">
        <f t="shared" si="1"/>
        <v>0.53199999999340009</v>
      </c>
      <c r="I211" s="21" t="s">
        <v>132</v>
      </c>
    </row>
    <row r="212" spans="2:14" x14ac:dyDescent="0.25">
      <c r="B212" s="18" t="s">
        <v>40</v>
      </c>
      <c r="C212" s="19">
        <v>9535007.4607378002</v>
      </c>
      <c r="D212" s="19">
        <v>8873684.160169974</v>
      </c>
      <c r="E212" s="20">
        <f t="shared" si="0"/>
        <v>0.93064260271521027</v>
      </c>
      <c r="F212" s="19">
        <v>10011757.831714168</v>
      </c>
      <c r="G212" s="19">
        <v>9484173.4891618714</v>
      </c>
      <c r="H212" s="20">
        <f t="shared" si="1"/>
        <v>0.94730352537282991</v>
      </c>
      <c r="I212" s="21">
        <f t="shared" si="2"/>
        <v>1.6660922657619648E-2</v>
      </c>
    </row>
    <row r="213" spans="2:14" x14ac:dyDescent="0.25">
      <c r="B213" s="18" t="s">
        <v>43</v>
      </c>
      <c r="C213" s="19">
        <v>165375.00038223763</v>
      </c>
      <c r="D213" s="19">
        <v>78179.167000340705</v>
      </c>
      <c r="E213" s="20">
        <f t="shared" si="0"/>
        <v>0.47273872604469946</v>
      </c>
      <c r="F213" s="19">
        <v>175281.06694899494</v>
      </c>
      <c r="G213" s="19">
        <v>103271.64004495242</v>
      </c>
      <c r="H213" s="20">
        <f t="shared" si="1"/>
        <v>0.58917738146244536</v>
      </c>
      <c r="I213" s="21">
        <f t="shared" si="2"/>
        <v>0.1164386554177459</v>
      </c>
      <c r="N213" s="11"/>
    </row>
    <row r="214" spans="2:14" x14ac:dyDescent="0.25">
      <c r="B214" s="18" t="s">
        <v>64</v>
      </c>
      <c r="C214" s="19">
        <v>165375</v>
      </c>
      <c r="D214" s="19">
        <v>78057.870056380751</v>
      </c>
      <c r="E214" s="20">
        <f t="shared" si="0"/>
        <v>0.47200526111190172</v>
      </c>
      <c r="F214" s="19">
        <v>173643.75099999999</v>
      </c>
      <c r="G214" s="19">
        <v>100973.84120650004</v>
      </c>
      <c r="H214" s="20">
        <f t="shared" si="1"/>
        <v>0.58150000000000024</v>
      </c>
      <c r="I214" s="21">
        <f t="shared" si="2"/>
        <v>0.10949473888809852</v>
      </c>
      <c r="N214" s="11"/>
    </row>
    <row r="215" spans="2:14" x14ac:dyDescent="0.25">
      <c r="B215" s="18" t="s">
        <v>65</v>
      </c>
      <c r="C215" s="19">
        <v>165374.99992961591</v>
      </c>
      <c r="D215" s="19">
        <v>78256.449475254805</v>
      </c>
      <c r="E215" s="20">
        <f t="shared" si="0"/>
        <v>0.47320604389152521</v>
      </c>
      <c r="F215" s="19">
        <v>173643.75</v>
      </c>
      <c r="G215" s="19">
        <v>100973.84062500003</v>
      </c>
      <c r="H215" s="20">
        <f t="shared" si="1"/>
        <v>0.58150000000000013</v>
      </c>
      <c r="I215" s="21">
        <f t="shared" si="2"/>
        <v>0.10829395610847492</v>
      </c>
      <c r="N215" s="11"/>
    </row>
    <row r="216" spans="2:14" x14ac:dyDescent="0.25">
      <c r="B216" s="18" t="s">
        <v>44</v>
      </c>
      <c r="C216" s="19">
        <v>220499.99999999997</v>
      </c>
      <c r="D216" s="19">
        <v>103972.11678724788</v>
      </c>
      <c r="E216" s="20">
        <f t="shared" si="0"/>
        <v>0.47152887431858459</v>
      </c>
      <c r="F216" s="19">
        <v>231525.00000000003</v>
      </c>
      <c r="G216" s="19">
        <v>134770.35187835791</v>
      </c>
      <c r="H216" s="20">
        <f t="shared" si="1"/>
        <v>0.5820984855992134</v>
      </c>
      <c r="I216" s="21">
        <f t="shared" si="2"/>
        <v>0.11056961128062881</v>
      </c>
      <c r="N216" s="11"/>
    </row>
    <row r="217" spans="2:14" x14ac:dyDescent="0.25">
      <c r="B217" s="18" t="s">
        <v>139</v>
      </c>
      <c r="C217" s="19">
        <v>2730306.2393107661</v>
      </c>
      <c r="D217" s="19">
        <v>1299915.6982414224</v>
      </c>
      <c r="E217" s="20">
        <f t="shared" si="0"/>
        <v>0.47610618894149065</v>
      </c>
      <c r="F217" s="19">
        <v>2869506.9790128237</v>
      </c>
      <c r="G217" s="19">
        <v>1717072.2207643595</v>
      </c>
      <c r="H217" s="20">
        <f t="shared" si="1"/>
        <v>0.59838579704555095</v>
      </c>
      <c r="I217" s="21">
        <f t="shared" si="2"/>
        <v>0.1222796081040603</v>
      </c>
    </row>
    <row r="218" spans="2:14" x14ac:dyDescent="0.25">
      <c r="B218" s="18" t="s">
        <v>66</v>
      </c>
      <c r="C218" s="19">
        <v>8378619.2707451135</v>
      </c>
      <c r="D218" s="19">
        <v>6349862.0609841142</v>
      </c>
      <c r="E218" s="20">
        <f t="shared" si="0"/>
        <v>0.75786497223419236</v>
      </c>
      <c r="F218" s="19">
        <v>8797550.2339999974</v>
      </c>
      <c r="G218" s="19">
        <v>6703626.9399375496</v>
      </c>
      <c r="H218" s="20">
        <f t="shared" si="1"/>
        <v>0.7619879127293826</v>
      </c>
      <c r="I218" s="21">
        <f t="shared" si="2"/>
        <v>4.1229404951902415E-3</v>
      </c>
    </row>
    <row r="219" spans="2:14" x14ac:dyDescent="0.25">
      <c r="B219" s="18" t="s">
        <v>67</v>
      </c>
      <c r="C219" s="19">
        <v>165375.00628858808</v>
      </c>
      <c r="D219" s="19">
        <v>77774.178557292907</v>
      </c>
      <c r="E219" s="20">
        <f t="shared" si="0"/>
        <v>0.470289799545482</v>
      </c>
      <c r="F219" s="19">
        <v>173643.74999999991</v>
      </c>
      <c r="G219" s="19">
        <v>101089.60312499999</v>
      </c>
      <c r="H219" s="20">
        <f t="shared" si="1"/>
        <v>0.58216666666666694</v>
      </c>
      <c r="I219" s="21">
        <f t="shared" si="2"/>
        <v>0.11187686712118494</v>
      </c>
    </row>
    <row r="220" spans="2:14" ht="24.75" x14ac:dyDescent="0.25">
      <c r="B220" s="18" t="s">
        <v>140</v>
      </c>
      <c r="C220" s="19">
        <v>810509.43707985908</v>
      </c>
      <c r="D220" s="19">
        <v>263700.95759241231</v>
      </c>
      <c r="E220" s="20">
        <f t="shared" si="0"/>
        <v>0.32535211254601343</v>
      </c>
      <c r="F220" s="19">
        <v>810509.4380000002</v>
      </c>
      <c r="G220" s="19">
        <v>790604.18006746366</v>
      </c>
      <c r="H220" s="20">
        <f t="shared" si="1"/>
        <v>0.97544105349142585</v>
      </c>
      <c r="I220" s="21">
        <f t="shared" si="2"/>
        <v>0.65008894094541247</v>
      </c>
    </row>
    <row r="221" spans="2:14" x14ac:dyDescent="0.25">
      <c r="B221" s="18" t="s">
        <v>69</v>
      </c>
      <c r="C221" s="19">
        <v>220499.99966354144</v>
      </c>
      <c r="D221" s="19">
        <v>103884.60614163874</v>
      </c>
      <c r="E221" s="20">
        <f t="shared" si="0"/>
        <v>0.47113200136124778</v>
      </c>
      <c r="F221" s="19">
        <v>231525.00000000006</v>
      </c>
      <c r="G221" s="19">
        <v>134631.78750000006</v>
      </c>
      <c r="H221" s="20">
        <f t="shared" si="1"/>
        <v>0.58150000000000013</v>
      </c>
      <c r="I221" s="21">
        <f t="shared" si="2"/>
        <v>0.11036799863875235</v>
      </c>
    </row>
    <row r="222" spans="2:14" x14ac:dyDescent="0.25">
      <c r="B222" s="18" t="s">
        <v>70</v>
      </c>
      <c r="C222" s="19">
        <v>220500.00006964288</v>
      </c>
      <c r="D222" s="19">
        <v>104311.59730721066</v>
      </c>
      <c r="E222" s="20">
        <f t="shared" si="0"/>
        <v>0.47306846836401273</v>
      </c>
      <c r="F222" s="19">
        <v>231525</v>
      </c>
      <c r="G222" s="19">
        <v>134631.78750000001</v>
      </c>
      <c r="H222" s="20">
        <f t="shared" si="1"/>
        <v>0.58150000000000002</v>
      </c>
      <c r="I222" s="21">
        <f t="shared" si="2"/>
        <v>0.10843153163598729</v>
      </c>
    </row>
    <row r="223" spans="2:14" x14ac:dyDescent="0.25">
      <c r="B223" s="18" t="s">
        <v>71</v>
      </c>
      <c r="C223" s="19">
        <v>220499.99808769225</v>
      </c>
      <c r="D223" s="19">
        <v>105673.30883559863</v>
      </c>
      <c r="E223" s="20">
        <f t="shared" si="0"/>
        <v>0.47924403515673791</v>
      </c>
      <c r="F223" s="19">
        <v>231525.00000000003</v>
      </c>
      <c r="G223" s="19">
        <v>134631.78750000006</v>
      </c>
      <c r="H223" s="20">
        <f t="shared" si="1"/>
        <v>0.58150000000000024</v>
      </c>
      <c r="I223" s="21">
        <f t="shared" si="2"/>
        <v>0.10225596484326233</v>
      </c>
    </row>
    <row r="224" spans="2:14" ht="24.75" x14ac:dyDescent="0.25">
      <c r="B224" s="18" t="s">
        <v>143</v>
      </c>
      <c r="C224" s="19">
        <v>217874.9998498343</v>
      </c>
      <c r="D224" s="19">
        <v>103415.22589444352</v>
      </c>
      <c r="E224" s="20">
        <f t="shared" si="0"/>
        <v>0.47465393443818821</v>
      </c>
      <c r="F224" s="19">
        <v>228768.75000000006</v>
      </c>
      <c r="G224" s="19">
        <v>133029.02812500004</v>
      </c>
      <c r="H224" s="20">
        <f t="shared" si="1"/>
        <v>0.58150000000000002</v>
      </c>
      <c r="I224" s="21">
        <f t="shared" si="2"/>
        <v>0.10684606556181181</v>
      </c>
    </row>
    <row r="225" spans="2:9" x14ac:dyDescent="0.25">
      <c r="B225" s="18" t="s">
        <v>48</v>
      </c>
      <c r="C225" s="19">
        <v>157500.00010855965</v>
      </c>
      <c r="D225" s="19">
        <v>75766.147962092538</v>
      </c>
      <c r="E225" s="20">
        <f t="shared" si="0"/>
        <v>0.48105490736425011</v>
      </c>
      <c r="F225" s="19">
        <v>165375</v>
      </c>
      <c r="G225" s="19">
        <v>96165.562500000029</v>
      </c>
      <c r="H225" s="20">
        <f t="shared" si="1"/>
        <v>0.58150000000000013</v>
      </c>
      <c r="I225" s="21">
        <f t="shared" si="2"/>
        <v>0.10044509263575002</v>
      </c>
    </row>
    <row r="226" spans="2:9" x14ac:dyDescent="0.25">
      <c r="B226" s="18" t="s">
        <v>53</v>
      </c>
      <c r="C226" s="19">
        <v>165374.99978540509</v>
      </c>
      <c r="D226" s="19">
        <v>78407.5735748359</v>
      </c>
      <c r="E226" s="20">
        <f t="shared" si="0"/>
        <v>0.47411987106019415</v>
      </c>
      <c r="F226" s="19">
        <v>173643.74999999994</v>
      </c>
      <c r="G226" s="19">
        <v>100973.840625</v>
      </c>
      <c r="H226" s="20">
        <f t="shared" si="1"/>
        <v>0.58150000000000013</v>
      </c>
      <c r="I226" s="21">
        <f t="shared" si="2"/>
        <v>0.10738012893980597</v>
      </c>
    </row>
    <row r="227" spans="2:9" x14ac:dyDescent="0.25">
      <c r="B227" s="18" t="s">
        <v>74</v>
      </c>
      <c r="C227" s="19">
        <v>196875.00064377248</v>
      </c>
      <c r="D227" s="19">
        <v>93533.936354758291</v>
      </c>
      <c r="E227" s="20">
        <f t="shared" si="0"/>
        <v>0.47509300850238217</v>
      </c>
      <c r="F227" s="19">
        <v>206718.74999999994</v>
      </c>
      <c r="G227" s="19">
        <v>120206.95312499999</v>
      </c>
      <c r="H227" s="20">
        <f t="shared" si="1"/>
        <v>0.58150000000000013</v>
      </c>
      <c r="I227" s="21">
        <f t="shared" si="2"/>
        <v>0.10640699149761795</v>
      </c>
    </row>
    <row r="228" spans="2:9" x14ac:dyDescent="0.25">
      <c r="B228" s="18" t="s">
        <v>50</v>
      </c>
      <c r="C228" s="19">
        <v>165375</v>
      </c>
      <c r="D228" s="19">
        <v>77983.902382834072</v>
      </c>
      <c r="E228" s="20">
        <f t="shared" si="0"/>
        <v>0.47155798870950311</v>
      </c>
      <c r="F228" s="19">
        <v>173643.75000000003</v>
      </c>
      <c r="G228" s="19">
        <v>100973.84062499998</v>
      </c>
      <c r="H228" s="20">
        <f t="shared" si="1"/>
        <v>0.58149999999999979</v>
      </c>
      <c r="I228" s="21">
        <f t="shared" si="2"/>
        <v>0.10994201129049669</v>
      </c>
    </row>
    <row r="229" spans="2:9" x14ac:dyDescent="0.25">
      <c r="B229" s="17" t="s">
        <v>119</v>
      </c>
      <c r="C229" s="23">
        <f t="shared" ref="C229:D229" si="3">SUM(C206:C228)</f>
        <v>35981336.80641669</v>
      </c>
      <c r="D229" s="23">
        <f t="shared" si="3"/>
        <v>26065719.178278577</v>
      </c>
      <c r="E229" s="24">
        <f>D227/C227</f>
        <v>0.47509300850238217</v>
      </c>
      <c r="F229" s="25">
        <v>39192950.912479036</v>
      </c>
      <c r="G229" s="25">
        <f>SUM(F229)</f>
        <v>39192950.912479036</v>
      </c>
      <c r="H229" s="24">
        <f t="shared" si="1"/>
        <v>1</v>
      </c>
      <c r="I229" s="26">
        <f t="shared" si="2"/>
        <v>0.52490699149761788</v>
      </c>
    </row>
  </sheetData>
  <mergeCells count="40">
    <mergeCell ref="C43:L43"/>
    <mergeCell ref="B4:B5"/>
    <mergeCell ref="B2:L2"/>
    <mergeCell ref="C4:D4"/>
    <mergeCell ref="E4:F4"/>
    <mergeCell ref="G4:H4"/>
    <mergeCell ref="I4:J4"/>
    <mergeCell ref="K4:L4"/>
    <mergeCell ref="C3:L3"/>
    <mergeCell ref="K84:L84"/>
    <mergeCell ref="K124:L124"/>
    <mergeCell ref="C84:D84"/>
    <mergeCell ref="E84:F84"/>
    <mergeCell ref="B44:B45"/>
    <mergeCell ref="C44:D44"/>
    <mergeCell ref="E44:F44"/>
    <mergeCell ref="G44:H44"/>
    <mergeCell ref="I44:J44"/>
    <mergeCell ref="K44:L44"/>
    <mergeCell ref="C124:D124"/>
    <mergeCell ref="E124:F124"/>
    <mergeCell ref="G124:H124"/>
    <mergeCell ref="G84:H84"/>
    <mergeCell ref="I84:J84"/>
    <mergeCell ref="C83:L83"/>
    <mergeCell ref="C123:L123"/>
    <mergeCell ref="C163:L163"/>
    <mergeCell ref="B204:B205"/>
    <mergeCell ref="C204:E204"/>
    <mergeCell ref="F204:H204"/>
    <mergeCell ref="B124:B125"/>
    <mergeCell ref="B84:B85"/>
    <mergeCell ref="B203:I203"/>
    <mergeCell ref="I124:J124"/>
    <mergeCell ref="B164:B165"/>
    <mergeCell ref="C164:D164"/>
    <mergeCell ref="E164:F164"/>
    <mergeCell ref="G164:H164"/>
    <mergeCell ref="I164:J164"/>
    <mergeCell ref="K164:L164"/>
  </mergeCells>
  <pageMargins left="0.7" right="0.7" top="0.75" bottom="0.75" header="0.3" footer="0.3"/>
  <pageSetup scale="44" orientation="portrait" r:id="rId1"/>
  <rowBreaks count="2" manualBreakCount="2">
    <brk id="82" min="1" max="11" man="1"/>
    <brk id="162" min="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1"/>
  <sheetViews>
    <sheetView workbookViewId="0">
      <selection sqref="A1:Y771"/>
    </sheetView>
  </sheetViews>
  <sheetFormatPr defaultRowHeight="15" x14ac:dyDescent="0.25"/>
  <cols>
    <col min="1" max="1" width="29.5703125" customWidth="1"/>
    <col min="2" max="2" width="33.5703125" customWidth="1"/>
    <col min="3" max="3" width="42.85546875" customWidth="1"/>
    <col min="4" max="4" width="20.42578125" bestFit="1" customWidth="1"/>
    <col min="5" max="5" width="17" bestFit="1" customWidth="1"/>
    <col min="6" max="6" width="15.7109375" bestFit="1" customWidth="1"/>
    <col min="7" max="7" width="17" bestFit="1" customWidth="1"/>
    <col min="8" max="8" width="15.7109375" bestFit="1" customWidth="1"/>
    <col min="9" max="9" width="17.7109375" bestFit="1" customWidth="1"/>
    <col min="10" max="10" width="16.28515625" bestFit="1" customWidth="1"/>
    <col min="11" max="11" width="16.5703125" bestFit="1" customWidth="1"/>
    <col min="12" max="12" width="15.28515625" bestFit="1" customWidth="1"/>
    <col min="13" max="13" width="28.85546875" bestFit="1" customWidth="1"/>
    <col min="14" max="14" width="19.42578125" bestFit="1" customWidth="1"/>
    <col min="15" max="15" width="28.5703125" bestFit="1" customWidth="1"/>
    <col min="16" max="16" width="19.140625" bestFit="1" customWidth="1"/>
    <col min="17" max="17" width="26.140625" bestFit="1" customWidth="1"/>
    <col min="18" max="18" width="16.5703125" bestFit="1" customWidth="1"/>
    <col min="19" max="19" width="27.28515625" bestFit="1" customWidth="1"/>
    <col min="20" max="20" width="17.85546875" bestFit="1" customWidth="1"/>
    <col min="21" max="21" width="24.7109375" bestFit="1" customWidth="1"/>
    <col min="22" max="22" width="15.28515625" bestFit="1" customWidth="1"/>
    <col min="23" max="24" width="12.5703125" bestFit="1" customWidth="1"/>
  </cols>
  <sheetData>
    <row r="1" spans="1:25" ht="4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115</v>
      </c>
      <c r="X1" s="8" t="s">
        <v>116</v>
      </c>
      <c r="Y1" s="8" t="s">
        <v>117</v>
      </c>
    </row>
    <row r="2" spans="1:25" x14ac:dyDescent="0.25">
      <c r="A2" s="1" t="s">
        <v>32</v>
      </c>
      <c r="B2" s="1" t="s">
        <v>33</v>
      </c>
      <c r="C2" s="1" t="s">
        <v>34</v>
      </c>
      <c r="D2" s="1">
        <v>96000000</v>
      </c>
      <c r="E2" s="1">
        <v>0</v>
      </c>
      <c r="F2" s="1">
        <v>0</v>
      </c>
      <c r="G2" s="1">
        <v>19200000</v>
      </c>
      <c r="H2" s="1">
        <v>19200000</v>
      </c>
      <c r="I2" s="2"/>
      <c r="J2" s="2"/>
      <c r="K2" s="1">
        <v>0</v>
      </c>
      <c r="L2" s="1">
        <v>0</v>
      </c>
      <c r="M2" s="1">
        <v>0</v>
      </c>
      <c r="N2" s="1">
        <v>0</v>
      </c>
      <c r="O2" s="1">
        <v>57600000</v>
      </c>
      <c r="P2" s="1">
        <v>57600000</v>
      </c>
      <c r="Q2" s="1">
        <v>0</v>
      </c>
      <c r="R2" s="1">
        <v>0</v>
      </c>
      <c r="S2" s="1">
        <v>0</v>
      </c>
      <c r="T2" s="1">
        <v>0</v>
      </c>
      <c r="U2" s="1">
        <v>19200000</v>
      </c>
      <c r="V2" s="1">
        <v>19200000</v>
      </c>
      <c r="W2" s="4">
        <f t="shared" ref="W2:X17" si="0">U2+S2+Q2+O2+M2+K2+I2+G2+E2</f>
        <v>96000000</v>
      </c>
      <c r="X2" s="4">
        <f t="shared" si="0"/>
        <v>96000000</v>
      </c>
      <c r="Y2" s="5">
        <f>X2/D2</f>
        <v>1</v>
      </c>
    </row>
    <row r="3" spans="1:25" x14ac:dyDescent="0.25">
      <c r="A3" s="1" t="s">
        <v>32</v>
      </c>
      <c r="B3" s="1" t="s">
        <v>35</v>
      </c>
      <c r="C3" s="1" t="s">
        <v>34</v>
      </c>
      <c r="D3" s="1">
        <v>240000000</v>
      </c>
      <c r="E3" s="1">
        <v>0</v>
      </c>
      <c r="F3" s="1">
        <v>0</v>
      </c>
      <c r="G3" s="1">
        <v>66000000</v>
      </c>
      <c r="H3" s="1">
        <v>66000000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58000000</v>
      </c>
      <c r="P3" s="1">
        <v>58000000</v>
      </c>
      <c r="Q3" s="1">
        <v>0</v>
      </c>
      <c r="R3" s="1">
        <v>0</v>
      </c>
      <c r="S3" s="1">
        <v>58000000</v>
      </c>
      <c r="T3" s="1">
        <v>58000000</v>
      </c>
      <c r="U3" s="1">
        <v>58000000</v>
      </c>
      <c r="V3" s="1">
        <v>58000000</v>
      </c>
      <c r="W3" s="4">
        <f t="shared" si="0"/>
        <v>240000000</v>
      </c>
      <c r="X3" s="4">
        <f t="shared" si="0"/>
        <v>240000000</v>
      </c>
      <c r="Y3" s="5">
        <f t="shared" ref="Y3:Y66" si="1">X3/D3</f>
        <v>1</v>
      </c>
    </row>
    <row r="4" spans="1:25" x14ac:dyDescent="0.25">
      <c r="A4" s="1" t="s">
        <v>32</v>
      </c>
      <c r="B4" s="1" t="s">
        <v>36</v>
      </c>
      <c r="C4" s="1" t="s">
        <v>37</v>
      </c>
      <c r="D4" s="1">
        <v>600000000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4">
        <f t="shared" si="0"/>
        <v>0</v>
      </c>
      <c r="X4" s="4">
        <f t="shared" si="0"/>
        <v>0</v>
      </c>
      <c r="Y4" s="5">
        <f t="shared" si="1"/>
        <v>0</v>
      </c>
    </row>
    <row r="5" spans="1:25" x14ac:dyDescent="0.25">
      <c r="A5" s="1" t="s">
        <v>32</v>
      </c>
      <c r="B5" s="1" t="s">
        <v>38</v>
      </c>
      <c r="C5" s="1" t="s">
        <v>39</v>
      </c>
      <c r="D5" s="1">
        <v>170173.80860326465</v>
      </c>
      <c r="E5" s="1">
        <v>11231.471367815468</v>
      </c>
      <c r="F5" s="1">
        <v>11231.471367815468</v>
      </c>
      <c r="G5" s="1">
        <v>14039.339209769334</v>
      </c>
      <c r="H5" s="1">
        <v>14039.339209769334</v>
      </c>
      <c r="I5" s="1">
        <v>14039.339209769334</v>
      </c>
      <c r="J5" s="1">
        <v>14039.339209769334</v>
      </c>
      <c r="K5" s="1">
        <v>14039.339209769334</v>
      </c>
      <c r="L5" s="1">
        <v>14039.339209769334</v>
      </c>
      <c r="M5" s="1">
        <v>68409.871058512406</v>
      </c>
      <c r="N5" s="1">
        <v>68409.871058512406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4">
        <f t="shared" si="0"/>
        <v>121759.36005563586</v>
      </c>
      <c r="X5" s="4">
        <f t="shared" si="0"/>
        <v>121759.36005563586</v>
      </c>
      <c r="Y5" s="5">
        <f t="shared" si="1"/>
        <v>0.71550000000000002</v>
      </c>
    </row>
    <row r="6" spans="1:25" x14ac:dyDescent="0.25">
      <c r="A6" s="1" t="s">
        <v>32</v>
      </c>
      <c r="B6" s="1" t="s">
        <v>40</v>
      </c>
      <c r="C6" s="1" t="s">
        <v>27</v>
      </c>
      <c r="D6" s="1">
        <v>94969431.170428202</v>
      </c>
      <c r="E6" s="1">
        <v>0</v>
      </c>
      <c r="F6" s="1">
        <v>0</v>
      </c>
      <c r="G6" s="1">
        <v>4748013.5352140935</v>
      </c>
      <c r="H6" s="1">
        <v>4748013.5352140935</v>
      </c>
      <c r="I6" s="1">
        <v>4748013.5352140935</v>
      </c>
      <c r="J6" s="1">
        <v>4748013.5352140935</v>
      </c>
      <c r="K6" s="1">
        <v>9497044.9000000004</v>
      </c>
      <c r="L6" s="1">
        <v>9497044.9000000004</v>
      </c>
      <c r="M6" s="1">
        <v>18994169.799999986</v>
      </c>
      <c r="N6" s="1">
        <v>18994169.799999986</v>
      </c>
      <c r="O6" s="1">
        <v>0</v>
      </c>
      <c r="P6" s="1">
        <v>0</v>
      </c>
      <c r="Q6" s="1">
        <v>9497044.9000000004</v>
      </c>
      <c r="R6" s="1">
        <v>9497044.9000000004</v>
      </c>
      <c r="S6" s="1">
        <v>9497044.9000000004</v>
      </c>
      <c r="T6" s="1">
        <v>9497044.9000000004</v>
      </c>
      <c r="U6" s="1">
        <v>9497004.9000000004</v>
      </c>
      <c r="V6" s="1">
        <v>9497004.9000000004</v>
      </c>
      <c r="W6" s="4">
        <f t="shared" si="0"/>
        <v>66478336.470428176</v>
      </c>
      <c r="X6" s="4">
        <f t="shared" si="0"/>
        <v>66478336.470428176</v>
      </c>
      <c r="Y6" s="5">
        <f t="shared" si="1"/>
        <v>0.69999720595492365</v>
      </c>
    </row>
    <row r="7" spans="1:25" x14ac:dyDescent="0.25">
      <c r="A7" s="1" t="s">
        <v>32</v>
      </c>
      <c r="B7" s="1" t="s">
        <v>40</v>
      </c>
      <c r="C7" s="1" t="s">
        <v>27</v>
      </c>
      <c r="D7" s="1">
        <v>91542341</v>
      </c>
      <c r="E7" s="1">
        <v>0</v>
      </c>
      <c r="F7" s="1">
        <v>0</v>
      </c>
      <c r="G7" s="1">
        <v>18144933.157906562</v>
      </c>
      <c r="H7" s="1">
        <v>18144933.157906562</v>
      </c>
      <c r="I7" s="1">
        <v>18144933.157906562</v>
      </c>
      <c r="J7" s="1">
        <v>18144933.157906562</v>
      </c>
      <c r="K7" s="1">
        <v>0</v>
      </c>
      <c r="L7" s="1">
        <v>0</v>
      </c>
      <c r="M7" s="1">
        <v>24070748.273023359</v>
      </c>
      <c r="N7" s="1">
        <v>24070748.273023359</v>
      </c>
      <c r="O7" s="1">
        <v>7110978.1381401569</v>
      </c>
      <c r="P7" s="1">
        <v>7110978.1381401569</v>
      </c>
      <c r="Q7" s="1">
        <v>24070748.273023359</v>
      </c>
      <c r="R7" s="1">
        <v>24070748.273023359</v>
      </c>
      <c r="S7" s="1">
        <v>0</v>
      </c>
      <c r="T7" s="1">
        <v>0</v>
      </c>
      <c r="U7" s="1">
        <v>0</v>
      </c>
      <c r="V7" s="1">
        <v>0</v>
      </c>
      <c r="W7" s="4">
        <f t="shared" si="0"/>
        <v>91542341</v>
      </c>
      <c r="X7" s="4">
        <f t="shared" si="0"/>
        <v>91542341</v>
      </c>
      <c r="Y7" s="5">
        <f t="shared" si="1"/>
        <v>1</v>
      </c>
    </row>
    <row r="8" spans="1:25" x14ac:dyDescent="0.25">
      <c r="A8" s="1" t="s">
        <v>32</v>
      </c>
      <c r="B8" s="1" t="s">
        <v>40</v>
      </c>
      <c r="C8" s="1" t="s">
        <v>27</v>
      </c>
      <c r="D8" s="1">
        <v>36858509</v>
      </c>
      <c r="E8" s="1">
        <v>0</v>
      </c>
      <c r="F8" s="1">
        <v>0</v>
      </c>
      <c r="G8" s="1">
        <v>9214627.25</v>
      </c>
      <c r="H8" s="1">
        <v>9214627.25</v>
      </c>
      <c r="I8" s="1">
        <v>9214627.25</v>
      </c>
      <c r="J8" s="1">
        <v>9214627.25</v>
      </c>
      <c r="K8" s="1">
        <v>0</v>
      </c>
      <c r="L8" s="1">
        <v>0</v>
      </c>
      <c r="M8" s="1">
        <v>4607313.625</v>
      </c>
      <c r="N8" s="1">
        <v>4607313.625</v>
      </c>
      <c r="O8" s="1">
        <v>0</v>
      </c>
      <c r="P8" s="1">
        <v>0</v>
      </c>
      <c r="Q8" s="1">
        <v>13821940.875</v>
      </c>
      <c r="R8" s="1">
        <v>13821940.875</v>
      </c>
      <c r="S8" s="1">
        <v>0</v>
      </c>
      <c r="T8" s="1">
        <v>0</v>
      </c>
      <c r="U8" s="1">
        <v>0</v>
      </c>
      <c r="V8" s="1">
        <v>0</v>
      </c>
      <c r="W8" s="4">
        <f t="shared" si="0"/>
        <v>36858509</v>
      </c>
      <c r="X8" s="4">
        <f t="shared" si="0"/>
        <v>36858509</v>
      </c>
      <c r="Y8" s="5">
        <f t="shared" si="1"/>
        <v>1</v>
      </c>
    </row>
    <row r="9" spans="1:25" x14ac:dyDescent="0.25">
      <c r="A9" s="1" t="s">
        <v>32</v>
      </c>
      <c r="B9" s="1" t="s">
        <v>43</v>
      </c>
      <c r="C9" s="1" t="s">
        <v>31</v>
      </c>
      <c r="D9" s="1">
        <v>2694410</v>
      </c>
      <c r="E9" s="1">
        <v>394730.89762161142</v>
      </c>
      <c r="F9" s="1">
        <v>394730.89762161142</v>
      </c>
      <c r="G9" s="1">
        <v>493413.62202701427</v>
      </c>
      <c r="H9" s="1">
        <v>493413.62202701427</v>
      </c>
      <c r="I9" s="1">
        <v>493413.62202701427</v>
      </c>
      <c r="J9" s="1">
        <v>493413.62202701427</v>
      </c>
      <c r="K9" s="1">
        <v>493413.62202701427</v>
      </c>
      <c r="L9" s="1">
        <v>493413.62202701427</v>
      </c>
      <c r="M9" s="1">
        <v>0</v>
      </c>
      <c r="N9" s="1">
        <v>0</v>
      </c>
      <c r="O9" s="1">
        <v>0</v>
      </c>
      <c r="P9" s="1">
        <v>0</v>
      </c>
      <c r="Q9" s="1">
        <v>504528.85832435964</v>
      </c>
      <c r="R9" s="1">
        <v>504528.85832435964</v>
      </c>
      <c r="S9" s="1">
        <v>0</v>
      </c>
      <c r="T9" s="1">
        <v>0</v>
      </c>
      <c r="U9" s="1">
        <v>0</v>
      </c>
      <c r="V9" s="1">
        <v>0</v>
      </c>
      <c r="W9" s="4">
        <f t="shared" si="0"/>
        <v>2379500.6220270139</v>
      </c>
      <c r="X9" s="4">
        <f t="shared" si="0"/>
        <v>2379500.6220270139</v>
      </c>
      <c r="Y9" s="5">
        <f t="shared" si="1"/>
        <v>0.88312492234923934</v>
      </c>
    </row>
    <row r="10" spans="1:25" x14ac:dyDescent="0.25">
      <c r="A10" s="1" t="s">
        <v>32</v>
      </c>
      <c r="B10" s="1" t="s">
        <v>44</v>
      </c>
      <c r="C10" s="1" t="s">
        <v>45</v>
      </c>
      <c r="D10" s="1">
        <v>170173.80860326465</v>
      </c>
      <c r="E10" s="1">
        <v>11231.471367815468</v>
      </c>
      <c r="F10" s="1">
        <v>11231.471367815468</v>
      </c>
      <c r="G10" s="1">
        <v>14039.339209769334</v>
      </c>
      <c r="H10" s="1">
        <v>14039.339209769334</v>
      </c>
      <c r="I10" s="1">
        <v>14039.339209769334</v>
      </c>
      <c r="J10" s="1">
        <v>14039.339209769334</v>
      </c>
      <c r="K10" s="1">
        <v>14039.339209769334</v>
      </c>
      <c r="L10" s="1">
        <v>14039.339209769334</v>
      </c>
      <c r="M10" s="1">
        <v>0</v>
      </c>
      <c r="N10" s="1">
        <v>0</v>
      </c>
      <c r="O10" s="1">
        <v>0</v>
      </c>
      <c r="P10" s="1">
        <v>0</v>
      </c>
      <c r="Q10" s="1">
        <v>79811.516234931129</v>
      </c>
      <c r="R10" s="1">
        <v>79811.516234931129</v>
      </c>
      <c r="S10" s="1">
        <v>0</v>
      </c>
      <c r="T10" s="1">
        <v>0</v>
      </c>
      <c r="U10" s="1">
        <v>0</v>
      </c>
      <c r="V10" s="1">
        <v>0</v>
      </c>
      <c r="W10" s="4">
        <f t="shared" si="0"/>
        <v>133161.00523205459</v>
      </c>
      <c r="X10" s="4">
        <f t="shared" si="0"/>
        <v>133161.00523205459</v>
      </c>
      <c r="Y10" s="5">
        <f t="shared" si="1"/>
        <v>0.78249999999999997</v>
      </c>
    </row>
    <row r="11" spans="1:25" x14ac:dyDescent="0.25">
      <c r="A11" s="1" t="s">
        <v>32</v>
      </c>
      <c r="B11" s="1" t="s">
        <v>46</v>
      </c>
      <c r="C11" s="1" t="s">
        <v>22</v>
      </c>
      <c r="D11" s="1">
        <v>108410017</v>
      </c>
      <c r="E11" s="1">
        <v>7161763.4118792377</v>
      </c>
      <c r="F11" s="1">
        <v>7161763.4118792377</v>
      </c>
      <c r="G11" s="1">
        <v>8952204.2648490462</v>
      </c>
      <c r="H11" s="1">
        <v>8952204.2648490462</v>
      </c>
      <c r="I11" s="1">
        <v>8952204.2648490462</v>
      </c>
      <c r="J11" s="1">
        <v>8952204.2648490462</v>
      </c>
      <c r="K11" s="1">
        <v>8952204.2648490462</v>
      </c>
      <c r="L11" s="1">
        <v>8952204.2648490462</v>
      </c>
      <c r="M11" s="1">
        <v>5556283.9287701743</v>
      </c>
      <c r="N11" s="1">
        <v>5556283.9287701743</v>
      </c>
      <c r="O11" s="1">
        <v>4567859.2857796159</v>
      </c>
      <c r="P11" s="1">
        <v>4567859.2857796159</v>
      </c>
      <c r="Q11" s="1">
        <v>6323917.6180165559</v>
      </c>
      <c r="R11" s="1">
        <v>6323917.6180165559</v>
      </c>
      <c r="S11" s="1">
        <v>6323917.6180165559</v>
      </c>
      <c r="T11" s="1">
        <v>6323917.6180165559</v>
      </c>
      <c r="U11" s="1">
        <v>6323917.6180165559</v>
      </c>
      <c r="V11" s="1">
        <v>6323917.6180165559</v>
      </c>
      <c r="W11" s="4">
        <f t="shared" si="0"/>
        <v>63114272.27502583</v>
      </c>
      <c r="X11" s="4">
        <f t="shared" si="0"/>
        <v>63114272.27502583</v>
      </c>
      <c r="Y11" s="5">
        <f t="shared" si="1"/>
        <v>0.58218118603399749</v>
      </c>
    </row>
    <row r="12" spans="1:25" x14ac:dyDescent="0.25">
      <c r="A12" s="1" t="s">
        <v>32</v>
      </c>
      <c r="B12" s="1" t="s">
        <v>47</v>
      </c>
      <c r="C12" s="1" t="s">
        <v>34</v>
      </c>
      <c r="D12" s="1">
        <v>171234388.30985916</v>
      </c>
      <c r="E12" s="1">
        <v>0</v>
      </c>
      <c r="F12" s="1">
        <v>0</v>
      </c>
      <c r="G12" s="1">
        <v>11275573.93253685</v>
      </c>
      <c r="H12" s="1">
        <v>11275573.93253685</v>
      </c>
      <c r="I12" s="1">
        <v>20000000</v>
      </c>
      <c r="J12" s="1">
        <v>20000000</v>
      </c>
      <c r="K12" s="1">
        <v>20094742</v>
      </c>
      <c r="L12" s="1">
        <v>20094742</v>
      </c>
      <c r="M12" s="1">
        <v>39884665.188661203</v>
      </c>
      <c r="N12" s="1">
        <v>39884665.188661203</v>
      </c>
      <c r="O12" s="1">
        <v>0</v>
      </c>
      <c r="P12" s="1">
        <v>0</v>
      </c>
      <c r="Q12" s="1">
        <v>0</v>
      </c>
      <c r="R12" s="1">
        <v>0</v>
      </c>
      <c r="S12" s="1">
        <v>79979407.188661158</v>
      </c>
      <c r="T12" s="1">
        <v>79979407.188661158</v>
      </c>
      <c r="U12" s="1">
        <v>0</v>
      </c>
      <c r="V12" s="1">
        <v>0</v>
      </c>
      <c r="W12" s="4">
        <f t="shared" si="0"/>
        <v>171234388.30985922</v>
      </c>
      <c r="X12" s="4">
        <f t="shared" si="0"/>
        <v>171234388.30985922</v>
      </c>
      <c r="Y12" s="5">
        <f t="shared" si="1"/>
        <v>1.0000000000000004</v>
      </c>
    </row>
    <row r="13" spans="1:25" x14ac:dyDescent="0.25">
      <c r="A13" s="1" t="s">
        <v>32</v>
      </c>
      <c r="B13" s="1" t="s">
        <v>48</v>
      </c>
      <c r="C13" s="1" t="s">
        <v>49</v>
      </c>
      <c r="D13" s="1">
        <v>5940905.5772700906</v>
      </c>
      <c r="E13" s="1">
        <v>392099.76809982606</v>
      </c>
      <c r="F13" s="1">
        <v>392099.76809982606</v>
      </c>
      <c r="G13" s="1">
        <v>490124.71012478252</v>
      </c>
      <c r="H13" s="1">
        <v>490124.71012478252</v>
      </c>
      <c r="I13" s="1">
        <v>490124.71012478252</v>
      </c>
      <c r="J13" s="1">
        <v>490124.71012478252</v>
      </c>
      <c r="K13" s="1">
        <v>490124.71012478252</v>
      </c>
      <c r="L13" s="1">
        <v>490124.71012478252</v>
      </c>
      <c r="M13" s="1">
        <v>298530.50525782211</v>
      </c>
      <c r="N13" s="1">
        <v>298530.50525782211</v>
      </c>
      <c r="O13" s="1">
        <v>248775.42104818509</v>
      </c>
      <c r="P13" s="1">
        <v>248775.42104818509</v>
      </c>
      <c r="Q13" s="1">
        <v>348285.58946745913</v>
      </c>
      <c r="R13" s="1">
        <v>348285.58946745913</v>
      </c>
      <c r="S13" s="1">
        <v>348285.58946745913</v>
      </c>
      <c r="T13" s="1">
        <v>348285.58946745913</v>
      </c>
      <c r="U13" s="1">
        <v>348285.58946745913</v>
      </c>
      <c r="V13" s="1">
        <v>348285.58946745913</v>
      </c>
      <c r="W13" s="4">
        <f t="shared" si="0"/>
        <v>3454636.5931825582</v>
      </c>
      <c r="X13" s="4">
        <f t="shared" si="0"/>
        <v>3454636.5931825582</v>
      </c>
      <c r="Y13" s="5">
        <f t="shared" si="1"/>
        <v>0.58150000000000013</v>
      </c>
    </row>
    <row r="14" spans="1:25" x14ac:dyDescent="0.25">
      <c r="A14" s="1" t="s">
        <v>32</v>
      </c>
      <c r="B14" s="1" t="s">
        <v>50</v>
      </c>
      <c r="C14" s="1" t="s">
        <v>25</v>
      </c>
      <c r="D14" s="1">
        <v>6237950.8561335942</v>
      </c>
      <c r="E14" s="1">
        <v>411704.75650481723</v>
      </c>
      <c r="F14" s="1">
        <v>411704.75650481723</v>
      </c>
      <c r="G14" s="1">
        <v>514630.94563102152</v>
      </c>
      <c r="H14" s="1">
        <v>514630.94563102152</v>
      </c>
      <c r="I14" s="1">
        <v>514630.94563102152</v>
      </c>
      <c r="J14" s="1">
        <v>514630.94563102152</v>
      </c>
      <c r="K14" s="1">
        <v>514630.94563102152</v>
      </c>
      <c r="L14" s="1">
        <v>514630.94563102152</v>
      </c>
      <c r="M14" s="1">
        <v>313457.03052071307</v>
      </c>
      <c r="N14" s="1">
        <v>313457.03052071307</v>
      </c>
      <c r="O14" s="1">
        <v>261214.19210059426</v>
      </c>
      <c r="P14" s="1">
        <v>261214.19210059426</v>
      </c>
      <c r="Q14" s="1">
        <v>365699.86894083192</v>
      </c>
      <c r="R14" s="1">
        <v>365699.86894083192</v>
      </c>
      <c r="S14" s="1">
        <v>365699.86894083192</v>
      </c>
      <c r="T14" s="1">
        <v>365699.86894083192</v>
      </c>
      <c r="U14" s="1">
        <v>365699.86894083192</v>
      </c>
      <c r="V14" s="1">
        <v>365699.86894083192</v>
      </c>
      <c r="W14" s="4">
        <f t="shared" si="0"/>
        <v>3627368.4228416854</v>
      </c>
      <c r="X14" s="4">
        <f t="shared" si="0"/>
        <v>3627368.4228416854</v>
      </c>
      <c r="Y14" s="5">
        <f t="shared" si="1"/>
        <v>0.58150000000000002</v>
      </c>
    </row>
    <row r="15" spans="1:25" x14ac:dyDescent="0.25">
      <c r="A15" s="1" t="s">
        <v>51</v>
      </c>
      <c r="B15" s="1" t="s">
        <v>33</v>
      </c>
      <c r="C15" s="1" t="s">
        <v>34</v>
      </c>
      <c r="D15" s="1">
        <v>48000000</v>
      </c>
      <c r="E15" s="1">
        <v>0</v>
      </c>
      <c r="F15" s="1">
        <v>0</v>
      </c>
      <c r="G15" s="1">
        <v>9600000</v>
      </c>
      <c r="H15" s="1">
        <v>9600000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28800000</v>
      </c>
      <c r="P15" s="1">
        <v>28800000</v>
      </c>
      <c r="Q15" s="1">
        <v>0</v>
      </c>
      <c r="R15" s="1">
        <v>0</v>
      </c>
      <c r="S15" s="1">
        <v>0</v>
      </c>
      <c r="T15" s="1">
        <v>0</v>
      </c>
      <c r="U15" s="1">
        <v>9600000</v>
      </c>
      <c r="V15" s="1">
        <v>9600000</v>
      </c>
      <c r="W15" s="4">
        <f t="shared" si="0"/>
        <v>48000000</v>
      </c>
      <c r="X15" s="4">
        <f t="shared" si="0"/>
        <v>48000000</v>
      </c>
      <c r="Y15" s="5">
        <f t="shared" si="1"/>
        <v>1</v>
      </c>
    </row>
    <row r="16" spans="1:25" x14ac:dyDescent="0.25">
      <c r="A16" s="1" t="s">
        <v>51</v>
      </c>
      <c r="B16" s="1" t="s">
        <v>35</v>
      </c>
      <c r="C16" s="1" t="s">
        <v>34</v>
      </c>
      <c r="D16" s="1">
        <v>120000000</v>
      </c>
      <c r="E16" s="1">
        <v>0</v>
      </c>
      <c r="F16" s="1">
        <v>0</v>
      </c>
      <c r="G16" s="1">
        <v>33000000</v>
      </c>
      <c r="H16" s="1">
        <v>33000000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29000000</v>
      </c>
      <c r="P16" s="1">
        <v>29000000</v>
      </c>
      <c r="Q16" s="1">
        <v>0</v>
      </c>
      <c r="R16" s="1">
        <v>0</v>
      </c>
      <c r="S16" s="1">
        <v>29000000</v>
      </c>
      <c r="T16" s="1">
        <v>29000000</v>
      </c>
      <c r="U16" s="1">
        <v>29000000</v>
      </c>
      <c r="V16" s="1">
        <v>29000000</v>
      </c>
      <c r="W16" s="4">
        <f t="shared" si="0"/>
        <v>120000000</v>
      </c>
      <c r="X16" s="4">
        <f t="shared" si="0"/>
        <v>120000000</v>
      </c>
      <c r="Y16" s="5">
        <f t="shared" si="1"/>
        <v>1</v>
      </c>
    </row>
    <row r="17" spans="1:25" x14ac:dyDescent="0.25">
      <c r="A17" s="1" t="s">
        <v>51</v>
      </c>
      <c r="B17" s="1" t="s">
        <v>36</v>
      </c>
      <c r="C17" s="1" t="s">
        <v>37</v>
      </c>
      <c r="D17" s="1">
        <v>600000000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4">
        <f t="shared" si="0"/>
        <v>0</v>
      </c>
      <c r="X17" s="4">
        <f t="shared" si="0"/>
        <v>0</v>
      </c>
      <c r="Y17" s="5">
        <f t="shared" si="1"/>
        <v>0</v>
      </c>
    </row>
    <row r="18" spans="1:25" x14ac:dyDescent="0.25">
      <c r="A18" s="1" t="s">
        <v>51</v>
      </c>
      <c r="B18" s="1" t="s">
        <v>38</v>
      </c>
      <c r="C18" s="1" t="s">
        <v>39</v>
      </c>
      <c r="D18" s="1">
        <v>173067.06936748541</v>
      </c>
      <c r="E18" s="1">
        <v>11422.426578254039</v>
      </c>
      <c r="F18" s="1">
        <v>11422.426578254039</v>
      </c>
      <c r="G18" s="1">
        <v>14278.033222817547</v>
      </c>
      <c r="H18" s="1">
        <v>14278.033222817547</v>
      </c>
      <c r="I18" s="1">
        <v>14278.033222817547</v>
      </c>
      <c r="J18" s="1">
        <v>14278.033222817547</v>
      </c>
      <c r="K18" s="1">
        <v>14278.033222817547</v>
      </c>
      <c r="L18" s="1">
        <v>14278.033222817547</v>
      </c>
      <c r="M18" s="1">
        <v>69572.961885729121</v>
      </c>
      <c r="N18" s="1">
        <v>69572.961885729121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4">
        <f t="shared" ref="W18:X81" si="2">U18+S18+Q18+O18+M18+K18+I18+G18+E18</f>
        <v>123829.4881324358</v>
      </c>
      <c r="X18" s="4">
        <f t="shared" si="2"/>
        <v>123829.4881324358</v>
      </c>
      <c r="Y18" s="5">
        <f t="shared" si="1"/>
        <v>0.71549999999999991</v>
      </c>
    </row>
    <row r="19" spans="1:25" x14ac:dyDescent="0.25">
      <c r="A19" s="1" t="s">
        <v>51</v>
      </c>
      <c r="B19" s="1" t="s">
        <v>40</v>
      </c>
      <c r="C19" s="1" t="s">
        <v>27</v>
      </c>
      <c r="D19" s="1">
        <v>140403250.36000001</v>
      </c>
      <c r="E19" s="1">
        <v>10738215.699999999</v>
      </c>
      <c r="F19" s="1">
        <v>10738215.699999999</v>
      </c>
      <c r="G19" s="1">
        <v>12488001.109999999</v>
      </c>
      <c r="H19" s="1">
        <v>12488001.109999999</v>
      </c>
      <c r="I19" s="1">
        <v>7678882.4132971</v>
      </c>
      <c r="J19" s="1">
        <v>7678882.4132971</v>
      </c>
      <c r="K19" s="1">
        <v>5419395.6399999997</v>
      </c>
      <c r="L19" s="1">
        <v>5419395.6399999997</v>
      </c>
      <c r="M19" s="1">
        <v>25874121.567527182</v>
      </c>
      <c r="N19" s="1">
        <v>25874121.567527182</v>
      </c>
      <c r="O19" s="1">
        <v>25765308.039175726</v>
      </c>
      <c r="P19" s="1">
        <v>25765308.039175726</v>
      </c>
      <c r="Q19" s="1">
        <v>9198442.5</v>
      </c>
      <c r="R19" s="1">
        <v>9198442.5</v>
      </c>
      <c r="S19" s="1">
        <v>12765803</v>
      </c>
      <c r="T19" s="1">
        <v>12765803</v>
      </c>
      <c r="U19" s="1">
        <v>12113041</v>
      </c>
      <c r="V19" s="1">
        <v>12113041</v>
      </c>
      <c r="W19" s="4">
        <f t="shared" si="2"/>
        <v>122041210.97000001</v>
      </c>
      <c r="X19" s="4">
        <f t="shared" si="2"/>
        <v>122041210.97000001</v>
      </c>
      <c r="Y19" s="5">
        <f t="shared" si="1"/>
        <v>0.86921927132798604</v>
      </c>
    </row>
    <row r="20" spans="1:25" x14ac:dyDescent="0.25">
      <c r="A20" s="1" t="s">
        <v>51</v>
      </c>
      <c r="B20" s="1" t="s">
        <v>40</v>
      </c>
      <c r="C20" s="1" t="s">
        <v>27</v>
      </c>
      <c r="D20" s="1">
        <v>71777398</v>
      </c>
      <c r="E20" s="1">
        <v>0</v>
      </c>
      <c r="F20" s="1">
        <v>0</v>
      </c>
      <c r="G20" s="1">
        <v>0</v>
      </c>
      <c r="H20" s="1">
        <v>0</v>
      </c>
      <c r="I20" s="1">
        <v>19744133</v>
      </c>
      <c r="J20" s="1">
        <v>19744133</v>
      </c>
      <c r="K20" s="1">
        <v>0</v>
      </c>
      <c r="L20" s="1">
        <v>0</v>
      </c>
      <c r="M20" s="1">
        <v>13125000</v>
      </c>
      <c r="N20" s="1">
        <v>13125000</v>
      </c>
      <c r="O20" s="1">
        <v>15605816</v>
      </c>
      <c r="P20" s="1">
        <v>15605816</v>
      </c>
      <c r="Q20" s="1">
        <v>18425000</v>
      </c>
      <c r="R20" s="1">
        <v>18425000</v>
      </c>
      <c r="S20" s="1">
        <v>3251633</v>
      </c>
      <c r="T20" s="1">
        <v>3251633</v>
      </c>
      <c r="U20" s="1">
        <v>0</v>
      </c>
      <c r="V20" s="1">
        <v>0</v>
      </c>
      <c r="W20" s="4">
        <f t="shared" si="2"/>
        <v>70151582</v>
      </c>
      <c r="X20" s="4">
        <f t="shared" si="2"/>
        <v>70151582</v>
      </c>
      <c r="Y20" s="5">
        <f t="shared" si="1"/>
        <v>0.97734919284758692</v>
      </c>
    </row>
    <row r="21" spans="1:25" x14ac:dyDescent="0.25">
      <c r="A21" s="1" t="s">
        <v>51</v>
      </c>
      <c r="B21" s="1" t="s">
        <v>40</v>
      </c>
      <c r="C21" s="1" t="s">
        <v>27</v>
      </c>
      <c r="D21" s="1">
        <v>20822367</v>
      </c>
      <c r="E21" s="1">
        <v>0</v>
      </c>
      <c r="F21" s="1">
        <v>0</v>
      </c>
      <c r="G21" s="1">
        <v>20822367</v>
      </c>
      <c r="H21" s="1">
        <v>20822367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4">
        <f t="shared" si="2"/>
        <v>20822367</v>
      </c>
      <c r="X21" s="4">
        <f t="shared" si="2"/>
        <v>20822367</v>
      </c>
      <c r="Y21" s="5">
        <f t="shared" si="1"/>
        <v>1</v>
      </c>
    </row>
    <row r="22" spans="1:25" x14ac:dyDescent="0.25">
      <c r="A22" s="1" t="s">
        <v>51</v>
      </c>
      <c r="B22" s="1" t="s">
        <v>43</v>
      </c>
      <c r="C22" s="1" t="s">
        <v>31</v>
      </c>
      <c r="D22" s="1">
        <v>2934237.6533620418</v>
      </c>
      <c r="E22" s="1">
        <v>429865.59223844745</v>
      </c>
      <c r="F22" s="1">
        <v>429865.59223844745</v>
      </c>
      <c r="G22" s="1">
        <v>537331.9902980593</v>
      </c>
      <c r="H22" s="1">
        <v>537331.9902980593</v>
      </c>
      <c r="I22" s="1">
        <v>537331.9902980593</v>
      </c>
      <c r="J22" s="1">
        <v>537331.9902980593</v>
      </c>
      <c r="K22" s="1">
        <v>537331.9902980593</v>
      </c>
      <c r="L22" s="1">
        <v>537331.9902980593</v>
      </c>
      <c r="M22" s="1">
        <v>0</v>
      </c>
      <c r="N22" s="1">
        <v>0</v>
      </c>
      <c r="O22" s="1">
        <v>0</v>
      </c>
      <c r="P22" s="1">
        <v>0</v>
      </c>
      <c r="Q22" s="1">
        <v>551262.3147005965</v>
      </c>
      <c r="R22" s="1">
        <v>551262.3147005965</v>
      </c>
      <c r="S22" s="1">
        <v>0</v>
      </c>
      <c r="T22" s="1">
        <v>0</v>
      </c>
      <c r="U22" s="1">
        <v>0</v>
      </c>
      <c r="V22" s="1">
        <v>0</v>
      </c>
      <c r="W22" s="4">
        <f t="shared" si="2"/>
        <v>2593123.877833222</v>
      </c>
      <c r="X22" s="4">
        <f t="shared" si="2"/>
        <v>2593123.877833222</v>
      </c>
      <c r="Y22" s="5">
        <f t="shared" si="1"/>
        <v>0.88374705261587372</v>
      </c>
    </row>
    <row r="23" spans="1:25" x14ac:dyDescent="0.25">
      <c r="A23" s="1" t="s">
        <v>51</v>
      </c>
      <c r="B23" s="1" t="s">
        <v>44</v>
      </c>
      <c r="C23" s="1" t="s">
        <v>45</v>
      </c>
      <c r="D23" s="1">
        <v>173067.06936748541</v>
      </c>
      <c r="E23" s="1">
        <v>11422.426578254039</v>
      </c>
      <c r="F23" s="1">
        <v>11422.426578254039</v>
      </c>
      <c r="G23" s="1">
        <v>14278.033222817547</v>
      </c>
      <c r="H23" s="1">
        <v>14278.033222817547</v>
      </c>
      <c r="I23" s="1">
        <v>14278.033222817547</v>
      </c>
      <c r="J23" s="1">
        <v>14278.033222817547</v>
      </c>
      <c r="K23" s="1">
        <v>14278.033222817547</v>
      </c>
      <c r="L23" s="1">
        <v>14278.033222817547</v>
      </c>
      <c r="M23" s="1">
        <v>0</v>
      </c>
      <c r="N23" s="1">
        <v>0</v>
      </c>
      <c r="O23" s="1">
        <v>0</v>
      </c>
      <c r="P23" s="1">
        <v>0</v>
      </c>
      <c r="Q23" s="1">
        <v>81168.455533350629</v>
      </c>
      <c r="R23" s="1">
        <v>81168.455533350629</v>
      </c>
      <c r="S23" s="1">
        <v>0</v>
      </c>
      <c r="T23" s="1">
        <v>0</v>
      </c>
      <c r="U23" s="1">
        <v>0</v>
      </c>
      <c r="V23" s="1">
        <v>0</v>
      </c>
      <c r="W23" s="4">
        <f t="shared" si="2"/>
        <v>135424.98178005731</v>
      </c>
      <c r="X23" s="4">
        <f t="shared" si="2"/>
        <v>135424.98178005731</v>
      </c>
      <c r="Y23" s="5">
        <f t="shared" si="1"/>
        <v>0.78249999999999986</v>
      </c>
    </row>
    <row r="24" spans="1:25" x14ac:dyDescent="0.25">
      <c r="A24" s="1" t="s">
        <v>51</v>
      </c>
      <c r="B24" s="1" t="s">
        <v>46</v>
      </c>
      <c r="C24" s="1" t="s">
        <v>22</v>
      </c>
      <c r="D24" s="1">
        <v>113133847.40931363</v>
      </c>
      <c r="E24" s="1">
        <v>7473828.3104101736</v>
      </c>
      <c r="F24" s="1">
        <v>7473828.3104101736</v>
      </c>
      <c r="G24" s="1">
        <v>9342285.3880127165</v>
      </c>
      <c r="H24" s="1">
        <v>9342285.3880127165</v>
      </c>
      <c r="I24" s="1">
        <v>9342285.3880127165</v>
      </c>
      <c r="J24" s="1">
        <v>9342285.3880127165</v>
      </c>
      <c r="K24" s="1">
        <v>9342285.3880127165</v>
      </c>
      <c r="L24" s="1">
        <v>9342285.3880127165</v>
      </c>
      <c r="M24" s="1">
        <v>5861976.9210978905</v>
      </c>
      <c r="N24" s="1">
        <v>5861976.9210978905</v>
      </c>
      <c r="O24" s="1">
        <v>4766898.0507513816</v>
      </c>
      <c r="P24" s="1">
        <v>4766898.0507513816</v>
      </c>
      <c r="Q24" s="1">
        <v>6599474.432209962</v>
      </c>
      <c r="R24" s="1">
        <v>6599474.432209962</v>
      </c>
      <c r="S24" s="1">
        <v>6599474.432209962</v>
      </c>
      <c r="T24" s="1">
        <v>6599474.432209962</v>
      </c>
      <c r="U24" s="1">
        <v>6599474.432209962</v>
      </c>
      <c r="V24" s="1">
        <v>6599474.432209962</v>
      </c>
      <c r="W24" s="4">
        <f t="shared" si="2"/>
        <v>65927982.742927477</v>
      </c>
      <c r="X24" s="4">
        <f t="shared" si="2"/>
        <v>65927982.742927477</v>
      </c>
      <c r="Y24" s="5">
        <f t="shared" si="1"/>
        <v>0.58274322187950289</v>
      </c>
    </row>
    <row r="25" spans="1:25" x14ac:dyDescent="0.25">
      <c r="A25" s="1" t="s">
        <v>51</v>
      </c>
      <c r="B25" s="1" t="s">
        <v>47</v>
      </c>
      <c r="C25" s="1" t="s">
        <v>34</v>
      </c>
      <c r="D25" s="1">
        <v>171234388.30985916</v>
      </c>
      <c r="E25" s="1">
        <v>0</v>
      </c>
      <c r="F25" s="1">
        <v>0</v>
      </c>
      <c r="G25" s="1">
        <v>11275573.93253685</v>
      </c>
      <c r="H25" s="1">
        <v>11275573.93253685</v>
      </c>
      <c r="I25" s="1">
        <v>0</v>
      </c>
      <c r="J25" s="1">
        <v>0</v>
      </c>
      <c r="K25" s="1">
        <v>0</v>
      </c>
      <c r="L25" s="1">
        <v>0</v>
      </c>
      <c r="M25" s="1">
        <v>79979407.188661158</v>
      </c>
      <c r="N25" s="1">
        <v>79979407.188661158</v>
      </c>
      <c r="O25" s="1">
        <v>0</v>
      </c>
      <c r="P25" s="1">
        <v>0</v>
      </c>
      <c r="Q25" s="1">
        <v>0</v>
      </c>
      <c r="R25" s="1">
        <v>0</v>
      </c>
      <c r="S25" s="1">
        <v>79979407.188661158</v>
      </c>
      <c r="T25" s="1">
        <v>79979407.188661158</v>
      </c>
      <c r="U25" s="1">
        <v>0</v>
      </c>
      <c r="V25" s="1">
        <v>0</v>
      </c>
      <c r="W25" s="4">
        <f t="shared" si="2"/>
        <v>171234388.30985916</v>
      </c>
      <c r="X25" s="4">
        <f t="shared" si="2"/>
        <v>171234388.30985916</v>
      </c>
      <c r="Y25" s="5">
        <f t="shared" si="1"/>
        <v>1</v>
      </c>
    </row>
    <row r="26" spans="1:25" x14ac:dyDescent="0.25">
      <c r="A26" s="1" t="s">
        <v>51</v>
      </c>
      <c r="B26" s="1" t="s">
        <v>48</v>
      </c>
      <c r="C26" s="1" t="s">
        <v>49</v>
      </c>
      <c r="D26" s="1">
        <v>6024528.0438208515</v>
      </c>
      <c r="E26" s="1">
        <v>397618.85089217621</v>
      </c>
      <c r="F26" s="1">
        <v>397618.85089217621</v>
      </c>
      <c r="G26" s="1">
        <v>497023.56361522025</v>
      </c>
      <c r="H26" s="1">
        <v>497023.56361522025</v>
      </c>
      <c r="I26" s="1">
        <v>497023.56361522025</v>
      </c>
      <c r="J26" s="1">
        <v>497023.56361522025</v>
      </c>
      <c r="K26" s="1">
        <v>497023.56361522025</v>
      </c>
      <c r="L26" s="1">
        <v>497023.56361522025</v>
      </c>
      <c r="M26" s="1">
        <v>302732.53420199768</v>
      </c>
      <c r="N26" s="1">
        <v>302732.53420199768</v>
      </c>
      <c r="O26" s="1">
        <v>252277.1118349981</v>
      </c>
      <c r="P26" s="1">
        <v>252277.1118349981</v>
      </c>
      <c r="Q26" s="1">
        <v>353187.9565689973</v>
      </c>
      <c r="R26" s="1">
        <v>353187.9565689973</v>
      </c>
      <c r="S26" s="1">
        <v>353187.9565689973</v>
      </c>
      <c r="T26" s="1">
        <v>353187.9565689973</v>
      </c>
      <c r="U26" s="1">
        <v>353187.9565689973</v>
      </c>
      <c r="V26" s="1">
        <v>353187.9565689973</v>
      </c>
      <c r="W26" s="4">
        <f t="shared" si="2"/>
        <v>3503263.0574818244</v>
      </c>
      <c r="X26" s="4">
        <f t="shared" si="2"/>
        <v>3503263.0574818244</v>
      </c>
      <c r="Y26" s="5">
        <f t="shared" si="1"/>
        <v>0.58149999999999991</v>
      </c>
    </row>
    <row r="27" spans="1:25" x14ac:dyDescent="0.25">
      <c r="A27" s="1" t="s">
        <v>51</v>
      </c>
      <c r="B27" s="1" t="s">
        <v>50</v>
      </c>
      <c r="C27" s="1" t="s">
        <v>25</v>
      </c>
      <c r="D27" s="1">
        <v>6325754.4460118925</v>
      </c>
      <c r="E27" s="1">
        <v>417499.793436785</v>
      </c>
      <c r="F27" s="1">
        <v>417499.793436785</v>
      </c>
      <c r="G27" s="1">
        <v>521874.74179598119</v>
      </c>
      <c r="H27" s="1">
        <v>521874.74179598119</v>
      </c>
      <c r="I27" s="1">
        <v>521874.74179598119</v>
      </c>
      <c r="J27" s="1">
        <v>521874.74179598119</v>
      </c>
      <c r="K27" s="1">
        <v>521874.74179598119</v>
      </c>
      <c r="L27" s="1">
        <v>521874.74179598119</v>
      </c>
      <c r="M27" s="1">
        <v>317869.16091209761</v>
      </c>
      <c r="N27" s="1">
        <v>317869.16091209761</v>
      </c>
      <c r="O27" s="1">
        <v>264890.96742674801</v>
      </c>
      <c r="P27" s="1">
        <v>264890.96742674801</v>
      </c>
      <c r="Q27" s="1">
        <v>370847.3543974472</v>
      </c>
      <c r="R27" s="1">
        <v>370847.3543974472</v>
      </c>
      <c r="S27" s="1">
        <v>370847.3543974472</v>
      </c>
      <c r="T27" s="1">
        <v>370847.3543974472</v>
      </c>
      <c r="U27" s="1">
        <v>370847.3543974472</v>
      </c>
      <c r="V27" s="1">
        <v>370847.3543974472</v>
      </c>
      <c r="W27" s="4">
        <f t="shared" si="2"/>
        <v>3678426.2103559161</v>
      </c>
      <c r="X27" s="4">
        <f t="shared" si="2"/>
        <v>3678426.2103559161</v>
      </c>
      <c r="Y27" s="5">
        <f t="shared" si="1"/>
        <v>0.58150000000000013</v>
      </c>
    </row>
    <row r="28" spans="1:25" x14ac:dyDescent="0.25">
      <c r="A28" s="1" t="s">
        <v>52</v>
      </c>
      <c r="B28" s="1" t="s">
        <v>33</v>
      </c>
      <c r="C28" s="1" t="s">
        <v>34</v>
      </c>
      <c r="D28" s="1">
        <v>12000000</v>
      </c>
      <c r="E28" s="1">
        <v>0</v>
      </c>
      <c r="F28" s="1">
        <v>0</v>
      </c>
      <c r="G28" s="1">
        <v>2400000</v>
      </c>
      <c r="H28" s="1">
        <v>2400000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7200000</v>
      </c>
      <c r="P28" s="1">
        <v>7200000</v>
      </c>
      <c r="Q28" s="1">
        <v>0</v>
      </c>
      <c r="R28" s="1">
        <v>0</v>
      </c>
      <c r="S28" s="1">
        <v>0</v>
      </c>
      <c r="T28" s="1">
        <v>0</v>
      </c>
      <c r="U28" s="1">
        <v>2400000</v>
      </c>
      <c r="V28" s="1">
        <v>2400000</v>
      </c>
      <c r="W28" s="4">
        <f t="shared" si="2"/>
        <v>12000000</v>
      </c>
      <c r="X28" s="4">
        <f t="shared" si="2"/>
        <v>12000000</v>
      </c>
      <c r="Y28" s="5">
        <f t="shared" si="1"/>
        <v>1</v>
      </c>
    </row>
    <row r="29" spans="1:25" x14ac:dyDescent="0.25">
      <c r="A29" s="1" t="s">
        <v>52</v>
      </c>
      <c r="B29" s="1" t="s">
        <v>35</v>
      </c>
      <c r="C29" s="1" t="s">
        <v>34</v>
      </c>
      <c r="D29" s="1">
        <v>30000000</v>
      </c>
      <c r="E29" s="1">
        <v>0</v>
      </c>
      <c r="F29" s="1">
        <v>0</v>
      </c>
      <c r="G29" s="1">
        <v>8250000</v>
      </c>
      <c r="H29" s="1">
        <v>8250000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7250000</v>
      </c>
      <c r="P29" s="1">
        <v>7250000</v>
      </c>
      <c r="Q29" s="1">
        <v>0</v>
      </c>
      <c r="R29" s="1">
        <v>0</v>
      </c>
      <c r="S29" s="1">
        <v>7250000</v>
      </c>
      <c r="T29" s="1">
        <v>7250000</v>
      </c>
      <c r="U29" s="1">
        <v>7250000</v>
      </c>
      <c r="V29" s="1">
        <v>7250000</v>
      </c>
      <c r="W29" s="4">
        <f t="shared" si="2"/>
        <v>30000000</v>
      </c>
      <c r="X29" s="4">
        <f t="shared" si="2"/>
        <v>30000000</v>
      </c>
      <c r="Y29" s="5">
        <f t="shared" si="1"/>
        <v>1</v>
      </c>
    </row>
    <row r="30" spans="1:25" x14ac:dyDescent="0.25">
      <c r="A30" s="1" t="s">
        <v>52</v>
      </c>
      <c r="B30" s="1" t="s">
        <v>36</v>
      </c>
      <c r="C30" s="1" t="s">
        <v>37</v>
      </c>
      <c r="D30" s="1">
        <v>500000000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4">
        <f t="shared" si="2"/>
        <v>0</v>
      </c>
      <c r="X30" s="4">
        <f t="shared" si="2"/>
        <v>0</v>
      </c>
      <c r="Y30" s="5">
        <f t="shared" si="1"/>
        <v>0</v>
      </c>
    </row>
    <row r="31" spans="1:25" x14ac:dyDescent="0.25">
      <c r="A31" s="1" t="s">
        <v>52</v>
      </c>
      <c r="B31" s="1" t="s">
        <v>38</v>
      </c>
      <c r="C31" s="1" t="s">
        <v>39</v>
      </c>
      <c r="D31" s="1">
        <v>173067.06936748559</v>
      </c>
      <c r="E31" s="1">
        <v>11422.42657825405</v>
      </c>
      <c r="F31" s="1">
        <v>11422.42657825405</v>
      </c>
      <c r="G31" s="1">
        <v>14278.033222817561</v>
      </c>
      <c r="H31" s="1">
        <v>14278.033222817561</v>
      </c>
      <c r="I31" s="1">
        <v>14278.033222817561</v>
      </c>
      <c r="J31" s="1">
        <v>14278.033222817561</v>
      </c>
      <c r="K31" s="1">
        <v>14278.033222817561</v>
      </c>
      <c r="L31" s="1">
        <v>14278.033222817561</v>
      </c>
      <c r="M31" s="1">
        <v>69572.961885729223</v>
      </c>
      <c r="N31" s="1">
        <v>69572.961885729223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4">
        <f t="shared" si="2"/>
        <v>123829.48813243593</v>
      </c>
      <c r="X31" s="4">
        <f t="shared" si="2"/>
        <v>123829.48813243593</v>
      </c>
      <c r="Y31" s="5">
        <f t="shared" si="1"/>
        <v>0.71549999999999991</v>
      </c>
    </row>
    <row r="32" spans="1:25" x14ac:dyDescent="0.25">
      <c r="A32" s="1" t="s">
        <v>52</v>
      </c>
      <c r="B32" s="1" t="s">
        <v>40</v>
      </c>
      <c r="C32" s="1" t="s">
        <v>27</v>
      </c>
      <c r="D32" s="1">
        <v>79142257</v>
      </c>
      <c r="E32" s="1">
        <v>3512550.6666667</v>
      </c>
      <c r="F32" s="1">
        <v>3512550.6666667</v>
      </c>
      <c r="G32" s="1">
        <v>5675009</v>
      </c>
      <c r="H32" s="1">
        <v>5675009</v>
      </c>
      <c r="I32" s="1">
        <v>3590525</v>
      </c>
      <c r="J32" s="1">
        <v>3590525</v>
      </c>
      <c r="K32" s="1">
        <v>5164511.3333333004</v>
      </c>
      <c r="L32" s="1">
        <v>5164511.3333333004</v>
      </c>
      <c r="M32" s="1">
        <v>12750000</v>
      </c>
      <c r="N32" s="1">
        <v>12750000</v>
      </c>
      <c r="O32" s="1">
        <v>20397898</v>
      </c>
      <c r="P32" s="1">
        <v>20397898</v>
      </c>
      <c r="Q32" s="1">
        <v>8442511.3333333321</v>
      </c>
      <c r="R32" s="1">
        <v>8442511.3333333321</v>
      </c>
      <c r="S32" s="1">
        <v>3390008.9933333397</v>
      </c>
      <c r="T32" s="1">
        <v>3390008.9933333397</v>
      </c>
      <c r="U32" s="1">
        <v>6500229</v>
      </c>
      <c r="V32" s="1">
        <v>6500229</v>
      </c>
      <c r="W32" s="4">
        <f t="shared" si="2"/>
        <v>69423243.326666668</v>
      </c>
      <c r="X32" s="4">
        <f t="shared" si="2"/>
        <v>69423243.326666668</v>
      </c>
      <c r="Y32" s="5">
        <f t="shared" si="1"/>
        <v>0.87719564690537788</v>
      </c>
    </row>
    <row r="33" spans="1:25" x14ac:dyDescent="0.25">
      <c r="A33" s="1" t="s">
        <v>52</v>
      </c>
      <c r="B33" s="1" t="s">
        <v>40</v>
      </c>
      <c r="C33" s="1" t="s">
        <v>27</v>
      </c>
      <c r="D33" s="1">
        <v>43419688</v>
      </c>
      <c r="E33" s="1">
        <v>0</v>
      </c>
      <c r="F33" s="1">
        <v>0</v>
      </c>
      <c r="G33" s="1">
        <v>11307116</v>
      </c>
      <c r="H33" s="1">
        <v>11307116</v>
      </c>
      <c r="I33" s="1">
        <v>4040253.8587022275</v>
      </c>
      <c r="J33" s="1">
        <v>4040253.8587022275</v>
      </c>
      <c r="K33" s="1">
        <v>0</v>
      </c>
      <c r="L33" s="1">
        <v>0</v>
      </c>
      <c r="M33" s="1">
        <v>9350241.8029866647</v>
      </c>
      <c r="N33" s="1">
        <v>9350241.8029866647</v>
      </c>
      <c r="O33" s="1">
        <v>9371834.5353244431</v>
      </c>
      <c r="P33" s="1">
        <v>9371834.5353244431</v>
      </c>
      <c r="Q33" s="1">
        <v>9350241.8029866647</v>
      </c>
      <c r="R33" s="1">
        <v>9350241.8029866647</v>
      </c>
      <c r="S33" s="1">
        <v>0</v>
      </c>
      <c r="T33" s="1">
        <v>0</v>
      </c>
      <c r="U33" s="1">
        <v>0</v>
      </c>
      <c r="V33" s="1">
        <v>0</v>
      </c>
      <c r="W33" s="4">
        <f t="shared" si="2"/>
        <v>43419688</v>
      </c>
      <c r="X33" s="4">
        <f t="shared" si="2"/>
        <v>43419688</v>
      </c>
      <c r="Y33" s="5">
        <f t="shared" si="1"/>
        <v>1</v>
      </c>
    </row>
    <row r="34" spans="1:25" x14ac:dyDescent="0.25">
      <c r="A34" s="1" t="s">
        <v>52</v>
      </c>
      <c r="B34" s="1" t="s">
        <v>40</v>
      </c>
      <c r="C34" s="1" t="s">
        <v>27</v>
      </c>
      <c r="D34" s="1">
        <v>10679815</v>
      </c>
      <c r="E34" s="1">
        <v>10679815</v>
      </c>
      <c r="F34" s="1">
        <v>10679815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4">
        <f t="shared" si="2"/>
        <v>10679815</v>
      </c>
      <c r="X34" s="4">
        <f t="shared" si="2"/>
        <v>10679815</v>
      </c>
      <c r="Y34" s="5">
        <f t="shared" si="1"/>
        <v>1</v>
      </c>
    </row>
    <row r="35" spans="1:25" x14ac:dyDescent="0.25">
      <c r="A35" s="1" t="s">
        <v>52</v>
      </c>
      <c r="B35" s="1" t="s">
        <v>43</v>
      </c>
      <c r="C35" s="1" t="s">
        <v>31</v>
      </c>
      <c r="D35" s="1">
        <v>2136975.3411420039</v>
      </c>
      <c r="E35" s="1">
        <v>313066.72397167597</v>
      </c>
      <c r="F35" s="1">
        <v>313066.72397167597</v>
      </c>
      <c r="G35" s="1">
        <v>391333.40496459493</v>
      </c>
      <c r="H35" s="1">
        <v>391333.40496459493</v>
      </c>
      <c r="I35" s="1">
        <v>391333.40496459493</v>
      </c>
      <c r="J35" s="1">
        <v>391333.40496459493</v>
      </c>
      <c r="K35" s="1">
        <v>391333.40496459493</v>
      </c>
      <c r="L35" s="1">
        <v>391333.40496459493</v>
      </c>
      <c r="M35" s="1">
        <v>0</v>
      </c>
      <c r="N35" s="1">
        <v>0</v>
      </c>
      <c r="O35" s="1">
        <v>0</v>
      </c>
      <c r="P35" s="1">
        <v>0</v>
      </c>
      <c r="Q35" s="1">
        <v>401478.71806550055</v>
      </c>
      <c r="R35" s="1">
        <v>401478.71806550055</v>
      </c>
      <c r="S35" s="1">
        <v>0</v>
      </c>
      <c r="T35" s="1">
        <v>0</v>
      </c>
      <c r="U35" s="1">
        <v>0</v>
      </c>
      <c r="V35" s="1">
        <v>0</v>
      </c>
      <c r="W35" s="4">
        <f t="shared" si="2"/>
        <v>1888545.6569309612</v>
      </c>
      <c r="X35" s="4">
        <f t="shared" si="2"/>
        <v>1888545.6569309612</v>
      </c>
      <c r="Y35" s="5">
        <f t="shared" si="1"/>
        <v>0.88374705153205868</v>
      </c>
    </row>
    <row r="36" spans="1:25" x14ac:dyDescent="0.25">
      <c r="A36" s="1" t="s">
        <v>52</v>
      </c>
      <c r="B36" s="1" t="s">
        <v>44</v>
      </c>
      <c r="C36" s="1" t="s">
        <v>45</v>
      </c>
      <c r="D36" s="1">
        <v>173067.06936748559</v>
      </c>
      <c r="E36" s="1">
        <v>11422.42657825405</v>
      </c>
      <c r="F36" s="1">
        <v>11422.42657825405</v>
      </c>
      <c r="G36" s="1">
        <v>14278.033222817561</v>
      </c>
      <c r="H36" s="1">
        <v>14278.033222817561</v>
      </c>
      <c r="I36" s="1">
        <v>14278.033222817561</v>
      </c>
      <c r="J36" s="1">
        <v>14278.033222817561</v>
      </c>
      <c r="K36" s="1">
        <v>14278.033222817561</v>
      </c>
      <c r="L36" s="1">
        <v>14278.033222817561</v>
      </c>
      <c r="M36" s="1">
        <v>0</v>
      </c>
      <c r="N36" s="1">
        <v>0</v>
      </c>
      <c r="O36" s="1">
        <v>0</v>
      </c>
      <c r="P36" s="1">
        <v>0</v>
      </c>
      <c r="Q36" s="1">
        <v>81168.45553335076</v>
      </c>
      <c r="R36" s="1">
        <v>81168.45553335076</v>
      </c>
      <c r="S36" s="1">
        <v>0</v>
      </c>
      <c r="T36" s="1">
        <v>0</v>
      </c>
      <c r="U36" s="1">
        <v>0</v>
      </c>
      <c r="V36" s="1">
        <v>0</v>
      </c>
      <c r="W36" s="4">
        <f t="shared" si="2"/>
        <v>135424.98178005748</v>
      </c>
      <c r="X36" s="4">
        <f t="shared" si="2"/>
        <v>135424.98178005748</v>
      </c>
      <c r="Y36" s="5">
        <f t="shared" si="1"/>
        <v>0.78250000000000008</v>
      </c>
    </row>
    <row r="37" spans="1:25" x14ac:dyDescent="0.25">
      <c r="A37" s="1" t="s">
        <v>52</v>
      </c>
      <c r="B37" s="1" t="s">
        <v>46</v>
      </c>
      <c r="C37" s="1" t="s">
        <v>22</v>
      </c>
      <c r="D37" s="1">
        <v>48761289.115422517</v>
      </c>
      <c r="E37" s="1">
        <v>3221259.6971482346</v>
      </c>
      <c r="F37" s="1">
        <v>3221259.6971482346</v>
      </c>
      <c r="G37" s="1">
        <v>4026574.621435293</v>
      </c>
      <c r="H37" s="1">
        <v>4026574.621435293</v>
      </c>
      <c r="I37" s="1">
        <v>4026574.621435293</v>
      </c>
      <c r="J37" s="1">
        <v>4026574.621435293</v>
      </c>
      <c r="K37" s="1">
        <v>4026574.621435293</v>
      </c>
      <c r="L37" s="1">
        <v>4026574.621435293</v>
      </c>
      <c r="M37" s="1">
        <v>2526543.187410926</v>
      </c>
      <c r="N37" s="1">
        <v>2526543.187410926</v>
      </c>
      <c r="O37" s="1">
        <v>2054558.3780552708</v>
      </c>
      <c r="P37" s="1">
        <v>2054558.3780552708</v>
      </c>
      <c r="Q37" s="1">
        <v>2844408.5317329778</v>
      </c>
      <c r="R37" s="1">
        <v>2844408.5317329778</v>
      </c>
      <c r="S37" s="1">
        <v>2844408.5317329802</v>
      </c>
      <c r="T37" s="1">
        <v>2844408.5317329802</v>
      </c>
      <c r="U37" s="1">
        <v>2844408.5317329802</v>
      </c>
      <c r="V37" s="1">
        <v>2844408.5317329802</v>
      </c>
      <c r="W37" s="4">
        <f t="shared" si="2"/>
        <v>28415310.722119246</v>
      </c>
      <c r="X37" s="4">
        <f t="shared" si="2"/>
        <v>28415310.722119246</v>
      </c>
      <c r="Y37" s="5">
        <f t="shared" si="1"/>
        <v>0.58274322187950278</v>
      </c>
    </row>
    <row r="38" spans="1:25" x14ac:dyDescent="0.25">
      <c r="A38" s="1" t="s">
        <v>52</v>
      </c>
      <c r="B38" s="1" t="s">
        <v>47</v>
      </c>
      <c r="C38" s="1" t="s">
        <v>34</v>
      </c>
      <c r="D38" s="1">
        <v>171234388.30985916</v>
      </c>
      <c r="E38" s="1">
        <v>0</v>
      </c>
      <c r="F38" s="1">
        <v>0</v>
      </c>
      <c r="G38" s="1">
        <v>11275573.93253685</v>
      </c>
      <c r="H38" s="1">
        <v>11275573.93253685</v>
      </c>
      <c r="I38" s="1">
        <v>20000000</v>
      </c>
      <c r="J38" s="1">
        <v>20000000</v>
      </c>
      <c r="K38" s="1">
        <v>0</v>
      </c>
      <c r="L38" s="1">
        <v>0</v>
      </c>
      <c r="M38" s="1">
        <v>59979407.188661203</v>
      </c>
      <c r="N38" s="1">
        <v>59979407.188661203</v>
      </c>
      <c r="O38" s="1">
        <v>0</v>
      </c>
      <c r="P38" s="1">
        <v>0</v>
      </c>
      <c r="Q38" s="1">
        <v>0</v>
      </c>
      <c r="R38" s="1">
        <v>0</v>
      </c>
      <c r="S38" s="1">
        <v>79979407.188661158</v>
      </c>
      <c r="T38" s="1">
        <v>79979407.188661158</v>
      </c>
      <c r="U38" s="1">
        <v>0</v>
      </c>
      <c r="V38" s="1">
        <v>0</v>
      </c>
      <c r="W38" s="4">
        <f t="shared" si="2"/>
        <v>171234388.30985922</v>
      </c>
      <c r="X38" s="4">
        <f t="shared" si="2"/>
        <v>171234388.30985922</v>
      </c>
      <c r="Y38" s="5">
        <f t="shared" si="1"/>
        <v>1.0000000000000004</v>
      </c>
    </row>
    <row r="39" spans="1:25" x14ac:dyDescent="0.25">
      <c r="A39" s="1" t="s">
        <v>52</v>
      </c>
      <c r="B39" s="1" t="s">
        <v>48</v>
      </c>
      <c r="C39" s="1" t="s">
        <v>49</v>
      </c>
      <c r="D39" s="1">
        <v>5028661.7284917152</v>
      </c>
      <c r="E39" s="1">
        <v>331891.67408045323</v>
      </c>
      <c r="F39" s="1">
        <v>331891.67408045323</v>
      </c>
      <c r="G39" s="1">
        <v>414864.59260056651</v>
      </c>
      <c r="H39" s="1">
        <v>414864.59260056651</v>
      </c>
      <c r="I39" s="1">
        <v>414864.59260056651</v>
      </c>
      <c r="J39" s="1">
        <v>414864.59260056651</v>
      </c>
      <c r="K39" s="1">
        <v>414864.59260056651</v>
      </c>
      <c r="L39" s="1">
        <v>414864.59260056651</v>
      </c>
      <c r="M39" s="1">
        <v>252690.25185670872</v>
      </c>
      <c r="N39" s="1">
        <v>252690.25185670872</v>
      </c>
      <c r="O39" s="1">
        <v>210575.20988059061</v>
      </c>
      <c r="P39" s="1">
        <v>210575.20988059061</v>
      </c>
      <c r="Q39" s="1">
        <v>294805.29383282684</v>
      </c>
      <c r="R39" s="1">
        <v>294805.29383282684</v>
      </c>
      <c r="S39" s="1">
        <v>294805.29383282684</v>
      </c>
      <c r="T39" s="1">
        <v>294805.29383282684</v>
      </c>
      <c r="U39" s="1">
        <v>294805.29383282684</v>
      </c>
      <c r="V39" s="1">
        <v>294805.29383282684</v>
      </c>
      <c r="W39" s="4">
        <f t="shared" si="2"/>
        <v>2924166.7951179324</v>
      </c>
      <c r="X39" s="4">
        <f t="shared" si="2"/>
        <v>2924166.7951179324</v>
      </c>
      <c r="Y39" s="5">
        <f t="shared" si="1"/>
        <v>0.58150000000000002</v>
      </c>
    </row>
    <row r="40" spans="1:25" x14ac:dyDescent="0.25">
      <c r="A40" s="1" t="s">
        <v>52</v>
      </c>
      <c r="B40" s="1" t="s">
        <v>53</v>
      </c>
      <c r="C40" s="1" t="s">
        <v>30</v>
      </c>
      <c r="D40" s="1">
        <v>8803809.7835806534</v>
      </c>
      <c r="E40" s="1">
        <v>581051.44571632321</v>
      </c>
      <c r="F40" s="1">
        <v>581051.44571632321</v>
      </c>
      <c r="G40" s="1">
        <v>726314.30714540393</v>
      </c>
      <c r="H40" s="1">
        <v>726314.30714540393</v>
      </c>
      <c r="I40" s="1">
        <v>726314.30714540393</v>
      </c>
      <c r="J40" s="1">
        <v>726314.30714540393</v>
      </c>
      <c r="K40" s="1">
        <v>726314.30714540393</v>
      </c>
      <c r="L40" s="1">
        <v>726314.30714540393</v>
      </c>
      <c r="M40" s="1">
        <v>442391.4416249278</v>
      </c>
      <c r="N40" s="1">
        <v>442391.4416249278</v>
      </c>
      <c r="O40" s="1">
        <v>368659.53468743985</v>
      </c>
      <c r="P40" s="1">
        <v>368659.53468743985</v>
      </c>
      <c r="Q40" s="1">
        <v>516123.34856241575</v>
      </c>
      <c r="R40" s="1">
        <v>516123.34856241575</v>
      </c>
      <c r="S40" s="1">
        <v>516123.34856241575</v>
      </c>
      <c r="T40" s="1">
        <v>516123.34856241575</v>
      </c>
      <c r="U40" s="1">
        <v>516123.34856241575</v>
      </c>
      <c r="V40" s="1">
        <v>516123.34856241575</v>
      </c>
      <c r="W40" s="4">
        <f t="shared" si="2"/>
        <v>5119415.3891521497</v>
      </c>
      <c r="X40" s="4">
        <f t="shared" si="2"/>
        <v>5119415.3891521497</v>
      </c>
      <c r="Y40" s="5">
        <f t="shared" si="1"/>
        <v>0.58150000000000002</v>
      </c>
    </row>
    <row r="41" spans="1:25" x14ac:dyDescent="0.25">
      <c r="A41" s="1" t="s">
        <v>52</v>
      </c>
      <c r="B41" s="1" t="s">
        <v>50</v>
      </c>
      <c r="C41" s="1" t="s">
        <v>25</v>
      </c>
      <c r="D41" s="1">
        <v>5280094.8149162997</v>
      </c>
      <c r="E41" s="1">
        <v>348486.25778447581</v>
      </c>
      <c r="F41" s="1">
        <v>348486.25778447581</v>
      </c>
      <c r="G41" s="1">
        <v>435607.82223059476</v>
      </c>
      <c r="H41" s="1">
        <v>435607.82223059476</v>
      </c>
      <c r="I41" s="1">
        <v>435607.82223059476</v>
      </c>
      <c r="J41" s="1">
        <v>435607.82223059476</v>
      </c>
      <c r="K41" s="1">
        <v>435607.82223059476</v>
      </c>
      <c r="L41" s="1">
        <v>435607.82223059476</v>
      </c>
      <c r="M41" s="1">
        <v>265324.76444954408</v>
      </c>
      <c r="N41" s="1">
        <v>265324.76444954408</v>
      </c>
      <c r="O41" s="1">
        <v>221103.97037462005</v>
      </c>
      <c r="P41" s="1">
        <v>221103.97037462005</v>
      </c>
      <c r="Q41" s="1">
        <v>309545.55852446804</v>
      </c>
      <c r="R41" s="1">
        <v>309545.55852446804</v>
      </c>
      <c r="S41" s="1">
        <v>309545.55852446804</v>
      </c>
      <c r="T41" s="1">
        <v>309545.55852446804</v>
      </c>
      <c r="U41" s="1">
        <v>309545.55852446804</v>
      </c>
      <c r="V41" s="1">
        <v>309545.55852446804</v>
      </c>
      <c r="W41" s="4">
        <f t="shared" si="2"/>
        <v>3070375.1348738279</v>
      </c>
      <c r="X41" s="4">
        <f t="shared" si="2"/>
        <v>3070375.1348738279</v>
      </c>
      <c r="Y41" s="5">
        <f t="shared" si="1"/>
        <v>0.58149999999999991</v>
      </c>
    </row>
    <row r="42" spans="1:25" x14ac:dyDescent="0.25">
      <c r="A42" s="1" t="s">
        <v>54</v>
      </c>
      <c r="B42" s="1" t="s">
        <v>33</v>
      </c>
      <c r="C42" s="1" t="s">
        <v>34</v>
      </c>
      <c r="D42" s="1">
        <v>12000000</v>
      </c>
      <c r="E42" s="1">
        <v>0</v>
      </c>
      <c r="F42" s="1">
        <v>0</v>
      </c>
      <c r="G42" s="1">
        <v>2400000</v>
      </c>
      <c r="H42" s="1">
        <v>2400000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7200000</v>
      </c>
      <c r="P42" s="1">
        <v>7200000</v>
      </c>
      <c r="Q42" s="1">
        <v>0</v>
      </c>
      <c r="R42" s="1">
        <v>0</v>
      </c>
      <c r="S42" s="1">
        <v>0</v>
      </c>
      <c r="T42" s="1">
        <v>0</v>
      </c>
      <c r="U42" s="1">
        <v>2400000</v>
      </c>
      <c r="V42" s="1">
        <v>2400000</v>
      </c>
      <c r="W42" s="4">
        <f t="shared" si="2"/>
        <v>12000000</v>
      </c>
      <c r="X42" s="4">
        <f t="shared" si="2"/>
        <v>12000000</v>
      </c>
      <c r="Y42" s="5">
        <f t="shared" si="1"/>
        <v>1</v>
      </c>
    </row>
    <row r="43" spans="1:25" x14ac:dyDescent="0.25">
      <c r="A43" s="1" t="s">
        <v>54</v>
      </c>
      <c r="B43" s="1" t="s">
        <v>35</v>
      </c>
      <c r="C43" s="1" t="s">
        <v>34</v>
      </c>
      <c r="D43" s="1">
        <v>30000000</v>
      </c>
      <c r="E43" s="1">
        <v>0</v>
      </c>
      <c r="F43" s="1">
        <v>0</v>
      </c>
      <c r="G43" s="1">
        <v>8250000</v>
      </c>
      <c r="H43" s="1">
        <v>8250000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7250000</v>
      </c>
      <c r="P43" s="1">
        <v>7250000</v>
      </c>
      <c r="Q43" s="1">
        <v>0</v>
      </c>
      <c r="R43" s="1">
        <v>0</v>
      </c>
      <c r="S43" s="1">
        <v>7250000</v>
      </c>
      <c r="T43" s="1">
        <v>7250000</v>
      </c>
      <c r="U43" s="1">
        <v>7250000</v>
      </c>
      <c r="V43" s="1">
        <v>7250000</v>
      </c>
      <c r="W43" s="4">
        <f t="shared" si="2"/>
        <v>30000000</v>
      </c>
      <c r="X43" s="4">
        <f t="shared" si="2"/>
        <v>30000000</v>
      </c>
      <c r="Y43" s="5">
        <f t="shared" si="1"/>
        <v>1</v>
      </c>
    </row>
    <row r="44" spans="1:25" x14ac:dyDescent="0.25">
      <c r="A44" s="1" t="s">
        <v>54</v>
      </c>
      <c r="B44" s="1" t="s">
        <v>36</v>
      </c>
      <c r="C44" s="1" t="s">
        <v>37</v>
      </c>
      <c r="D44" s="1">
        <v>500000000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4">
        <f t="shared" si="2"/>
        <v>0</v>
      </c>
      <c r="X44" s="4">
        <f t="shared" si="2"/>
        <v>0</v>
      </c>
      <c r="Y44" s="5">
        <f t="shared" si="1"/>
        <v>0</v>
      </c>
    </row>
    <row r="45" spans="1:25" x14ac:dyDescent="0.25">
      <c r="A45" s="1" t="s">
        <v>54</v>
      </c>
      <c r="B45" s="1" t="s">
        <v>38</v>
      </c>
      <c r="C45" s="1" t="s">
        <v>39</v>
      </c>
      <c r="D45" s="1">
        <v>173067.06936748559</v>
      </c>
      <c r="E45" s="1">
        <v>11422.42657825405</v>
      </c>
      <c r="F45" s="1">
        <v>11422.42657825405</v>
      </c>
      <c r="G45" s="1">
        <v>14278.033222817561</v>
      </c>
      <c r="H45" s="1">
        <v>14278.033222817561</v>
      </c>
      <c r="I45" s="1">
        <v>14278.033222817561</v>
      </c>
      <c r="J45" s="1">
        <v>14278.033222817561</v>
      </c>
      <c r="K45" s="1">
        <v>14278.033222817561</v>
      </c>
      <c r="L45" s="1">
        <v>14278.033222817561</v>
      </c>
      <c r="M45" s="1">
        <v>69572.961885729223</v>
      </c>
      <c r="N45" s="1">
        <v>69572.961885729223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4">
        <f t="shared" si="2"/>
        <v>123829.48813243593</v>
      </c>
      <c r="X45" s="4">
        <f t="shared" si="2"/>
        <v>123829.48813243593</v>
      </c>
      <c r="Y45" s="5">
        <f t="shared" si="1"/>
        <v>0.71549999999999991</v>
      </c>
    </row>
    <row r="46" spans="1:25" x14ac:dyDescent="0.25">
      <c r="A46" s="1" t="s">
        <v>54</v>
      </c>
      <c r="B46" s="1" t="s">
        <v>40</v>
      </c>
      <c r="C46" s="1" t="s">
        <v>27</v>
      </c>
      <c r="D46" s="1">
        <v>45316769</v>
      </c>
      <c r="E46" s="1">
        <v>2421719</v>
      </c>
      <c r="F46" s="1">
        <v>2421719</v>
      </c>
      <c r="G46" s="1">
        <v>2135237</v>
      </c>
      <c r="H46" s="1">
        <v>2135237</v>
      </c>
      <c r="I46" s="1">
        <v>2125191</v>
      </c>
      <c r="J46" s="1">
        <v>2125191</v>
      </c>
      <c r="K46" s="1">
        <v>2370422.6358684152</v>
      </c>
      <c r="L46" s="1">
        <v>2370422.6358684152</v>
      </c>
      <c r="M46" s="1">
        <v>5400597.2730986886</v>
      </c>
      <c r="N46" s="1">
        <v>5400597.2730986886</v>
      </c>
      <c r="O46" s="1">
        <v>10941947.091032896</v>
      </c>
      <c r="P46" s="1">
        <v>10941947.091032896</v>
      </c>
      <c r="Q46" s="1">
        <v>2686719</v>
      </c>
      <c r="R46" s="1">
        <v>2686719</v>
      </c>
      <c r="S46" s="1">
        <v>4567177</v>
      </c>
      <c r="T46" s="1">
        <v>4567177</v>
      </c>
      <c r="U46" s="1">
        <v>5281692</v>
      </c>
      <c r="V46" s="1">
        <v>5281692</v>
      </c>
      <c r="W46" s="4">
        <f t="shared" si="2"/>
        <v>37930702</v>
      </c>
      <c r="X46" s="4">
        <f t="shared" si="2"/>
        <v>37930702</v>
      </c>
      <c r="Y46" s="5">
        <f t="shared" si="1"/>
        <v>0.83701249751499274</v>
      </c>
    </row>
    <row r="47" spans="1:25" x14ac:dyDescent="0.25">
      <c r="A47" s="1" t="s">
        <v>54</v>
      </c>
      <c r="B47" s="1" t="s">
        <v>40</v>
      </c>
      <c r="C47" s="1" t="s">
        <v>27</v>
      </c>
      <c r="D47" s="1">
        <v>15561264</v>
      </c>
      <c r="E47" s="1">
        <v>0</v>
      </c>
      <c r="F47" s="1">
        <v>0</v>
      </c>
      <c r="G47" s="1">
        <v>7561264</v>
      </c>
      <c r="H47" s="1">
        <v>7561264</v>
      </c>
      <c r="I47" s="1">
        <v>0</v>
      </c>
      <c r="J47" s="1">
        <v>0</v>
      </c>
      <c r="K47" s="1">
        <v>0</v>
      </c>
      <c r="L47" s="1">
        <v>0</v>
      </c>
      <c r="M47" s="1">
        <v>3000000</v>
      </c>
      <c r="N47" s="1">
        <v>3000000</v>
      </c>
      <c r="O47" s="1">
        <v>2000000</v>
      </c>
      <c r="P47" s="1">
        <v>2000000</v>
      </c>
      <c r="Q47" s="1">
        <v>3000000</v>
      </c>
      <c r="R47" s="1">
        <v>3000000</v>
      </c>
      <c r="S47" s="1">
        <v>0</v>
      </c>
      <c r="T47" s="1">
        <v>0</v>
      </c>
      <c r="U47" s="1">
        <v>0</v>
      </c>
      <c r="V47" s="1">
        <v>0</v>
      </c>
      <c r="W47" s="4">
        <f t="shared" si="2"/>
        <v>15561264</v>
      </c>
      <c r="X47" s="4">
        <f t="shared" si="2"/>
        <v>15561264</v>
      </c>
      <c r="Y47" s="5">
        <f t="shared" si="1"/>
        <v>1</v>
      </c>
    </row>
    <row r="48" spans="1:25" x14ac:dyDescent="0.25">
      <c r="A48" s="1" t="s">
        <v>54</v>
      </c>
      <c r="B48" s="1" t="s">
        <v>40</v>
      </c>
      <c r="C48" s="1" t="s">
        <v>27</v>
      </c>
      <c r="D48" s="1">
        <v>5187936</v>
      </c>
      <c r="E48" s="1">
        <v>0</v>
      </c>
      <c r="F48" s="1">
        <v>0</v>
      </c>
      <c r="G48" s="1">
        <v>0</v>
      </c>
      <c r="H48" s="1">
        <v>0</v>
      </c>
      <c r="I48" s="1">
        <v>5187936</v>
      </c>
      <c r="J48" s="1">
        <v>5187936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4">
        <f t="shared" si="2"/>
        <v>5187936</v>
      </c>
      <c r="X48" s="4">
        <f t="shared" si="2"/>
        <v>5187936</v>
      </c>
      <c r="Y48" s="5">
        <f t="shared" si="1"/>
        <v>1</v>
      </c>
    </row>
    <row r="49" spans="1:25" x14ac:dyDescent="0.25">
      <c r="A49" s="1" t="s">
        <v>54</v>
      </c>
      <c r="B49" s="1" t="s">
        <v>43</v>
      </c>
      <c r="C49" s="1" t="s">
        <v>31</v>
      </c>
      <c r="D49" s="1">
        <v>2413587.824770404</v>
      </c>
      <c r="E49" s="1">
        <v>353590.43165888498</v>
      </c>
      <c r="F49" s="1">
        <v>353590.43165888498</v>
      </c>
      <c r="G49" s="1">
        <v>441988.03957360616</v>
      </c>
      <c r="H49" s="1">
        <v>441988.03957360616</v>
      </c>
      <c r="I49" s="1">
        <v>441988.03957360616</v>
      </c>
      <c r="J49" s="1">
        <v>441988.03957360616</v>
      </c>
      <c r="K49" s="1">
        <v>441988.03957360616</v>
      </c>
      <c r="L49" s="1">
        <v>441988.03957360616</v>
      </c>
      <c r="M49" s="1">
        <v>0</v>
      </c>
      <c r="N49" s="1">
        <v>0</v>
      </c>
      <c r="O49" s="1">
        <v>0</v>
      </c>
      <c r="P49" s="1">
        <v>0</v>
      </c>
      <c r="Q49" s="1">
        <v>453446.57337481662</v>
      </c>
      <c r="R49" s="1">
        <v>453446.57337481662</v>
      </c>
      <c r="S49" s="1">
        <v>0</v>
      </c>
      <c r="T49" s="1">
        <v>0</v>
      </c>
      <c r="U49" s="1">
        <v>0</v>
      </c>
      <c r="V49" s="1">
        <v>0</v>
      </c>
      <c r="W49" s="4">
        <f t="shared" si="2"/>
        <v>2133001.12375452</v>
      </c>
      <c r="X49" s="4">
        <f t="shared" si="2"/>
        <v>2133001.12375452</v>
      </c>
      <c r="Y49" s="5">
        <f t="shared" si="1"/>
        <v>0.88374705153205879</v>
      </c>
    </row>
    <row r="50" spans="1:25" x14ac:dyDescent="0.25">
      <c r="A50" s="1" t="s">
        <v>54</v>
      </c>
      <c r="B50" s="1" t="s">
        <v>44</v>
      </c>
      <c r="C50" s="1" t="s">
        <v>45</v>
      </c>
      <c r="D50" s="1">
        <v>173067.06936748559</v>
      </c>
      <c r="E50" s="1">
        <v>11422.42657825405</v>
      </c>
      <c r="F50" s="1">
        <v>11422.42657825405</v>
      </c>
      <c r="G50" s="1">
        <v>14278.033222817561</v>
      </c>
      <c r="H50" s="1">
        <v>14278.033222817561</v>
      </c>
      <c r="I50" s="1">
        <v>14278.033222817561</v>
      </c>
      <c r="J50" s="1">
        <v>14278.033222817561</v>
      </c>
      <c r="K50" s="1">
        <v>14278.033222817561</v>
      </c>
      <c r="L50" s="1">
        <v>14278.033222817561</v>
      </c>
      <c r="M50" s="1">
        <v>0</v>
      </c>
      <c r="N50" s="1">
        <v>0</v>
      </c>
      <c r="O50" s="1">
        <v>0</v>
      </c>
      <c r="P50" s="1">
        <v>0</v>
      </c>
      <c r="Q50" s="1">
        <v>81168.45553335076</v>
      </c>
      <c r="R50" s="1">
        <v>81168.45553335076</v>
      </c>
      <c r="S50" s="1">
        <v>0</v>
      </c>
      <c r="T50" s="1">
        <v>0</v>
      </c>
      <c r="U50" s="1">
        <v>0</v>
      </c>
      <c r="V50" s="1">
        <v>0</v>
      </c>
      <c r="W50" s="4">
        <f t="shared" si="2"/>
        <v>135424.98178005748</v>
      </c>
      <c r="X50" s="4">
        <f t="shared" si="2"/>
        <v>135424.98178005748</v>
      </c>
      <c r="Y50" s="5">
        <f t="shared" si="1"/>
        <v>0.78250000000000008</v>
      </c>
    </row>
    <row r="51" spans="1:25" x14ac:dyDescent="0.25">
      <c r="A51" s="1" t="s">
        <v>54</v>
      </c>
      <c r="B51" s="1" t="s">
        <v>46</v>
      </c>
      <c r="C51" s="1" t="s">
        <v>22</v>
      </c>
      <c r="D51" s="1">
        <v>37112948.60693156</v>
      </c>
      <c r="E51" s="1">
        <v>2451749.0771594513</v>
      </c>
      <c r="F51" s="1">
        <v>2451749.0771594513</v>
      </c>
      <c r="G51" s="1">
        <v>3064686.3464493142</v>
      </c>
      <c r="H51" s="1">
        <v>3064686.3464493142</v>
      </c>
      <c r="I51" s="1">
        <v>3064686.3464493142</v>
      </c>
      <c r="J51" s="1">
        <v>3064686.3464493142</v>
      </c>
      <c r="K51" s="1">
        <v>3064686.3464493142</v>
      </c>
      <c r="L51" s="1">
        <v>3064686.3464493142</v>
      </c>
      <c r="M51" s="1">
        <v>1922989.9202545364</v>
      </c>
      <c r="N51" s="1">
        <v>1922989.9202545364</v>
      </c>
      <c r="O51" s="1">
        <v>1563755.2016767522</v>
      </c>
      <c r="P51" s="1">
        <v>1563755.2016767522</v>
      </c>
      <c r="Q51" s="1">
        <v>2164922.0020710076</v>
      </c>
      <c r="R51" s="1">
        <v>2164922.0020710076</v>
      </c>
      <c r="S51" s="1">
        <v>2164922.0020710076</v>
      </c>
      <c r="T51" s="1">
        <v>2164922.0020710076</v>
      </c>
      <c r="U51" s="1">
        <v>2164922.0020710076</v>
      </c>
      <c r="V51" s="1">
        <v>2164922.0020710076</v>
      </c>
      <c r="W51" s="4">
        <f t="shared" si="2"/>
        <v>21627319.244651705</v>
      </c>
      <c r="X51" s="4">
        <f t="shared" si="2"/>
        <v>21627319.244651705</v>
      </c>
      <c r="Y51" s="5">
        <f t="shared" si="1"/>
        <v>0.58274322187950289</v>
      </c>
    </row>
    <row r="52" spans="1:25" x14ac:dyDescent="0.25">
      <c r="A52" s="1" t="s">
        <v>54</v>
      </c>
      <c r="B52" s="1" t="s">
        <v>47</v>
      </c>
      <c r="C52" s="1" t="s">
        <v>34</v>
      </c>
      <c r="D52" s="1">
        <v>171234388.30985916</v>
      </c>
      <c r="E52" s="1">
        <v>0</v>
      </c>
      <c r="F52" s="1">
        <v>0</v>
      </c>
      <c r="G52" s="1">
        <v>11275573.93253685</v>
      </c>
      <c r="H52" s="1">
        <v>11275573.93253685</v>
      </c>
      <c r="I52" s="1">
        <v>30094742.067463201</v>
      </c>
      <c r="J52" s="1">
        <v>30094742.067463201</v>
      </c>
      <c r="K52" s="1">
        <v>0</v>
      </c>
      <c r="L52" s="1">
        <v>0</v>
      </c>
      <c r="M52" s="1">
        <v>79979407.188661158</v>
      </c>
      <c r="N52" s="1">
        <v>79979407.188661158</v>
      </c>
      <c r="O52" s="1">
        <v>0</v>
      </c>
      <c r="P52" s="1">
        <v>0</v>
      </c>
      <c r="Q52" s="1">
        <v>0</v>
      </c>
      <c r="R52" s="1">
        <v>0</v>
      </c>
      <c r="S52" s="1">
        <v>29979407.188661199</v>
      </c>
      <c r="T52" s="1">
        <v>29979407.188661199</v>
      </c>
      <c r="U52" s="1">
        <v>0</v>
      </c>
      <c r="V52" s="1">
        <v>0</v>
      </c>
      <c r="W52" s="4">
        <f t="shared" si="2"/>
        <v>151329130.37732241</v>
      </c>
      <c r="X52" s="4">
        <f t="shared" si="2"/>
        <v>151329130.37732241</v>
      </c>
      <c r="Y52" s="5">
        <f t="shared" si="1"/>
        <v>0.88375431985941422</v>
      </c>
    </row>
    <row r="53" spans="1:25" x14ac:dyDescent="0.25">
      <c r="A53" s="1" t="s">
        <v>54</v>
      </c>
      <c r="B53" s="1" t="s">
        <v>48</v>
      </c>
      <c r="C53" s="1" t="s">
        <v>49</v>
      </c>
      <c r="D53" s="1">
        <v>3033988.9838319239</v>
      </c>
      <c r="E53" s="1">
        <v>200243.27293290698</v>
      </c>
      <c r="F53" s="1">
        <v>200243.27293290698</v>
      </c>
      <c r="G53" s="1">
        <v>250304.09116613373</v>
      </c>
      <c r="H53" s="1">
        <v>250304.09116613373</v>
      </c>
      <c r="I53" s="1">
        <v>250304.09116613373</v>
      </c>
      <c r="J53" s="1">
        <v>250304.09116613373</v>
      </c>
      <c r="K53" s="1">
        <v>250304.09116613373</v>
      </c>
      <c r="L53" s="1">
        <v>250304.09116613373</v>
      </c>
      <c r="M53" s="1">
        <v>152457.9464375542</v>
      </c>
      <c r="N53" s="1">
        <v>152457.9464375542</v>
      </c>
      <c r="O53" s="1">
        <v>127048.28869796185</v>
      </c>
      <c r="P53" s="1">
        <v>127048.28869796185</v>
      </c>
      <c r="Q53" s="1">
        <v>177867.60417714657</v>
      </c>
      <c r="R53" s="1">
        <v>177867.60417714657</v>
      </c>
      <c r="S53" s="1">
        <v>177867.60417714657</v>
      </c>
      <c r="T53" s="1">
        <v>177867.60417714657</v>
      </c>
      <c r="U53" s="1">
        <v>177867.60417714657</v>
      </c>
      <c r="V53" s="1">
        <v>177867.60417714657</v>
      </c>
      <c r="W53" s="4">
        <f t="shared" si="2"/>
        <v>1764264.5940982639</v>
      </c>
      <c r="X53" s="4">
        <f t="shared" si="2"/>
        <v>1764264.5940982639</v>
      </c>
      <c r="Y53" s="5">
        <f t="shared" si="1"/>
        <v>0.58150000000000002</v>
      </c>
    </row>
    <row r="54" spans="1:25" x14ac:dyDescent="0.25">
      <c r="A54" s="1" t="s">
        <v>54</v>
      </c>
      <c r="B54" s="1" t="s">
        <v>50</v>
      </c>
      <c r="C54" s="1" t="s">
        <v>25</v>
      </c>
      <c r="D54" s="1">
        <v>3185688.4330235198</v>
      </c>
      <c r="E54" s="1">
        <v>210255.43657955236</v>
      </c>
      <c r="F54" s="1">
        <v>210255.43657955236</v>
      </c>
      <c r="G54" s="1">
        <v>262819.29572444042</v>
      </c>
      <c r="H54" s="1">
        <v>262819.29572444042</v>
      </c>
      <c r="I54" s="1">
        <v>262819.29572444042</v>
      </c>
      <c r="J54" s="1">
        <v>262819.29572444042</v>
      </c>
      <c r="K54" s="1">
        <v>262819.29572444042</v>
      </c>
      <c r="L54" s="1">
        <v>262819.29572444042</v>
      </c>
      <c r="M54" s="1">
        <v>160080.84375943188</v>
      </c>
      <c r="N54" s="1">
        <v>160080.84375943188</v>
      </c>
      <c r="O54" s="1">
        <v>133400.7031328599</v>
      </c>
      <c r="P54" s="1">
        <v>133400.7031328599</v>
      </c>
      <c r="Q54" s="1">
        <v>186760.98438600384</v>
      </c>
      <c r="R54" s="1">
        <v>186760.98438600384</v>
      </c>
      <c r="S54" s="1">
        <v>186760.98438600384</v>
      </c>
      <c r="T54" s="1">
        <v>186760.98438600384</v>
      </c>
      <c r="U54" s="1">
        <v>186760.98438600384</v>
      </c>
      <c r="V54" s="1">
        <v>186760.98438600384</v>
      </c>
      <c r="W54" s="4">
        <f t="shared" si="2"/>
        <v>1852477.8238031766</v>
      </c>
      <c r="X54" s="4">
        <f t="shared" si="2"/>
        <v>1852477.8238031766</v>
      </c>
      <c r="Y54" s="5">
        <f t="shared" si="1"/>
        <v>0.58149999999999991</v>
      </c>
    </row>
    <row r="55" spans="1:25" x14ac:dyDescent="0.25">
      <c r="A55" s="1" t="s">
        <v>55</v>
      </c>
      <c r="B55" s="1" t="s">
        <v>43</v>
      </c>
      <c r="C55" s="1" t="s">
        <v>31</v>
      </c>
      <c r="D55" s="1">
        <v>2084645.1913082558</v>
      </c>
      <c r="E55" s="1">
        <v>330280.6619928382</v>
      </c>
      <c r="F55" s="1">
        <v>330280.6619928382</v>
      </c>
      <c r="G55" s="1">
        <v>412850.82749104773</v>
      </c>
      <c r="H55" s="1">
        <v>412850.82749104773</v>
      </c>
      <c r="I55" s="1">
        <v>412850.82749104773</v>
      </c>
      <c r="J55" s="1">
        <v>412850.82749104773</v>
      </c>
      <c r="K55" s="1">
        <v>412850.82749104773</v>
      </c>
      <c r="L55" s="1">
        <v>412850.82749104773</v>
      </c>
      <c r="M55" s="1">
        <v>0</v>
      </c>
      <c r="N55" s="1">
        <v>0</v>
      </c>
      <c r="O55" s="1">
        <v>0</v>
      </c>
      <c r="P55" s="1">
        <v>0</v>
      </c>
      <c r="Q55" s="1">
        <v>303269.31694084505</v>
      </c>
      <c r="R55" s="1">
        <v>303269.31694084505</v>
      </c>
      <c r="S55" s="1">
        <v>0</v>
      </c>
      <c r="T55" s="1">
        <v>0</v>
      </c>
      <c r="U55" s="1">
        <v>0</v>
      </c>
      <c r="V55" s="1">
        <v>0</v>
      </c>
      <c r="W55" s="4">
        <f t="shared" si="2"/>
        <v>1872102.4614068265</v>
      </c>
      <c r="X55" s="4">
        <f t="shared" si="2"/>
        <v>1872102.4614068265</v>
      </c>
      <c r="Y55" s="5">
        <f t="shared" si="1"/>
        <v>0.89804369070208812</v>
      </c>
    </row>
    <row r="56" spans="1:25" x14ac:dyDescent="0.25">
      <c r="A56" s="1" t="s">
        <v>55</v>
      </c>
      <c r="B56" s="1" t="s">
        <v>46</v>
      </c>
      <c r="C56" s="1" t="s">
        <v>22</v>
      </c>
      <c r="D56" s="1">
        <v>28970283.78270169</v>
      </c>
      <c r="E56" s="1">
        <v>1963087.5466505615</v>
      </c>
      <c r="F56" s="1">
        <v>1963087.5466505615</v>
      </c>
      <c r="G56" s="1">
        <v>2453859.4333132016</v>
      </c>
      <c r="H56" s="1">
        <v>2453859.4333132016</v>
      </c>
      <c r="I56" s="1">
        <v>2453859.4333132016</v>
      </c>
      <c r="J56" s="1">
        <v>2453859.4333132016</v>
      </c>
      <c r="K56" s="1">
        <v>2453859.4333132016</v>
      </c>
      <c r="L56" s="1">
        <v>2453859.4333132016</v>
      </c>
      <c r="M56" s="1">
        <v>1539716.1153048631</v>
      </c>
      <c r="N56" s="1">
        <v>1539716.1153048631</v>
      </c>
      <c r="O56" s="1">
        <v>1252080.9698757061</v>
      </c>
      <c r="P56" s="1">
        <v>1252080.9698757061</v>
      </c>
      <c r="Q56" s="1">
        <v>1192001.5277999162</v>
      </c>
      <c r="R56" s="1">
        <v>1192001.5277999162</v>
      </c>
      <c r="S56" s="1">
        <v>1733428.3762265276</v>
      </c>
      <c r="T56" s="1">
        <v>1733428.3762265276</v>
      </c>
      <c r="U56" s="1">
        <v>1733428.3762265276</v>
      </c>
      <c r="V56" s="1">
        <v>1733428.3762265276</v>
      </c>
      <c r="W56" s="4">
        <f t="shared" si="2"/>
        <v>16775321.212023709</v>
      </c>
      <c r="X56" s="4">
        <f t="shared" si="2"/>
        <v>16775321.212023709</v>
      </c>
      <c r="Y56" s="5">
        <f t="shared" si="1"/>
        <v>0.57905270579504442</v>
      </c>
    </row>
    <row r="57" spans="1:25" x14ac:dyDescent="0.25">
      <c r="A57" s="1" t="s">
        <v>55</v>
      </c>
      <c r="B57" s="1" t="s">
        <v>47</v>
      </c>
      <c r="C57" s="1" t="s">
        <v>34</v>
      </c>
      <c r="D57" s="1">
        <v>22831251.774647892</v>
      </c>
      <c r="E57" s="1">
        <v>0</v>
      </c>
      <c r="F57" s="1">
        <v>0</v>
      </c>
      <c r="G57" s="1">
        <v>1503409.8576715803</v>
      </c>
      <c r="H57" s="1">
        <v>1503409.8576715803</v>
      </c>
      <c r="I57" s="1">
        <v>0</v>
      </c>
      <c r="J57" s="1">
        <v>0</v>
      </c>
      <c r="K57" s="1">
        <v>0</v>
      </c>
      <c r="L57" s="1">
        <v>0</v>
      </c>
      <c r="M57" s="1">
        <v>10663920.958488155</v>
      </c>
      <c r="N57" s="1">
        <v>10663920.958488155</v>
      </c>
      <c r="O57" s="1">
        <v>0</v>
      </c>
      <c r="P57" s="1">
        <v>0</v>
      </c>
      <c r="Q57" s="1">
        <v>0</v>
      </c>
      <c r="R57" s="1">
        <v>0</v>
      </c>
      <c r="S57" s="1">
        <v>10663920.958488155</v>
      </c>
      <c r="T57" s="1">
        <v>10663920.958488155</v>
      </c>
      <c r="U57" s="1">
        <v>0</v>
      </c>
      <c r="V57" s="1">
        <v>0</v>
      </c>
      <c r="W57" s="4">
        <f t="shared" si="2"/>
        <v>22831251.774647892</v>
      </c>
      <c r="X57" s="4">
        <f t="shared" si="2"/>
        <v>22831251.774647892</v>
      </c>
      <c r="Y57" s="5">
        <f t="shared" si="1"/>
        <v>1</v>
      </c>
    </row>
    <row r="58" spans="1:25" x14ac:dyDescent="0.25">
      <c r="A58" s="1" t="s">
        <v>56</v>
      </c>
      <c r="B58" s="1" t="s">
        <v>43</v>
      </c>
      <c r="C58" s="1" t="s">
        <v>31</v>
      </c>
      <c r="D58" s="1">
        <v>2084645.1887516764</v>
      </c>
      <c r="E58" s="1">
        <v>312794</v>
      </c>
      <c r="F58" s="1">
        <v>312794</v>
      </c>
      <c r="G58" s="1">
        <v>390993</v>
      </c>
      <c r="H58" s="1">
        <v>390993</v>
      </c>
      <c r="I58" s="1">
        <v>390993</v>
      </c>
      <c r="J58" s="1">
        <v>390993</v>
      </c>
      <c r="K58" s="1">
        <v>390993</v>
      </c>
      <c r="L58" s="1">
        <v>390993</v>
      </c>
      <c r="M58" s="1">
        <v>0</v>
      </c>
      <c r="N58" s="1">
        <v>0</v>
      </c>
      <c r="O58" s="1">
        <v>0</v>
      </c>
      <c r="P58" s="1">
        <v>0</v>
      </c>
      <c r="Q58" s="1">
        <v>386833.50700791646</v>
      </c>
      <c r="R58" s="1">
        <v>386833.50700791646</v>
      </c>
      <c r="S58" s="1">
        <v>0</v>
      </c>
      <c r="T58" s="1">
        <v>0</v>
      </c>
      <c r="U58" s="1">
        <v>0</v>
      </c>
      <c r="V58" s="1">
        <v>0</v>
      </c>
      <c r="W58" s="4">
        <f t="shared" si="2"/>
        <v>1872606.5070079165</v>
      </c>
      <c r="X58" s="4">
        <f t="shared" si="2"/>
        <v>1872606.5070079165</v>
      </c>
      <c r="Y58" s="5">
        <f t="shared" si="1"/>
        <v>0.89828548143929832</v>
      </c>
    </row>
    <row r="59" spans="1:25" x14ac:dyDescent="0.25">
      <c r="A59" s="1" t="s">
        <v>56</v>
      </c>
      <c r="B59" s="1" t="s">
        <v>46</v>
      </c>
      <c r="C59" s="1" t="s">
        <v>22</v>
      </c>
      <c r="D59" s="1">
        <v>32401343.805783842</v>
      </c>
      <c r="E59" s="1">
        <v>1913829.7870522868</v>
      </c>
      <c r="F59" s="1">
        <v>1913829.7870522868</v>
      </c>
      <c r="G59" s="1">
        <v>2392287</v>
      </c>
      <c r="H59" s="1">
        <v>2392287</v>
      </c>
      <c r="I59" s="1">
        <v>2392287</v>
      </c>
      <c r="J59" s="1">
        <v>2392287</v>
      </c>
      <c r="K59" s="1">
        <v>2392287</v>
      </c>
      <c r="L59" s="1">
        <v>2392287</v>
      </c>
      <c r="M59" s="1">
        <v>1501081.5845185618</v>
      </c>
      <c r="N59" s="1">
        <v>1501081.5845185618</v>
      </c>
      <c r="O59" s="1">
        <v>1220663.7753053762</v>
      </c>
      <c r="P59" s="1">
        <v>1220663.7753053762</v>
      </c>
      <c r="Q59" s="1">
        <v>2389933.2206575978</v>
      </c>
      <c r="R59" s="1">
        <v>2389933.2206575978</v>
      </c>
      <c r="S59" s="1">
        <v>2389933.2206575978</v>
      </c>
      <c r="T59" s="1">
        <v>2389933.2206575978</v>
      </c>
      <c r="U59" s="1">
        <v>1689933.2206575985</v>
      </c>
      <c r="V59" s="1">
        <v>1689933.2206575985</v>
      </c>
      <c r="W59" s="4">
        <f t="shared" si="2"/>
        <v>18282235.808849022</v>
      </c>
      <c r="X59" s="4">
        <f t="shared" si="2"/>
        <v>18282235.808849022</v>
      </c>
      <c r="Y59" s="5">
        <f t="shared" si="1"/>
        <v>0.56424313505125456</v>
      </c>
    </row>
    <row r="60" spans="1:25" x14ac:dyDescent="0.25">
      <c r="A60" s="1" t="s">
        <v>56</v>
      </c>
      <c r="B60" s="1" t="s">
        <v>47</v>
      </c>
      <c r="C60" s="1" t="s">
        <v>34</v>
      </c>
      <c r="D60" s="1">
        <v>22831251.774647892</v>
      </c>
      <c r="E60" s="1">
        <v>0</v>
      </c>
      <c r="F60" s="1">
        <v>0</v>
      </c>
      <c r="G60" s="1">
        <v>1503409.8576715803</v>
      </c>
      <c r="H60" s="1">
        <v>1503409.8576715803</v>
      </c>
      <c r="I60" s="1">
        <v>0</v>
      </c>
      <c r="J60" s="1">
        <v>0</v>
      </c>
      <c r="K60" s="1">
        <v>0</v>
      </c>
      <c r="L60" s="1">
        <v>0</v>
      </c>
      <c r="M60" s="1">
        <v>10663920.958488155</v>
      </c>
      <c r="N60" s="1">
        <v>10663920.958488155</v>
      </c>
      <c r="O60" s="1">
        <v>0</v>
      </c>
      <c r="P60" s="1">
        <v>0</v>
      </c>
      <c r="Q60" s="1">
        <v>0</v>
      </c>
      <c r="R60" s="1">
        <v>0</v>
      </c>
      <c r="S60" s="1">
        <v>10663920.958488155</v>
      </c>
      <c r="T60" s="1">
        <v>10663920.958488155</v>
      </c>
      <c r="U60" s="1">
        <v>0</v>
      </c>
      <c r="V60" s="1">
        <v>0</v>
      </c>
      <c r="W60" s="4">
        <f t="shared" si="2"/>
        <v>22831251.774647892</v>
      </c>
      <c r="X60" s="4">
        <f t="shared" si="2"/>
        <v>22831251.774647892</v>
      </c>
      <c r="Y60" s="5">
        <f t="shared" si="1"/>
        <v>1</v>
      </c>
    </row>
    <row r="61" spans="1:25" x14ac:dyDescent="0.25">
      <c r="A61" s="1" t="s">
        <v>57</v>
      </c>
      <c r="B61" s="1" t="s">
        <v>43</v>
      </c>
      <c r="C61" s="1" t="s">
        <v>31</v>
      </c>
      <c r="D61" s="1">
        <v>2042064.4672637989</v>
      </c>
      <c r="E61" s="1">
        <v>306405</v>
      </c>
      <c r="F61" s="1">
        <v>306405</v>
      </c>
      <c r="G61" s="1">
        <v>383006</v>
      </c>
      <c r="H61" s="1">
        <v>383006</v>
      </c>
      <c r="I61" s="1">
        <v>383006</v>
      </c>
      <c r="J61" s="1">
        <v>383006</v>
      </c>
      <c r="K61" s="1">
        <v>383006.47325652029</v>
      </c>
      <c r="L61" s="1">
        <v>383006.47325652029</v>
      </c>
      <c r="M61" s="1">
        <v>0</v>
      </c>
      <c r="N61" s="1">
        <v>0</v>
      </c>
      <c r="O61" s="1">
        <v>0</v>
      </c>
      <c r="P61" s="1">
        <v>0</v>
      </c>
      <c r="Q61" s="1">
        <v>335935.61614185077</v>
      </c>
      <c r="R61" s="1">
        <v>335935.61614185077</v>
      </c>
      <c r="S61" s="1">
        <v>0</v>
      </c>
      <c r="T61" s="1">
        <v>0</v>
      </c>
      <c r="U61" s="1">
        <v>0</v>
      </c>
      <c r="V61" s="1">
        <v>0</v>
      </c>
      <c r="W61" s="4">
        <f t="shared" si="2"/>
        <v>1791359.0893983711</v>
      </c>
      <c r="X61" s="4">
        <f t="shared" si="2"/>
        <v>1791359.0893983711</v>
      </c>
      <c r="Y61" s="5">
        <f t="shared" si="1"/>
        <v>0.87722944995886798</v>
      </c>
    </row>
    <row r="62" spans="1:25" x14ac:dyDescent="0.25">
      <c r="A62" s="1" t="s">
        <v>57</v>
      </c>
      <c r="B62" s="1" t="s">
        <v>46</v>
      </c>
      <c r="C62" s="1" t="s">
        <v>22</v>
      </c>
      <c r="D62" s="1">
        <v>32401343.805783842</v>
      </c>
      <c r="E62" s="1">
        <v>2140491.8702611434</v>
      </c>
      <c r="F62" s="1">
        <v>2140491.8702611434</v>
      </c>
      <c r="G62" s="1">
        <v>2675615</v>
      </c>
      <c r="H62" s="1">
        <v>2675615</v>
      </c>
      <c r="I62" s="1">
        <v>2675615</v>
      </c>
      <c r="J62" s="1">
        <v>2675615</v>
      </c>
      <c r="K62" s="1">
        <v>2675614.8378264294</v>
      </c>
      <c r="L62" s="1">
        <v>2675614.8378264294</v>
      </c>
      <c r="M62" s="1">
        <v>1678860.3406625304</v>
      </c>
      <c r="N62" s="1">
        <v>1678860.3406625304</v>
      </c>
      <c r="O62" s="1">
        <v>1365231.5921928158</v>
      </c>
      <c r="P62" s="1">
        <v>1365231.5921928158</v>
      </c>
      <c r="Q62" s="1">
        <v>1890078.3886707241</v>
      </c>
      <c r="R62" s="1">
        <v>1890078.3886707241</v>
      </c>
      <c r="S62" s="1">
        <v>1890078.3886707241</v>
      </c>
      <c r="T62" s="1">
        <v>1890078.3886707241</v>
      </c>
      <c r="U62" s="1">
        <v>1890078.3886707241</v>
      </c>
      <c r="V62" s="1">
        <v>1890078.3886707241</v>
      </c>
      <c r="W62" s="4">
        <f t="shared" si="2"/>
        <v>18881663.806955092</v>
      </c>
      <c r="X62" s="4">
        <f t="shared" si="2"/>
        <v>18881663.806955092</v>
      </c>
      <c r="Y62" s="5">
        <f t="shared" si="1"/>
        <v>0.58274323188980193</v>
      </c>
    </row>
    <row r="63" spans="1:25" x14ac:dyDescent="0.25">
      <c r="A63" s="1" t="s">
        <v>57</v>
      </c>
      <c r="B63" s="1" t="s">
        <v>47</v>
      </c>
      <c r="C63" s="1" t="s">
        <v>34</v>
      </c>
      <c r="D63" s="1">
        <v>22831251.774647892</v>
      </c>
      <c r="E63" s="1">
        <v>0</v>
      </c>
      <c r="F63" s="1">
        <v>0</v>
      </c>
      <c r="G63" s="1">
        <v>1503409.8576715803</v>
      </c>
      <c r="H63" s="1">
        <v>1503409.8576715803</v>
      </c>
      <c r="I63" s="1">
        <v>0</v>
      </c>
      <c r="J63" s="1">
        <v>0</v>
      </c>
      <c r="K63" s="1">
        <v>0</v>
      </c>
      <c r="L63" s="1">
        <v>0</v>
      </c>
      <c r="M63" s="1">
        <v>10663920.958488155</v>
      </c>
      <c r="N63" s="1">
        <v>10663920.958488155</v>
      </c>
      <c r="O63" s="1">
        <v>0</v>
      </c>
      <c r="P63" s="1">
        <v>0</v>
      </c>
      <c r="Q63" s="1">
        <v>0</v>
      </c>
      <c r="R63" s="1">
        <v>0</v>
      </c>
      <c r="S63" s="1">
        <v>10663920.958488155</v>
      </c>
      <c r="T63" s="1">
        <v>10663920.958488155</v>
      </c>
      <c r="U63" s="1">
        <v>0</v>
      </c>
      <c r="V63" s="1">
        <v>0</v>
      </c>
      <c r="W63" s="4">
        <f t="shared" si="2"/>
        <v>22831251.774647892</v>
      </c>
      <c r="X63" s="4">
        <f t="shared" si="2"/>
        <v>22831251.774647892</v>
      </c>
      <c r="Y63" s="5">
        <f t="shared" si="1"/>
        <v>1</v>
      </c>
    </row>
    <row r="64" spans="1:25" x14ac:dyDescent="0.25">
      <c r="A64" s="1" t="s">
        <v>58</v>
      </c>
      <c r="B64" s="1" t="s">
        <v>59</v>
      </c>
      <c r="C64" s="1" t="s">
        <v>26</v>
      </c>
      <c r="D64" s="1">
        <v>41305392.009999998</v>
      </c>
      <c r="E64" s="1">
        <v>3658527.1006209143</v>
      </c>
      <c r="F64" s="1">
        <v>3658527.1006209143</v>
      </c>
      <c r="G64" s="1">
        <v>4573158.8757761428</v>
      </c>
      <c r="H64" s="1">
        <v>4573158.8757761428</v>
      </c>
      <c r="I64" s="1">
        <v>4573158.8757761428</v>
      </c>
      <c r="J64" s="1">
        <v>4573158.8757761428</v>
      </c>
      <c r="K64" s="1">
        <v>4573158.8757761428</v>
      </c>
      <c r="L64" s="1">
        <v>4573158.8757761428</v>
      </c>
      <c r="M64" s="1">
        <v>2876594.5633619288</v>
      </c>
      <c r="N64" s="1">
        <v>2876594.5633619288</v>
      </c>
      <c r="O64" s="1">
        <v>2876594.5633619288</v>
      </c>
      <c r="P64" s="1">
        <v>2876594.5633619288</v>
      </c>
      <c r="Q64" s="1">
        <v>2876594.5633619288</v>
      </c>
      <c r="R64" s="1">
        <v>2876594.5633619288</v>
      </c>
      <c r="S64" s="1">
        <v>2876594.5633619288</v>
      </c>
      <c r="T64" s="1">
        <v>2876594.5633619288</v>
      </c>
      <c r="U64" s="1">
        <v>2876594.5633619288</v>
      </c>
      <c r="V64" s="1">
        <v>2876594.5633619288</v>
      </c>
      <c r="W64" s="4">
        <f t="shared" si="2"/>
        <v>31760976.544758983</v>
      </c>
      <c r="X64" s="4">
        <f t="shared" si="2"/>
        <v>31760976.544758983</v>
      </c>
      <c r="Y64" s="5">
        <f t="shared" si="1"/>
        <v>0.76893051970235937</v>
      </c>
    </row>
    <row r="65" spans="1:25" x14ac:dyDescent="0.25">
      <c r="A65" s="1" t="s">
        <v>58</v>
      </c>
      <c r="B65" s="1" t="s">
        <v>59</v>
      </c>
      <c r="C65" s="1" t="s">
        <v>26</v>
      </c>
      <c r="D65" s="1">
        <v>14126837.449999999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7063418.7249999996</v>
      </c>
      <c r="N65" s="1">
        <v>7063418.7249999996</v>
      </c>
      <c r="O65" s="1">
        <v>7063418.7249999996</v>
      </c>
      <c r="P65" s="1">
        <v>7063418.7249999996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4">
        <f t="shared" si="2"/>
        <v>14126837.449999999</v>
      </c>
      <c r="X65" s="4">
        <f t="shared" si="2"/>
        <v>14126837.449999999</v>
      </c>
      <c r="Y65" s="5">
        <f t="shared" si="1"/>
        <v>1</v>
      </c>
    </row>
    <row r="66" spans="1:25" x14ac:dyDescent="0.25">
      <c r="A66" s="1" t="s">
        <v>58</v>
      </c>
      <c r="B66" s="1" t="s">
        <v>33</v>
      </c>
      <c r="C66" s="1" t="s">
        <v>34</v>
      </c>
      <c r="D66" s="1">
        <v>48000000</v>
      </c>
      <c r="E66" s="1">
        <v>0</v>
      </c>
      <c r="F66" s="1">
        <v>0</v>
      </c>
      <c r="G66" s="1">
        <v>9600000</v>
      </c>
      <c r="H66" s="1">
        <v>9600000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14400000</v>
      </c>
      <c r="P66" s="1">
        <v>14400000</v>
      </c>
      <c r="Q66" s="1">
        <v>0</v>
      </c>
      <c r="R66" s="1">
        <v>0</v>
      </c>
      <c r="S66" s="1">
        <v>14400000</v>
      </c>
      <c r="T66" s="1">
        <v>14400000</v>
      </c>
      <c r="U66" s="1">
        <v>9600000</v>
      </c>
      <c r="V66" s="1">
        <v>9600000</v>
      </c>
      <c r="W66" s="4">
        <f t="shared" si="2"/>
        <v>48000000</v>
      </c>
      <c r="X66" s="4">
        <f t="shared" si="2"/>
        <v>48000000</v>
      </c>
      <c r="Y66" s="5">
        <f t="shared" si="1"/>
        <v>1</v>
      </c>
    </row>
    <row r="67" spans="1:25" x14ac:dyDescent="0.25">
      <c r="A67" s="1" t="s">
        <v>58</v>
      </c>
      <c r="B67" s="1" t="s">
        <v>35</v>
      </c>
      <c r="C67" s="1" t="s">
        <v>34</v>
      </c>
      <c r="D67" s="1">
        <v>120000000</v>
      </c>
      <c r="E67" s="1">
        <v>0</v>
      </c>
      <c r="F67" s="1">
        <v>0</v>
      </c>
      <c r="G67" s="1">
        <v>33000000</v>
      </c>
      <c r="H67" s="1">
        <v>33000000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29000000</v>
      </c>
      <c r="P67" s="1">
        <v>29000000</v>
      </c>
      <c r="Q67" s="1">
        <v>0</v>
      </c>
      <c r="R67" s="1">
        <v>0</v>
      </c>
      <c r="S67" s="1">
        <v>29000000</v>
      </c>
      <c r="T67" s="1">
        <v>29000000</v>
      </c>
      <c r="U67" s="1">
        <v>29000000</v>
      </c>
      <c r="V67" s="1">
        <v>29000000</v>
      </c>
      <c r="W67" s="4">
        <f t="shared" si="2"/>
        <v>120000000</v>
      </c>
      <c r="X67" s="4">
        <f t="shared" si="2"/>
        <v>120000000</v>
      </c>
      <c r="Y67" s="5">
        <f t="shared" ref="Y67:Y130" si="3">X67/D67</f>
        <v>1</v>
      </c>
    </row>
    <row r="68" spans="1:25" x14ac:dyDescent="0.25">
      <c r="A68" s="1" t="s">
        <v>58</v>
      </c>
      <c r="B68" s="1" t="s">
        <v>38</v>
      </c>
      <c r="C68" s="1" t="s">
        <v>39</v>
      </c>
      <c r="D68" s="1">
        <v>8366251.7104947614</v>
      </c>
      <c r="E68" s="1">
        <v>552172.61289265426</v>
      </c>
      <c r="F68" s="1">
        <v>552172.61289265426</v>
      </c>
      <c r="G68" s="1">
        <v>690215.76611581782</v>
      </c>
      <c r="H68" s="1">
        <v>690215.76611581782</v>
      </c>
      <c r="I68" s="1">
        <v>690215.76611581782</v>
      </c>
      <c r="J68" s="1">
        <v>690215.76611581782</v>
      </c>
      <c r="K68" s="1">
        <v>690215.76611581782</v>
      </c>
      <c r="L68" s="1">
        <v>690215.76611581782</v>
      </c>
      <c r="M68" s="1">
        <v>420404.14845236164</v>
      </c>
      <c r="N68" s="1">
        <v>420404.14845236164</v>
      </c>
      <c r="O68" s="1">
        <v>350336.79037696804</v>
      </c>
      <c r="P68" s="1">
        <v>350336.79037696804</v>
      </c>
      <c r="Q68" s="1">
        <v>490471.50652775523</v>
      </c>
      <c r="R68" s="1">
        <v>490471.50652775523</v>
      </c>
      <c r="S68" s="1">
        <v>490471.50652775523</v>
      </c>
      <c r="T68" s="1">
        <v>490471.50652775523</v>
      </c>
      <c r="U68" s="1">
        <v>490471.50652775523</v>
      </c>
      <c r="V68" s="1">
        <v>490471.50652775523</v>
      </c>
      <c r="W68" s="4">
        <f t="shared" si="2"/>
        <v>4864975.3696527034</v>
      </c>
      <c r="X68" s="4">
        <f t="shared" si="2"/>
        <v>4864975.3696527034</v>
      </c>
      <c r="Y68" s="5">
        <f t="shared" si="3"/>
        <v>0.58149999999999991</v>
      </c>
    </row>
    <row r="69" spans="1:25" x14ac:dyDescent="0.25">
      <c r="A69" s="1" t="s">
        <v>58</v>
      </c>
      <c r="B69" s="1" t="s">
        <v>61</v>
      </c>
      <c r="C69" s="1" t="s">
        <v>34</v>
      </c>
      <c r="D69" s="1">
        <v>109230701</v>
      </c>
      <c r="E69" s="1">
        <v>0</v>
      </c>
      <c r="F69" s="1">
        <v>0</v>
      </c>
      <c r="G69" s="1">
        <v>8738456.0790046733</v>
      </c>
      <c r="H69" s="1">
        <v>8738456.0790046733</v>
      </c>
      <c r="I69" s="1">
        <v>0</v>
      </c>
      <c r="J69" s="1">
        <v>0</v>
      </c>
      <c r="K69" s="1">
        <v>0</v>
      </c>
      <c r="L69" s="1">
        <v>0</v>
      </c>
      <c r="M69" s="1">
        <v>25123061.230248831</v>
      </c>
      <c r="N69" s="1">
        <v>25123061.230248831</v>
      </c>
      <c r="O69" s="1">
        <v>0</v>
      </c>
      <c r="P69" s="1">
        <v>0</v>
      </c>
      <c r="Q69" s="1">
        <v>0</v>
      </c>
      <c r="R69" s="1">
        <v>0</v>
      </c>
      <c r="S69" s="1">
        <v>37684591.845373243</v>
      </c>
      <c r="T69" s="1">
        <v>37684591.845373243</v>
      </c>
      <c r="U69" s="1">
        <v>0</v>
      </c>
      <c r="V69" s="1">
        <v>0</v>
      </c>
      <c r="W69" s="4">
        <f t="shared" si="2"/>
        <v>71546109.154626742</v>
      </c>
      <c r="X69" s="4">
        <f t="shared" si="2"/>
        <v>71546109.154626742</v>
      </c>
      <c r="Y69" s="5">
        <f t="shared" si="3"/>
        <v>0.65499999999658287</v>
      </c>
    </row>
    <row r="70" spans="1:25" x14ac:dyDescent="0.25">
      <c r="A70" s="1" t="s">
        <v>58</v>
      </c>
      <c r="B70" s="1" t="s">
        <v>62</v>
      </c>
      <c r="C70" s="1" t="s">
        <v>63</v>
      </c>
      <c r="D70" s="1">
        <v>47142857</v>
      </c>
      <c r="E70" s="1">
        <v>15399999.999120001</v>
      </c>
      <c r="F70" s="1">
        <v>15399999.999120001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2091964.2857967855</v>
      </c>
      <c r="N70" s="1">
        <v>2091964.2857967855</v>
      </c>
      <c r="O70" s="1">
        <v>1743303.5714973214</v>
      </c>
      <c r="P70" s="1">
        <v>1743303.5714973214</v>
      </c>
      <c r="Q70" s="1">
        <v>2440625.0000962499</v>
      </c>
      <c r="R70" s="1">
        <v>2440625.0000962499</v>
      </c>
      <c r="S70" s="1">
        <v>2440625.0000962499</v>
      </c>
      <c r="T70" s="1">
        <v>2440625.0000962499</v>
      </c>
      <c r="U70" s="1">
        <v>2440625.0000962499</v>
      </c>
      <c r="V70" s="1">
        <v>2440625.0000962499</v>
      </c>
      <c r="W70" s="4">
        <f t="shared" si="2"/>
        <v>26557142.856702857</v>
      </c>
      <c r="X70" s="4">
        <f t="shared" si="2"/>
        <v>26557142.856702857</v>
      </c>
      <c r="Y70" s="5">
        <f t="shared" si="3"/>
        <v>0.56333333503107075</v>
      </c>
    </row>
    <row r="71" spans="1:25" x14ac:dyDescent="0.25">
      <c r="A71" s="1" t="s">
        <v>58</v>
      </c>
      <c r="B71" s="1" t="s">
        <v>40</v>
      </c>
      <c r="C71" s="1" t="s">
        <v>27</v>
      </c>
      <c r="D71" s="1">
        <v>126567486</v>
      </c>
      <c r="E71" s="1">
        <v>10982845.018959999</v>
      </c>
      <c r="F71" s="1">
        <v>10982845.018959999</v>
      </c>
      <c r="G71" s="1">
        <v>11902198.46896</v>
      </c>
      <c r="H71" s="1">
        <v>11902198.46896</v>
      </c>
      <c r="I71" s="1">
        <v>14284218.935626701</v>
      </c>
      <c r="J71" s="1">
        <v>14284218.935626701</v>
      </c>
      <c r="K71" s="1">
        <v>16299809.452106621</v>
      </c>
      <c r="L71" s="1">
        <v>16299809.452106621</v>
      </c>
      <c r="M71" s="1">
        <v>15000000.000000006</v>
      </c>
      <c r="N71" s="1">
        <v>15000000.000000006</v>
      </c>
      <c r="O71" s="1">
        <v>23898451.411626667</v>
      </c>
      <c r="P71" s="1">
        <v>23898451.411626667</v>
      </c>
      <c r="Q71" s="1">
        <v>6979170.0189599991</v>
      </c>
      <c r="R71" s="1">
        <v>6979170.0189599991</v>
      </c>
      <c r="S71" s="1">
        <v>6688862.1471999995</v>
      </c>
      <c r="T71" s="1">
        <v>6688862.1471999995</v>
      </c>
      <c r="U71" s="1">
        <v>5277032.0289599998</v>
      </c>
      <c r="V71" s="1">
        <v>5277032.0289599998</v>
      </c>
      <c r="W71" s="4">
        <f t="shared" si="2"/>
        <v>111312587.4824</v>
      </c>
      <c r="X71" s="4">
        <f t="shared" si="2"/>
        <v>111312587.4824</v>
      </c>
      <c r="Y71" s="5">
        <f t="shared" si="3"/>
        <v>0.87947221676189413</v>
      </c>
    </row>
    <row r="72" spans="1:25" x14ac:dyDescent="0.25">
      <c r="A72" s="1" t="s">
        <v>58</v>
      </c>
      <c r="B72" s="1" t="s">
        <v>40</v>
      </c>
      <c r="C72" s="1" t="s">
        <v>27</v>
      </c>
      <c r="D72" s="1">
        <v>120004737</v>
      </c>
      <c r="E72" s="1">
        <v>0</v>
      </c>
      <c r="F72" s="1">
        <v>0</v>
      </c>
      <c r="G72" s="1">
        <v>22495581.537204787</v>
      </c>
      <c r="H72" s="1">
        <v>22495581.537204787</v>
      </c>
      <c r="I72" s="1">
        <v>0</v>
      </c>
      <c r="J72" s="1">
        <v>0</v>
      </c>
      <c r="K72" s="1">
        <v>0</v>
      </c>
      <c r="L72" s="1">
        <v>0</v>
      </c>
      <c r="M72" s="1">
        <v>36565933.298548207</v>
      </c>
      <c r="N72" s="1">
        <v>36565933.298548207</v>
      </c>
      <c r="O72" s="1">
        <v>24377288.865698803</v>
      </c>
      <c r="P72" s="1">
        <v>24377288.865698803</v>
      </c>
      <c r="Q72" s="1">
        <v>36565933.298548207</v>
      </c>
      <c r="R72" s="1">
        <v>36565933.298548207</v>
      </c>
      <c r="S72" s="1">
        <v>0</v>
      </c>
      <c r="T72" s="1">
        <v>0</v>
      </c>
      <c r="U72" s="1">
        <v>0</v>
      </c>
      <c r="V72" s="1">
        <v>0</v>
      </c>
      <c r="W72" s="4">
        <f t="shared" si="2"/>
        <v>120004737</v>
      </c>
      <c r="X72" s="4">
        <f t="shared" si="2"/>
        <v>120004737</v>
      </c>
      <c r="Y72" s="5">
        <f t="shared" si="3"/>
        <v>1</v>
      </c>
    </row>
    <row r="73" spans="1:25" x14ac:dyDescent="0.25">
      <c r="A73" s="1" t="s">
        <v>58</v>
      </c>
      <c r="B73" s="1" t="s">
        <v>40</v>
      </c>
      <c r="C73" s="1" t="s">
        <v>27</v>
      </c>
      <c r="D73" s="1">
        <v>30730733</v>
      </c>
      <c r="E73" s="1">
        <v>0</v>
      </c>
      <c r="F73" s="1">
        <v>0</v>
      </c>
      <c r="G73" s="1">
        <v>15545322.000000002</v>
      </c>
      <c r="H73" s="1">
        <v>15545322.000000002</v>
      </c>
      <c r="I73" s="1">
        <v>0</v>
      </c>
      <c r="J73" s="1">
        <v>0</v>
      </c>
      <c r="K73" s="1">
        <v>0</v>
      </c>
      <c r="L73" s="1">
        <v>0</v>
      </c>
      <c r="M73" s="1">
        <v>2847264.5624999995</v>
      </c>
      <c r="N73" s="1">
        <v>2847264.5624999995</v>
      </c>
      <c r="O73" s="1">
        <v>3796352.7499999995</v>
      </c>
      <c r="P73" s="1">
        <v>3796352.7499999995</v>
      </c>
      <c r="Q73" s="1">
        <v>8541793.6874999981</v>
      </c>
      <c r="R73" s="1">
        <v>8541793.6874999981</v>
      </c>
      <c r="S73" s="1">
        <v>0</v>
      </c>
      <c r="T73" s="1">
        <v>0</v>
      </c>
      <c r="U73" s="1">
        <v>0</v>
      </c>
      <c r="V73" s="1">
        <v>0</v>
      </c>
      <c r="W73" s="4">
        <f t="shared" si="2"/>
        <v>30730733</v>
      </c>
      <c r="X73" s="4">
        <f t="shared" si="2"/>
        <v>30730733</v>
      </c>
      <c r="Y73" s="5">
        <f t="shared" si="3"/>
        <v>1</v>
      </c>
    </row>
    <row r="74" spans="1:25" x14ac:dyDescent="0.25">
      <c r="A74" s="1" t="s">
        <v>58</v>
      </c>
      <c r="B74" s="1" t="s">
        <v>43</v>
      </c>
      <c r="C74" s="1" t="s">
        <v>31</v>
      </c>
      <c r="D74" s="1">
        <v>5940098.9005559655</v>
      </c>
      <c r="E74" s="1">
        <v>243172.22333037021</v>
      </c>
      <c r="F74" s="1">
        <v>243172.22333037021</v>
      </c>
      <c r="G74" s="1">
        <v>303965.27916296275</v>
      </c>
      <c r="H74" s="1">
        <v>303965.27916296275</v>
      </c>
      <c r="I74" s="1">
        <v>303965.27916296275</v>
      </c>
      <c r="J74" s="1">
        <v>303965.27916296275</v>
      </c>
      <c r="K74" s="1">
        <v>303965.27916296275</v>
      </c>
      <c r="L74" s="1">
        <v>303965.27916296275</v>
      </c>
      <c r="M74" s="1">
        <v>226020.85300847617</v>
      </c>
      <c r="N74" s="1">
        <v>226020.85300847617</v>
      </c>
      <c r="O74" s="1">
        <v>188350.71084039682</v>
      </c>
      <c r="P74" s="1">
        <v>188350.71084039682</v>
      </c>
      <c r="Q74" s="1">
        <v>263690.99517655553</v>
      </c>
      <c r="R74" s="1">
        <v>263690.99517655553</v>
      </c>
      <c r="S74" s="1">
        <v>1461129.4824969908</v>
      </c>
      <c r="T74" s="1">
        <v>1461129.4824969908</v>
      </c>
      <c r="U74" s="1">
        <v>263690.99517655553</v>
      </c>
      <c r="V74" s="1">
        <v>263690.99517655553</v>
      </c>
      <c r="W74" s="4">
        <f t="shared" si="2"/>
        <v>3557951.0975182336</v>
      </c>
      <c r="X74" s="4">
        <f t="shared" si="2"/>
        <v>3557951.0975182336</v>
      </c>
      <c r="Y74" s="5">
        <f t="shared" si="3"/>
        <v>0.59897169341494061</v>
      </c>
    </row>
    <row r="75" spans="1:25" x14ac:dyDescent="0.25">
      <c r="A75" s="1" t="s">
        <v>58</v>
      </c>
      <c r="B75" s="1" t="s">
        <v>64</v>
      </c>
      <c r="C75" s="1" t="s">
        <v>23</v>
      </c>
      <c r="D75" s="1">
        <v>3874496.5033007446</v>
      </c>
      <c r="E75" s="1">
        <v>255716.76921784916</v>
      </c>
      <c r="F75" s="1">
        <v>255716.76921784916</v>
      </c>
      <c r="G75" s="1">
        <v>319645.96152231144</v>
      </c>
      <c r="H75" s="1">
        <v>319645.96152231144</v>
      </c>
      <c r="I75" s="1">
        <v>319645.96152231144</v>
      </c>
      <c r="J75" s="1">
        <v>319645.96152231144</v>
      </c>
      <c r="K75" s="1">
        <v>319645.96152231144</v>
      </c>
      <c r="L75" s="1">
        <v>319645.96152231144</v>
      </c>
      <c r="M75" s="1">
        <v>194693.44929086239</v>
      </c>
      <c r="N75" s="1">
        <v>194693.44929086239</v>
      </c>
      <c r="O75" s="1">
        <v>162244.54107571868</v>
      </c>
      <c r="P75" s="1">
        <v>162244.54107571868</v>
      </c>
      <c r="Q75" s="1">
        <v>227142.35750600614</v>
      </c>
      <c r="R75" s="1">
        <v>227142.35750600614</v>
      </c>
      <c r="S75" s="1">
        <v>227142.35750600614</v>
      </c>
      <c r="T75" s="1">
        <v>227142.35750600614</v>
      </c>
      <c r="U75" s="1">
        <v>227142.35750600614</v>
      </c>
      <c r="V75" s="1">
        <v>227142.35750600614</v>
      </c>
      <c r="W75" s="4">
        <f t="shared" si="2"/>
        <v>2253019.716669383</v>
      </c>
      <c r="X75" s="4">
        <f t="shared" si="2"/>
        <v>2253019.716669383</v>
      </c>
      <c r="Y75" s="5">
        <f t="shared" si="3"/>
        <v>0.58150000000000002</v>
      </c>
    </row>
    <row r="76" spans="1:25" x14ac:dyDescent="0.25">
      <c r="A76" s="1" t="s">
        <v>58</v>
      </c>
      <c r="B76" s="1" t="s">
        <v>65</v>
      </c>
      <c r="C76" s="1" t="s">
        <v>31</v>
      </c>
      <c r="D76" s="1">
        <v>2372201.7527254755</v>
      </c>
      <c r="E76" s="1">
        <v>156565.3156798814</v>
      </c>
      <c r="F76" s="1">
        <v>156565.3156798814</v>
      </c>
      <c r="G76" s="1">
        <v>195706.64459985174</v>
      </c>
      <c r="H76" s="1">
        <v>195706.64459985174</v>
      </c>
      <c r="I76" s="1">
        <v>195706.64459985174</v>
      </c>
      <c r="J76" s="1">
        <v>195706.64459985174</v>
      </c>
      <c r="K76" s="1">
        <v>195706.64459985174</v>
      </c>
      <c r="L76" s="1">
        <v>195706.64459985174</v>
      </c>
      <c r="M76" s="1">
        <v>119203.13807445513</v>
      </c>
      <c r="N76" s="1">
        <v>119203.13807445513</v>
      </c>
      <c r="O76" s="1">
        <v>99335.948395379281</v>
      </c>
      <c r="P76" s="1">
        <v>99335.948395379281</v>
      </c>
      <c r="Q76" s="1">
        <v>139070.32775353099</v>
      </c>
      <c r="R76" s="1">
        <v>139070.32775353099</v>
      </c>
      <c r="S76" s="1">
        <v>139070.32775353099</v>
      </c>
      <c r="T76" s="1">
        <v>139070.32775353099</v>
      </c>
      <c r="U76" s="1">
        <v>139070.32775353099</v>
      </c>
      <c r="V76" s="1">
        <v>139070.32775353099</v>
      </c>
      <c r="W76" s="4">
        <f t="shared" si="2"/>
        <v>1379435.3192098639</v>
      </c>
      <c r="X76" s="4">
        <f t="shared" si="2"/>
        <v>1379435.3192098639</v>
      </c>
      <c r="Y76" s="5">
        <f t="shared" si="3"/>
        <v>0.58150000000000002</v>
      </c>
    </row>
    <row r="77" spans="1:25" x14ac:dyDescent="0.25">
      <c r="A77" s="1" t="s">
        <v>58</v>
      </c>
      <c r="B77" s="1" t="s">
        <v>44</v>
      </c>
      <c r="C77" s="1" t="s">
        <v>45</v>
      </c>
      <c r="D77" s="1">
        <v>8366251.7104947614</v>
      </c>
      <c r="E77" s="1">
        <v>552172.61289265426</v>
      </c>
      <c r="F77" s="1">
        <v>552172.61289265426</v>
      </c>
      <c r="G77" s="1">
        <v>690215.76611581782</v>
      </c>
      <c r="H77" s="1">
        <v>690215.76611581782</v>
      </c>
      <c r="I77" s="1">
        <v>690215.76611581782</v>
      </c>
      <c r="J77" s="1">
        <v>690215.76611581782</v>
      </c>
      <c r="K77" s="1">
        <v>690215.76611581782</v>
      </c>
      <c r="L77" s="1">
        <v>690215.76611581782</v>
      </c>
      <c r="M77" s="1">
        <v>420404.14845236164</v>
      </c>
      <c r="N77" s="1">
        <v>420404.14845236164</v>
      </c>
      <c r="O77" s="1">
        <v>350336.79037696804</v>
      </c>
      <c r="P77" s="1">
        <v>350336.79037696804</v>
      </c>
      <c r="Q77" s="1">
        <v>490471.50652775523</v>
      </c>
      <c r="R77" s="1">
        <v>490471.50652775523</v>
      </c>
      <c r="S77" s="1">
        <v>490471.50652775523</v>
      </c>
      <c r="T77" s="1">
        <v>490471.50652775523</v>
      </c>
      <c r="U77" s="1">
        <v>490471.50652775523</v>
      </c>
      <c r="V77" s="1">
        <v>490471.50652775523</v>
      </c>
      <c r="W77" s="4">
        <f t="shared" si="2"/>
        <v>4864975.3696527034</v>
      </c>
      <c r="X77" s="4">
        <f t="shared" si="2"/>
        <v>4864975.3696527034</v>
      </c>
      <c r="Y77" s="5">
        <f t="shared" si="3"/>
        <v>0.58149999999999991</v>
      </c>
    </row>
    <row r="78" spans="1:25" x14ac:dyDescent="0.25">
      <c r="A78" s="1" t="s">
        <v>58</v>
      </c>
      <c r="B78" s="1" t="s">
        <v>46</v>
      </c>
      <c r="C78" s="1" t="s">
        <v>22</v>
      </c>
      <c r="D78" s="1">
        <v>75528947.17256254</v>
      </c>
      <c r="E78" s="1">
        <v>4989580.0112893647</v>
      </c>
      <c r="F78" s="1">
        <v>4989580.0112893647</v>
      </c>
      <c r="G78" s="1">
        <v>6236975.0141117051</v>
      </c>
      <c r="H78" s="1">
        <v>6236975.0141117051</v>
      </c>
      <c r="I78" s="1">
        <v>6236975.0141117051</v>
      </c>
      <c r="J78" s="1">
        <v>6236975.0141117051</v>
      </c>
      <c r="K78" s="1">
        <v>6236975.0141117051</v>
      </c>
      <c r="L78" s="1">
        <v>6236975.0141117051</v>
      </c>
      <c r="M78" s="1">
        <v>3913496.7592725414</v>
      </c>
      <c r="N78" s="1">
        <v>3913496.7592725414</v>
      </c>
      <c r="O78" s="1">
        <v>3182414.4524104022</v>
      </c>
      <c r="P78" s="1">
        <v>3182414.4524104022</v>
      </c>
      <c r="Q78" s="1">
        <v>4405855.2517328141</v>
      </c>
      <c r="R78" s="1">
        <v>4405855.2517328141</v>
      </c>
      <c r="S78" s="1">
        <v>4356330.2700910661</v>
      </c>
      <c r="T78" s="1">
        <v>4356330.2700910661</v>
      </c>
      <c r="U78" s="1">
        <v>4405855.2517328141</v>
      </c>
      <c r="V78" s="1">
        <v>4405855.2517328141</v>
      </c>
      <c r="W78" s="4">
        <f t="shared" si="2"/>
        <v>43964457.038864113</v>
      </c>
      <c r="X78" s="4">
        <f t="shared" si="2"/>
        <v>43964457.038864113</v>
      </c>
      <c r="Y78" s="5">
        <f t="shared" si="3"/>
        <v>0.58208751326054653</v>
      </c>
    </row>
    <row r="79" spans="1:25" x14ac:dyDescent="0.25">
      <c r="A79" s="1" t="s">
        <v>58</v>
      </c>
      <c r="B79" s="1" t="s">
        <v>66</v>
      </c>
      <c r="C79" s="1" t="s">
        <v>24</v>
      </c>
      <c r="D79" s="1">
        <v>243225491.67008853</v>
      </c>
      <c r="E79" s="1">
        <v>20066103.062782306</v>
      </c>
      <c r="F79" s="1">
        <v>20066103.062782306</v>
      </c>
      <c r="G79" s="1">
        <v>20066103.062782306</v>
      </c>
      <c r="H79" s="1">
        <v>20066103.062782306</v>
      </c>
      <c r="I79" s="1">
        <v>20066103.062782306</v>
      </c>
      <c r="J79" s="1">
        <v>20066103.062782306</v>
      </c>
      <c r="K79" s="1">
        <v>20066103.062782306</v>
      </c>
      <c r="L79" s="1">
        <v>20066103.062782306</v>
      </c>
      <c r="M79" s="1">
        <v>23788897.748870775</v>
      </c>
      <c r="N79" s="1">
        <v>23788897.748870775</v>
      </c>
      <c r="O79" s="1">
        <v>20804437</v>
      </c>
      <c r="P79" s="1">
        <v>20804437</v>
      </c>
      <c r="Q79" s="1">
        <v>18978436</v>
      </c>
      <c r="R79" s="1">
        <v>18978436</v>
      </c>
      <c r="S79" s="1">
        <v>19928437</v>
      </c>
      <c r="T79" s="1">
        <v>19928437</v>
      </c>
      <c r="U79" s="1">
        <v>21412500</v>
      </c>
      <c r="V79" s="1">
        <v>21412500</v>
      </c>
      <c r="W79" s="4">
        <f t="shared" si="2"/>
        <v>185177120.00000003</v>
      </c>
      <c r="X79" s="4">
        <f t="shared" si="2"/>
        <v>185177120.00000003</v>
      </c>
      <c r="Y79" s="5">
        <f t="shared" si="3"/>
        <v>0.7613392770983668</v>
      </c>
    </row>
    <row r="80" spans="1:25" x14ac:dyDescent="0.25">
      <c r="A80" s="1" t="s">
        <v>58</v>
      </c>
      <c r="B80" s="1" t="s">
        <v>67</v>
      </c>
      <c r="C80" s="1" t="s">
        <v>68</v>
      </c>
      <c r="D80" s="1">
        <v>1972253.5120233039</v>
      </c>
      <c r="E80" s="1">
        <v>130168.73179353807</v>
      </c>
      <c r="F80" s="1">
        <v>130168.73179353807</v>
      </c>
      <c r="G80" s="1">
        <v>162710.91474192258</v>
      </c>
      <c r="H80" s="1">
        <v>162710.91474192258</v>
      </c>
      <c r="I80" s="1">
        <v>162710.91474192258</v>
      </c>
      <c r="J80" s="1">
        <v>162710.91474192258</v>
      </c>
      <c r="K80" s="1">
        <v>162710.91474192258</v>
      </c>
      <c r="L80" s="1">
        <v>162710.91474192258</v>
      </c>
      <c r="M80" s="1">
        <v>102557.18262521176</v>
      </c>
      <c r="N80" s="1">
        <v>102557.18262521176</v>
      </c>
      <c r="O80" s="1">
        <v>82177.229667637657</v>
      </c>
      <c r="P80" s="1">
        <v>82177.229667637657</v>
      </c>
      <c r="Q80" s="1">
        <v>115048.12153469271</v>
      </c>
      <c r="R80" s="1">
        <v>115048.12153469271</v>
      </c>
      <c r="S80" s="1">
        <v>115048.12153469271</v>
      </c>
      <c r="T80" s="1">
        <v>115048.12153469271</v>
      </c>
      <c r="U80" s="1">
        <v>115048.12153469271</v>
      </c>
      <c r="V80" s="1">
        <v>115048.12153469271</v>
      </c>
      <c r="W80" s="4">
        <f t="shared" si="2"/>
        <v>1148180.2529162334</v>
      </c>
      <c r="X80" s="4">
        <f t="shared" si="2"/>
        <v>1148180.2529162334</v>
      </c>
      <c r="Y80" s="5">
        <f t="shared" si="3"/>
        <v>0.58216666666666661</v>
      </c>
    </row>
    <row r="81" spans="1:25" x14ac:dyDescent="0.25">
      <c r="A81" s="1" t="s">
        <v>58</v>
      </c>
      <c r="B81" s="1" t="s">
        <v>47</v>
      </c>
      <c r="C81" s="1" t="s">
        <v>34</v>
      </c>
      <c r="D81" s="1">
        <v>11415625.887323946</v>
      </c>
      <c r="E81" s="1">
        <v>0</v>
      </c>
      <c r="F81" s="1">
        <v>0</v>
      </c>
      <c r="G81" s="1">
        <v>751704.92883579014</v>
      </c>
      <c r="H81" s="1">
        <v>751704.92883579014</v>
      </c>
      <c r="I81" s="1">
        <v>0</v>
      </c>
      <c r="J81" s="1">
        <v>0</v>
      </c>
      <c r="K81" s="1">
        <v>0</v>
      </c>
      <c r="L81" s="1">
        <v>0</v>
      </c>
      <c r="M81" s="1">
        <v>5331960.4792440776</v>
      </c>
      <c r="N81" s="1">
        <v>5331960.4792440776</v>
      </c>
      <c r="O81" s="1">
        <v>0</v>
      </c>
      <c r="P81" s="1">
        <v>0</v>
      </c>
      <c r="Q81" s="1">
        <v>0</v>
      </c>
      <c r="R81" s="1">
        <v>0</v>
      </c>
      <c r="S81" s="1">
        <v>5331960.4792440776</v>
      </c>
      <c r="T81" s="1">
        <v>5331960.4792440776</v>
      </c>
      <c r="U81" s="1">
        <v>0</v>
      </c>
      <c r="V81" s="1">
        <v>0</v>
      </c>
      <c r="W81" s="4">
        <f t="shared" si="2"/>
        <v>11415625.887323946</v>
      </c>
      <c r="X81" s="4">
        <f t="shared" si="2"/>
        <v>11415625.887323946</v>
      </c>
      <c r="Y81" s="5">
        <f t="shared" si="3"/>
        <v>1</v>
      </c>
    </row>
    <row r="82" spans="1:25" x14ac:dyDescent="0.25">
      <c r="A82" s="1" t="s">
        <v>58</v>
      </c>
      <c r="B82" s="1" t="s">
        <v>69</v>
      </c>
      <c r="C82" s="1" t="s">
        <v>28</v>
      </c>
      <c r="D82" s="1">
        <v>5974940.3939736327</v>
      </c>
      <c r="E82" s="1">
        <v>394346.06600225979</v>
      </c>
      <c r="F82" s="1">
        <v>394346.06600225979</v>
      </c>
      <c r="G82" s="1">
        <v>492932.58250282472</v>
      </c>
      <c r="H82" s="1">
        <v>492932.58250282472</v>
      </c>
      <c r="I82" s="1">
        <v>492932.58250282472</v>
      </c>
      <c r="J82" s="1">
        <v>492932.58250282472</v>
      </c>
      <c r="K82" s="1">
        <v>492932.58250282472</v>
      </c>
      <c r="L82" s="1">
        <v>492932.58250282472</v>
      </c>
      <c r="M82" s="1">
        <v>300240.754797175</v>
      </c>
      <c r="N82" s="1">
        <v>300240.754797175</v>
      </c>
      <c r="O82" s="1">
        <v>250200.62899764586</v>
      </c>
      <c r="P82" s="1">
        <v>250200.62899764586</v>
      </c>
      <c r="Q82" s="1">
        <v>350280.8805967042</v>
      </c>
      <c r="R82" s="1">
        <v>350280.8805967042</v>
      </c>
      <c r="S82" s="1">
        <v>350280.8805967042</v>
      </c>
      <c r="T82" s="1">
        <v>350280.8805967042</v>
      </c>
      <c r="U82" s="1">
        <v>350280.8805967042</v>
      </c>
      <c r="V82" s="1">
        <v>350280.8805967042</v>
      </c>
      <c r="W82" s="4">
        <f t="shared" ref="W82:X145" si="4">U82+S82+Q82+O82+M82+K82+I82+G82+E82</f>
        <v>3474427.8390956675</v>
      </c>
      <c r="X82" s="4">
        <f t="shared" si="4"/>
        <v>3474427.8390956675</v>
      </c>
      <c r="Y82" s="5">
        <f t="shared" si="3"/>
        <v>0.58150000000000002</v>
      </c>
    </row>
    <row r="83" spans="1:25" x14ac:dyDescent="0.25">
      <c r="A83" s="1" t="s">
        <v>58</v>
      </c>
      <c r="B83" s="1" t="s">
        <v>70</v>
      </c>
      <c r="C83" s="1" t="s">
        <v>23</v>
      </c>
      <c r="D83" s="1">
        <v>6890625.0152343744</v>
      </c>
      <c r="E83" s="1">
        <v>454781.25100546872</v>
      </c>
      <c r="F83" s="1">
        <v>454781.25100546872</v>
      </c>
      <c r="G83" s="1">
        <v>568476.56375683588</v>
      </c>
      <c r="H83" s="1">
        <v>568476.56375683588</v>
      </c>
      <c r="I83" s="1">
        <v>568476.56375683588</v>
      </c>
      <c r="J83" s="1">
        <v>568476.56375683588</v>
      </c>
      <c r="K83" s="1">
        <v>568476.56375683588</v>
      </c>
      <c r="L83" s="1">
        <v>568476.56375683588</v>
      </c>
      <c r="M83" s="1">
        <v>346253.90701552731</v>
      </c>
      <c r="N83" s="1">
        <v>346253.90701552731</v>
      </c>
      <c r="O83" s="1">
        <v>288544.92251293943</v>
      </c>
      <c r="P83" s="1">
        <v>288544.92251293943</v>
      </c>
      <c r="Q83" s="1">
        <v>403962.89151811518</v>
      </c>
      <c r="R83" s="1">
        <v>403962.89151811518</v>
      </c>
      <c r="S83" s="1">
        <v>403962.89151811518</v>
      </c>
      <c r="T83" s="1">
        <v>403962.89151811518</v>
      </c>
      <c r="U83" s="1">
        <v>403962.89151811518</v>
      </c>
      <c r="V83" s="1">
        <v>403962.89151811518</v>
      </c>
      <c r="W83" s="4">
        <f t="shared" si="4"/>
        <v>4006898.4463587888</v>
      </c>
      <c r="X83" s="4">
        <f t="shared" si="4"/>
        <v>4006898.4463587888</v>
      </c>
      <c r="Y83" s="5">
        <f t="shared" si="3"/>
        <v>0.58150000000000002</v>
      </c>
    </row>
    <row r="84" spans="1:25" x14ac:dyDescent="0.25">
      <c r="A84" s="1" t="s">
        <v>58</v>
      </c>
      <c r="B84" s="1" t="s">
        <v>71</v>
      </c>
      <c r="C84" s="1" t="s">
        <v>29</v>
      </c>
      <c r="D84" s="1">
        <v>6952864.9211538434</v>
      </c>
      <c r="E84" s="1">
        <v>458889.08479615371</v>
      </c>
      <c r="F84" s="1">
        <v>458889.08479615371</v>
      </c>
      <c r="G84" s="1">
        <v>573611.35599519208</v>
      </c>
      <c r="H84" s="1">
        <v>573611.35599519208</v>
      </c>
      <c r="I84" s="1">
        <v>573611.35599519208</v>
      </c>
      <c r="J84" s="1">
        <v>573611.35599519208</v>
      </c>
      <c r="K84" s="1">
        <v>573611.35599519208</v>
      </c>
      <c r="L84" s="1">
        <v>573611.35599519208</v>
      </c>
      <c r="M84" s="1">
        <v>349381.4622879806</v>
      </c>
      <c r="N84" s="1">
        <v>349381.4622879806</v>
      </c>
      <c r="O84" s="1">
        <v>291151.21857331716</v>
      </c>
      <c r="P84" s="1">
        <v>291151.21857331716</v>
      </c>
      <c r="Q84" s="1">
        <v>407611.70600264403</v>
      </c>
      <c r="R84" s="1">
        <v>407611.70600264403</v>
      </c>
      <c r="S84" s="1">
        <v>407611.70600264403</v>
      </c>
      <c r="T84" s="1">
        <v>407611.70600264403</v>
      </c>
      <c r="U84" s="1">
        <v>407611.70600264403</v>
      </c>
      <c r="V84" s="1">
        <v>407611.70600264403</v>
      </c>
      <c r="W84" s="4">
        <f t="shared" si="4"/>
        <v>4043090.9516509604</v>
      </c>
      <c r="X84" s="4">
        <f t="shared" si="4"/>
        <v>4043090.9516509604</v>
      </c>
      <c r="Y84" s="5">
        <f t="shared" si="3"/>
        <v>0.58150000000000002</v>
      </c>
    </row>
    <row r="85" spans="1:25" x14ac:dyDescent="0.25">
      <c r="A85" s="1" t="s">
        <v>58</v>
      </c>
      <c r="B85" s="1" t="s">
        <v>72</v>
      </c>
      <c r="C85" s="1" t="s">
        <v>73</v>
      </c>
      <c r="D85" s="1">
        <v>6102004.1480104551</v>
      </c>
      <c r="E85" s="1">
        <v>402732.27376869007</v>
      </c>
      <c r="F85" s="1">
        <v>402732.27376869007</v>
      </c>
      <c r="G85" s="1">
        <v>503415.34221086255</v>
      </c>
      <c r="H85" s="1">
        <v>503415.34221086255</v>
      </c>
      <c r="I85" s="1">
        <v>503415.34221086255</v>
      </c>
      <c r="J85" s="1">
        <v>503415.34221086255</v>
      </c>
      <c r="K85" s="1">
        <v>503415.34221086255</v>
      </c>
      <c r="L85" s="1">
        <v>503415.34221086255</v>
      </c>
      <c r="M85" s="1">
        <v>306625.70843752538</v>
      </c>
      <c r="N85" s="1">
        <v>306625.70843752538</v>
      </c>
      <c r="O85" s="1">
        <v>255521.4236979378</v>
      </c>
      <c r="P85" s="1">
        <v>255521.4236979378</v>
      </c>
      <c r="Q85" s="1">
        <v>357729.99317711289</v>
      </c>
      <c r="R85" s="1">
        <v>357729.99317711289</v>
      </c>
      <c r="S85" s="1">
        <v>357729.99317711289</v>
      </c>
      <c r="T85" s="1">
        <v>357729.99317711289</v>
      </c>
      <c r="U85" s="1">
        <v>357729.99317711289</v>
      </c>
      <c r="V85" s="1">
        <v>357729.99317711289</v>
      </c>
      <c r="W85" s="4">
        <f t="shared" si="4"/>
        <v>3548315.4120680797</v>
      </c>
      <c r="X85" s="4">
        <f t="shared" si="4"/>
        <v>3548315.4120680797</v>
      </c>
      <c r="Y85" s="5">
        <f t="shared" si="3"/>
        <v>0.58150000000000002</v>
      </c>
    </row>
    <row r="86" spans="1:25" x14ac:dyDescent="0.25">
      <c r="A86" s="1" t="s">
        <v>58</v>
      </c>
      <c r="B86" s="1" t="s">
        <v>48</v>
      </c>
      <c r="C86" s="1" t="s">
        <v>49</v>
      </c>
      <c r="D86" s="1">
        <v>4559548.771986505</v>
      </c>
      <c r="E86" s="1">
        <v>300930.21895110933</v>
      </c>
      <c r="F86" s="1">
        <v>300930.21895110933</v>
      </c>
      <c r="G86" s="1">
        <v>376162.77368888666</v>
      </c>
      <c r="H86" s="1">
        <v>376162.77368888666</v>
      </c>
      <c r="I86" s="1">
        <v>376162.77368888666</v>
      </c>
      <c r="J86" s="1">
        <v>376162.77368888666</v>
      </c>
      <c r="K86" s="1">
        <v>376162.77368888666</v>
      </c>
      <c r="L86" s="1">
        <v>376162.77368888666</v>
      </c>
      <c r="M86" s="1">
        <v>229117.32579232185</v>
      </c>
      <c r="N86" s="1">
        <v>229117.32579232185</v>
      </c>
      <c r="O86" s="1">
        <v>190931.10482693487</v>
      </c>
      <c r="P86" s="1">
        <v>190931.10482693487</v>
      </c>
      <c r="Q86" s="1">
        <v>267303.54675770883</v>
      </c>
      <c r="R86" s="1">
        <v>267303.54675770883</v>
      </c>
      <c r="S86" s="1">
        <v>267303.54675770883</v>
      </c>
      <c r="T86" s="1">
        <v>267303.54675770883</v>
      </c>
      <c r="U86" s="1">
        <v>267303.54675770883</v>
      </c>
      <c r="V86" s="1">
        <v>267303.54675770883</v>
      </c>
      <c r="W86" s="4">
        <f t="shared" si="4"/>
        <v>2651377.610910153</v>
      </c>
      <c r="X86" s="4">
        <f t="shared" si="4"/>
        <v>2651377.610910153</v>
      </c>
      <c r="Y86" s="5">
        <f t="shared" si="3"/>
        <v>0.58150000000000013</v>
      </c>
    </row>
    <row r="87" spans="1:25" x14ac:dyDescent="0.25">
      <c r="A87" s="1" t="s">
        <v>58</v>
      </c>
      <c r="B87" s="1" t="s">
        <v>53</v>
      </c>
      <c r="C87" s="1" t="s">
        <v>30</v>
      </c>
      <c r="D87" s="1">
        <v>3286014.9262045384</v>
      </c>
      <c r="E87" s="1">
        <v>216876.98512949955</v>
      </c>
      <c r="F87" s="1">
        <v>216876.98512949955</v>
      </c>
      <c r="G87" s="1">
        <v>271096.23141187441</v>
      </c>
      <c r="H87" s="1">
        <v>271096.23141187441</v>
      </c>
      <c r="I87" s="1">
        <v>271096.23141187441</v>
      </c>
      <c r="J87" s="1">
        <v>271096.23141187441</v>
      </c>
      <c r="K87" s="1">
        <v>271096.23141187441</v>
      </c>
      <c r="L87" s="1">
        <v>271096.23141187441</v>
      </c>
      <c r="M87" s="1">
        <v>165122.25004177805</v>
      </c>
      <c r="N87" s="1">
        <v>165122.25004177805</v>
      </c>
      <c r="O87" s="1">
        <v>137601.87503481505</v>
      </c>
      <c r="P87" s="1">
        <v>137601.87503481505</v>
      </c>
      <c r="Q87" s="1">
        <v>192642.62504874106</v>
      </c>
      <c r="R87" s="1">
        <v>192642.62504874106</v>
      </c>
      <c r="S87" s="1">
        <v>192642.62504874106</v>
      </c>
      <c r="T87" s="1">
        <v>192642.62504874106</v>
      </c>
      <c r="U87" s="1">
        <v>192642.62504874106</v>
      </c>
      <c r="V87" s="1">
        <v>192642.62504874106</v>
      </c>
      <c r="W87" s="4">
        <f t="shared" si="4"/>
        <v>1910817.6795879391</v>
      </c>
      <c r="X87" s="4">
        <f t="shared" si="4"/>
        <v>1910817.6795879391</v>
      </c>
      <c r="Y87" s="5">
        <f t="shared" si="3"/>
        <v>0.58150000000000002</v>
      </c>
    </row>
    <row r="88" spans="1:25" x14ac:dyDescent="0.25">
      <c r="A88" s="1" t="s">
        <v>58</v>
      </c>
      <c r="B88" s="1" t="s">
        <v>74</v>
      </c>
      <c r="C88" s="1" t="s">
        <v>75</v>
      </c>
      <c r="D88" s="1">
        <v>4202403.7756456211</v>
      </c>
      <c r="E88" s="1">
        <v>277358.64919261099</v>
      </c>
      <c r="F88" s="1">
        <v>277358.64919261099</v>
      </c>
      <c r="G88" s="1">
        <v>346698.31149076374</v>
      </c>
      <c r="H88" s="1">
        <v>346698.31149076374</v>
      </c>
      <c r="I88" s="1">
        <v>346698.31149076374</v>
      </c>
      <c r="J88" s="1">
        <v>346698.31149076374</v>
      </c>
      <c r="K88" s="1">
        <v>346698.31149076374</v>
      </c>
      <c r="L88" s="1">
        <v>346698.31149076374</v>
      </c>
      <c r="M88" s="1">
        <v>211170.78972619248</v>
      </c>
      <c r="N88" s="1">
        <v>211170.78972619248</v>
      </c>
      <c r="O88" s="1">
        <v>175975.6581051604</v>
      </c>
      <c r="P88" s="1">
        <v>175975.6581051604</v>
      </c>
      <c r="Q88" s="1">
        <v>246365.92134722453</v>
      </c>
      <c r="R88" s="1">
        <v>246365.92134722453</v>
      </c>
      <c r="S88" s="1">
        <v>246365.92134722453</v>
      </c>
      <c r="T88" s="1">
        <v>246365.92134722453</v>
      </c>
      <c r="U88" s="1">
        <v>246365.92134722453</v>
      </c>
      <c r="V88" s="1">
        <v>246365.92134722453</v>
      </c>
      <c r="W88" s="4">
        <f t="shared" si="4"/>
        <v>2443697.7955379291</v>
      </c>
      <c r="X88" s="4">
        <f t="shared" si="4"/>
        <v>2443697.7955379291</v>
      </c>
      <c r="Y88" s="5">
        <f t="shared" si="3"/>
        <v>0.58150000000000013</v>
      </c>
    </row>
    <row r="89" spans="1:25" x14ac:dyDescent="0.25">
      <c r="A89" s="1" t="s">
        <v>58</v>
      </c>
      <c r="B89" s="1" t="s">
        <v>50</v>
      </c>
      <c r="C89" s="1" t="s">
        <v>25</v>
      </c>
      <c r="D89" s="1">
        <v>4787526.2105858289</v>
      </c>
      <c r="E89" s="1">
        <v>315976.72989866475</v>
      </c>
      <c r="F89" s="1">
        <v>315976.72989866475</v>
      </c>
      <c r="G89" s="1">
        <v>394970.91237333091</v>
      </c>
      <c r="H89" s="1">
        <v>394970.91237333091</v>
      </c>
      <c r="I89" s="1">
        <v>394970.91237333091</v>
      </c>
      <c r="J89" s="1">
        <v>394970.91237333091</v>
      </c>
      <c r="K89" s="1">
        <v>394970.91237333091</v>
      </c>
      <c r="L89" s="1">
        <v>394970.91237333091</v>
      </c>
      <c r="M89" s="1">
        <v>240573.19208193789</v>
      </c>
      <c r="N89" s="1">
        <v>240573.19208193789</v>
      </c>
      <c r="O89" s="1">
        <v>200477.66006828158</v>
      </c>
      <c r="P89" s="1">
        <v>200477.66006828158</v>
      </c>
      <c r="Q89" s="1">
        <v>280668.7240955942</v>
      </c>
      <c r="R89" s="1">
        <v>280668.7240955942</v>
      </c>
      <c r="S89" s="1">
        <v>280668.7240955942</v>
      </c>
      <c r="T89" s="1">
        <v>280668.7240955942</v>
      </c>
      <c r="U89" s="1">
        <v>280668.7240955942</v>
      </c>
      <c r="V89" s="1">
        <v>280668.7240955942</v>
      </c>
      <c r="W89" s="4">
        <f t="shared" si="4"/>
        <v>2783946.4914556597</v>
      </c>
      <c r="X89" s="4">
        <f t="shared" si="4"/>
        <v>2783946.4914556597</v>
      </c>
      <c r="Y89" s="5">
        <f t="shared" si="3"/>
        <v>0.58150000000000002</v>
      </c>
    </row>
    <row r="90" spans="1:25" x14ac:dyDescent="0.25">
      <c r="A90" s="1" t="s">
        <v>76</v>
      </c>
      <c r="B90" s="1" t="s">
        <v>59</v>
      </c>
      <c r="C90" s="1" t="s">
        <v>26</v>
      </c>
      <c r="D90" s="1">
        <v>41087682.748172127</v>
      </c>
      <c r="E90" s="1">
        <v>3659241.8773793611</v>
      </c>
      <c r="F90" s="1">
        <v>3659241.8773793611</v>
      </c>
      <c r="G90" s="1">
        <v>4574052.346724201</v>
      </c>
      <c r="H90" s="1">
        <v>4574052.346724201</v>
      </c>
      <c r="I90" s="1">
        <v>4574052.346724201</v>
      </c>
      <c r="J90" s="1">
        <v>4574052.346724201</v>
      </c>
      <c r="K90" s="1">
        <v>4574052.346724201</v>
      </c>
      <c r="L90" s="1">
        <v>4574052.346724201</v>
      </c>
      <c r="M90" s="1">
        <v>2848934.1701594149</v>
      </c>
      <c r="N90" s="1">
        <v>2848934.1701594149</v>
      </c>
      <c r="O90" s="1">
        <v>2848934.1701594149</v>
      </c>
      <c r="P90" s="1">
        <v>2848934.1701594149</v>
      </c>
      <c r="Q90" s="1">
        <v>2848934.1701594149</v>
      </c>
      <c r="R90" s="1">
        <v>2848934.1701594149</v>
      </c>
      <c r="S90" s="1">
        <v>2848934.1701594149</v>
      </c>
      <c r="T90" s="1">
        <v>2848934.1701594149</v>
      </c>
      <c r="U90" s="1">
        <v>2848934.1701594149</v>
      </c>
      <c r="V90" s="1">
        <v>2848934.1701594149</v>
      </c>
      <c r="W90" s="4">
        <f t="shared" si="4"/>
        <v>31626069.76834904</v>
      </c>
      <c r="X90" s="4">
        <f t="shared" si="4"/>
        <v>31626069.76834904</v>
      </c>
      <c r="Y90" s="5">
        <f t="shared" si="3"/>
        <v>0.76972142630155982</v>
      </c>
    </row>
    <row r="91" spans="1:25" x14ac:dyDescent="0.25">
      <c r="A91" s="1" t="s">
        <v>76</v>
      </c>
      <c r="B91" s="1" t="s">
        <v>59</v>
      </c>
      <c r="C91" s="1" t="s">
        <v>26</v>
      </c>
      <c r="D91" s="1">
        <v>14355376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7177688</v>
      </c>
      <c r="N91" s="1">
        <v>7177688</v>
      </c>
      <c r="O91" s="1">
        <v>7177688</v>
      </c>
      <c r="P91" s="1">
        <v>7177688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4">
        <f t="shared" si="4"/>
        <v>14355376</v>
      </c>
      <c r="X91" s="4">
        <f t="shared" si="4"/>
        <v>14355376</v>
      </c>
      <c r="Y91" s="5">
        <f t="shared" si="3"/>
        <v>1</v>
      </c>
    </row>
    <row r="92" spans="1:25" x14ac:dyDescent="0.25">
      <c r="A92" s="1" t="s">
        <v>76</v>
      </c>
      <c r="B92" s="1" t="s">
        <v>33</v>
      </c>
      <c r="C92" s="1" t="s">
        <v>34</v>
      </c>
      <c r="D92" s="1">
        <v>60000000</v>
      </c>
      <c r="E92" s="1">
        <v>0</v>
      </c>
      <c r="F92" s="1">
        <v>0</v>
      </c>
      <c r="G92" s="1">
        <v>12000000</v>
      </c>
      <c r="H92" s="1">
        <v>12000000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18000000</v>
      </c>
      <c r="P92" s="1">
        <v>18000000</v>
      </c>
      <c r="Q92" s="1">
        <v>0</v>
      </c>
      <c r="R92" s="1">
        <v>0</v>
      </c>
      <c r="S92" s="1">
        <v>18000000</v>
      </c>
      <c r="T92" s="1">
        <v>18000000</v>
      </c>
      <c r="U92" s="1">
        <v>12000000</v>
      </c>
      <c r="V92" s="1">
        <v>12000000</v>
      </c>
      <c r="W92" s="4">
        <f t="shared" si="4"/>
        <v>60000000</v>
      </c>
      <c r="X92" s="4">
        <f t="shared" si="4"/>
        <v>60000000</v>
      </c>
      <c r="Y92" s="5">
        <f t="shared" si="3"/>
        <v>1</v>
      </c>
    </row>
    <row r="93" spans="1:25" x14ac:dyDescent="0.25">
      <c r="A93" s="1" t="s">
        <v>76</v>
      </c>
      <c r="B93" s="1" t="s">
        <v>35</v>
      </c>
      <c r="C93" s="1" t="s">
        <v>34</v>
      </c>
      <c r="D93" s="1">
        <v>150000000</v>
      </c>
      <c r="E93" s="1">
        <v>0</v>
      </c>
      <c r="F93" s="1">
        <v>0</v>
      </c>
      <c r="G93" s="1">
        <v>41250000</v>
      </c>
      <c r="H93" s="1">
        <v>41250000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36250000</v>
      </c>
      <c r="P93" s="1">
        <v>36250000</v>
      </c>
      <c r="Q93" s="1">
        <v>0</v>
      </c>
      <c r="R93" s="1">
        <v>0</v>
      </c>
      <c r="S93" s="1">
        <v>36250000</v>
      </c>
      <c r="T93" s="1">
        <v>36250000</v>
      </c>
      <c r="U93" s="1">
        <v>36250000</v>
      </c>
      <c r="V93" s="1">
        <v>36250000</v>
      </c>
      <c r="W93" s="4">
        <f t="shared" si="4"/>
        <v>150000000</v>
      </c>
      <c r="X93" s="4">
        <f t="shared" si="4"/>
        <v>150000000</v>
      </c>
      <c r="Y93" s="5">
        <f t="shared" si="3"/>
        <v>1</v>
      </c>
    </row>
    <row r="94" spans="1:25" x14ac:dyDescent="0.25">
      <c r="A94" s="1" t="s">
        <v>76</v>
      </c>
      <c r="B94" s="1" t="s">
        <v>38</v>
      </c>
      <c r="C94" s="1" t="s">
        <v>39</v>
      </c>
      <c r="D94" s="1">
        <v>9429908.0665411185</v>
      </c>
      <c r="E94" s="1">
        <v>622373.93239171396</v>
      </c>
      <c r="F94" s="1">
        <v>622373.93239171396</v>
      </c>
      <c r="G94" s="1">
        <v>777967.41548964242</v>
      </c>
      <c r="H94" s="1">
        <v>777967.41548964242</v>
      </c>
      <c r="I94" s="1">
        <v>777967.41548964242</v>
      </c>
      <c r="J94" s="1">
        <v>777967.41548964242</v>
      </c>
      <c r="K94" s="1">
        <v>777967.41548964242</v>
      </c>
      <c r="L94" s="1">
        <v>777967.41548964242</v>
      </c>
      <c r="M94" s="1">
        <v>473852.88034369127</v>
      </c>
      <c r="N94" s="1">
        <v>473852.88034369127</v>
      </c>
      <c r="O94" s="1">
        <v>394877.40028640942</v>
      </c>
      <c r="P94" s="1">
        <v>394877.40028640942</v>
      </c>
      <c r="Q94" s="1">
        <v>552828.36040097312</v>
      </c>
      <c r="R94" s="1">
        <v>552828.36040097312</v>
      </c>
      <c r="S94" s="1">
        <v>552828.36040097312</v>
      </c>
      <c r="T94" s="1">
        <v>552828.36040097312</v>
      </c>
      <c r="U94" s="1">
        <v>552828.36040097312</v>
      </c>
      <c r="V94" s="1">
        <v>552828.36040097312</v>
      </c>
      <c r="W94" s="4">
        <f t="shared" si="4"/>
        <v>5483491.5406936612</v>
      </c>
      <c r="X94" s="4">
        <f t="shared" si="4"/>
        <v>5483491.5406936612</v>
      </c>
      <c r="Y94" s="5">
        <f t="shared" si="3"/>
        <v>0.58150000000000013</v>
      </c>
    </row>
    <row r="95" spans="1:25" x14ac:dyDescent="0.25">
      <c r="A95" s="1" t="s">
        <v>76</v>
      </c>
      <c r="B95" s="1" t="s">
        <v>61</v>
      </c>
      <c r="C95" s="1" t="s">
        <v>34</v>
      </c>
      <c r="D95" s="1">
        <v>87494484</v>
      </c>
      <c r="E95" s="1">
        <v>0</v>
      </c>
      <c r="F95" s="1">
        <v>0</v>
      </c>
      <c r="G95" s="1">
        <v>6999558.7192027364</v>
      </c>
      <c r="H95" s="1">
        <v>6999558.7192027364</v>
      </c>
      <c r="I95" s="1">
        <v>0</v>
      </c>
      <c r="J95" s="1">
        <v>0</v>
      </c>
      <c r="K95" s="1">
        <v>0</v>
      </c>
      <c r="L95" s="1">
        <v>0</v>
      </c>
      <c r="M95" s="1">
        <v>20123731.320199315</v>
      </c>
      <c r="N95" s="1">
        <v>20123731.320199315</v>
      </c>
      <c r="O95" s="1">
        <v>0</v>
      </c>
      <c r="P95" s="1">
        <v>0</v>
      </c>
      <c r="Q95" s="1">
        <v>0</v>
      </c>
      <c r="R95" s="1">
        <v>0</v>
      </c>
      <c r="S95" s="1">
        <v>30185596.980298974</v>
      </c>
      <c r="T95" s="1">
        <v>30185596.980298974</v>
      </c>
      <c r="U95" s="1">
        <v>0</v>
      </c>
      <c r="V95" s="1">
        <v>0</v>
      </c>
      <c r="W95" s="4">
        <f t="shared" si="4"/>
        <v>57308887.019701026</v>
      </c>
      <c r="X95" s="4">
        <f t="shared" si="4"/>
        <v>57308887.019701026</v>
      </c>
      <c r="Y95" s="5">
        <f t="shared" si="3"/>
        <v>0.65499999999658298</v>
      </c>
    </row>
    <row r="96" spans="1:25" x14ac:dyDescent="0.25">
      <c r="A96" s="1" t="s">
        <v>76</v>
      </c>
      <c r="B96" s="1" t="s">
        <v>62</v>
      </c>
      <c r="C96" s="1" t="s">
        <v>63</v>
      </c>
      <c r="D96" s="1">
        <v>37642857</v>
      </c>
      <c r="E96" s="1">
        <v>15399999.999120001</v>
      </c>
      <c r="F96" s="1">
        <v>15399999.999120001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1379464.2857967855</v>
      </c>
      <c r="N96" s="1">
        <v>1379464.2857967855</v>
      </c>
      <c r="O96" s="1">
        <v>1149553.5714973214</v>
      </c>
      <c r="P96" s="1">
        <v>1149553.5714973214</v>
      </c>
      <c r="Q96" s="1">
        <v>1609375.0000962499</v>
      </c>
      <c r="R96" s="1">
        <v>1609375.0000962499</v>
      </c>
      <c r="S96" s="1">
        <v>1609375.0000962499</v>
      </c>
      <c r="T96" s="1">
        <v>1609375.0000962499</v>
      </c>
      <c r="U96" s="1">
        <v>1609375.0000962499</v>
      </c>
      <c r="V96" s="1">
        <v>1609375.0000962499</v>
      </c>
      <c r="W96" s="4">
        <f t="shared" si="4"/>
        <v>22757142.856702857</v>
      </c>
      <c r="X96" s="4">
        <f t="shared" si="4"/>
        <v>22757142.856702857</v>
      </c>
      <c r="Y96" s="5">
        <f t="shared" si="3"/>
        <v>0.60455408197902871</v>
      </c>
    </row>
    <row r="97" spans="1:25" x14ac:dyDescent="0.25">
      <c r="A97" s="1" t="s">
        <v>76</v>
      </c>
      <c r="B97" s="1" t="s">
        <v>40</v>
      </c>
      <c r="C97" s="1" t="s">
        <v>27</v>
      </c>
      <c r="D97" s="1">
        <v>169560395.00000006</v>
      </c>
      <c r="E97" s="1">
        <v>17725765.083333336</v>
      </c>
      <c r="F97" s="1">
        <v>17725765.083333336</v>
      </c>
      <c r="G97" s="1">
        <v>16196954.85</v>
      </c>
      <c r="H97" s="1">
        <v>16196954.85</v>
      </c>
      <c r="I97" s="1">
        <v>12385388.027777791</v>
      </c>
      <c r="J97" s="1">
        <v>12385388.027777791</v>
      </c>
      <c r="K97" s="1">
        <v>12715863.4944444</v>
      </c>
      <c r="L97" s="1">
        <v>12715863.4944444</v>
      </c>
      <c r="M97" s="1">
        <v>23250000.000000034</v>
      </c>
      <c r="N97" s="1">
        <v>23250000.000000034</v>
      </c>
      <c r="O97" s="1">
        <v>30508245.877777796</v>
      </c>
      <c r="P97" s="1">
        <v>30508245.877777796</v>
      </c>
      <c r="Q97" s="1">
        <v>8841896.8611111119</v>
      </c>
      <c r="R97" s="1">
        <v>8841896.8611111119</v>
      </c>
      <c r="S97" s="1">
        <v>19016612.094444443</v>
      </c>
      <c r="T97" s="1">
        <v>19016612.094444443</v>
      </c>
      <c r="U97" s="1">
        <v>7518237.194444445</v>
      </c>
      <c r="V97" s="1">
        <v>7518237.194444445</v>
      </c>
      <c r="W97" s="4">
        <f t="shared" si="4"/>
        <v>148158963.48333335</v>
      </c>
      <c r="X97" s="4">
        <f t="shared" si="4"/>
        <v>148158963.48333335</v>
      </c>
      <c r="Y97" s="5">
        <f t="shared" si="3"/>
        <v>0.87378283993342487</v>
      </c>
    </row>
    <row r="98" spans="1:25" x14ac:dyDescent="0.25">
      <c r="A98" s="1" t="s">
        <v>76</v>
      </c>
      <c r="B98" s="1" t="s">
        <v>40</v>
      </c>
      <c r="C98" s="1" t="s">
        <v>27</v>
      </c>
      <c r="D98" s="1">
        <v>147812829</v>
      </c>
      <c r="E98" s="1">
        <v>0</v>
      </c>
      <c r="F98" s="1">
        <v>0</v>
      </c>
      <c r="G98" s="1">
        <v>0</v>
      </c>
      <c r="H98" s="1">
        <v>0</v>
      </c>
      <c r="I98" s="1">
        <v>32062506.303949207</v>
      </c>
      <c r="J98" s="1">
        <v>32062506.303949207</v>
      </c>
      <c r="K98" s="1">
        <v>0</v>
      </c>
      <c r="L98" s="1">
        <v>0</v>
      </c>
      <c r="M98" s="1">
        <v>52886060.022038095</v>
      </c>
      <c r="N98" s="1">
        <v>52886060.022038095</v>
      </c>
      <c r="O98" s="1">
        <v>58248701.674012698</v>
      </c>
      <c r="P98" s="1">
        <v>58248701.674012698</v>
      </c>
      <c r="Q98" s="1">
        <v>3057731</v>
      </c>
      <c r="R98" s="1">
        <v>3057731</v>
      </c>
      <c r="S98" s="1">
        <v>0</v>
      </c>
      <c r="T98" s="1">
        <v>0</v>
      </c>
      <c r="U98" s="1">
        <v>0</v>
      </c>
      <c r="V98" s="1">
        <v>0</v>
      </c>
      <c r="W98" s="4">
        <f t="shared" si="4"/>
        <v>146254999</v>
      </c>
      <c r="X98" s="4">
        <f t="shared" si="4"/>
        <v>146254999</v>
      </c>
      <c r="Y98" s="5">
        <f t="shared" si="3"/>
        <v>0.98946079301411649</v>
      </c>
    </row>
    <row r="99" spans="1:25" x14ac:dyDescent="0.25">
      <c r="A99" s="1" t="s">
        <v>76</v>
      </c>
      <c r="B99" s="1" t="s">
        <v>40</v>
      </c>
      <c r="C99" s="1" t="s">
        <v>27</v>
      </c>
      <c r="D99" s="1">
        <v>34472251</v>
      </c>
      <c r="E99" s="1">
        <v>0</v>
      </c>
      <c r="F99" s="1">
        <v>0</v>
      </c>
      <c r="G99" s="1">
        <v>0</v>
      </c>
      <c r="H99" s="1">
        <v>0</v>
      </c>
      <c r="I99" s="1">
        <v>11693549</v>
      </c>
      <c r="J99" s="1">
        <v>11693549</v>
      </c>
      <c r="K99" s="1">
        <v>13328980</v>
      </c>
      <c r="L99" s="1">
        <v>13328980</v>
      </c>
      <c r="M99" s="1">
        <v>0</v>
      </c>
      <c r="N99" s="1">
        <v>0</v>
      </c>
      <c r="O99" s="1">
        <v>9449722</v>
      </c>
      <c r="P99" s="1">
        <v>9449722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4">
        <f t="shared" si="4"/>
        <v>34472251</v>
      </c>
      <c r="X99" s="4">
        <f t="shared" si="4"/>
        <v>34472251</v>
      </c>
      <c r="Y99" s="5">
        <f t="shared" si="3"/>
        <v>1</v>
      </c>
    </row>
    <row r="100" spans="1:25" x14ac:dyDescent="0.25">
      <c r="A100" s="1" t="s">
        <v>76</v>
      </c>
      <c r="B100" s="1" t="s">
        <v>43</v>
      </c>
      <c r="C100" s="1" t="s">
        <v>31</v>
      </c>
      <c r="D100" s="1">
        <v>5232629</v>
      </c>
      <c r="E100" s="1">
        <v>303955.06536509661</v>
      </c>
      <c r="F100" s="1">
        <v>303955.06536509661</v>
      </c>
      <c r="G100" s="1">
        <v>379943.83170637075</v>
      </c>
      <c r="H100" s="1">
        <v>379943.83170637075</v>
      </c>
      <c r="I100" s="1">
        <v>379943.83170637075</v>
      </c>
      <c r="J100" s="1">
        <v>379943.83170637075</v>
      </c>
      <c r="K100" s="1">
        <v>379943.83170637075</v>
      </c>
      <c r="L100" s="1">
        <v>379943.83170637075</v>
      </c>
      <c r="M100" s="1">
        <v>282516.57286009676</v>
      </c>
      <c r="N100" s="1">
        <v>282516.57286009676</v>
      </c>
      <c r="O100" s="1">
        <v>235430.47738341399</v>
      </c>
      <c r="P100" s="1">
        <v>235430.47738341399</v>
      </c>
      <c r="Q100" s="1">
        <v>291778.89286470361</v>
      </c>
      <c r="R100" s="1">
        <v>291778.89286470361</v>
      </c>
      <c r="S100" s="1">
        <v>329602.66833677958</v>
      </c>
      <c r="T100" s="1">
        <v>329602.66833677958</v>
      </c>
      <c r="U100" s="1">
        <v>329602.66833677958</v>
      </c>
      <c r="V100" s="1">
        <v>329602.66833677958</v>
      </c>
      <c r="W100" s="4">
        <f t="shared" si="4"/>
        <v>2912717.8402659823</v>
      </c>
      <c r="X100" s="4">
        <f t="shared" si="4"/>
        <v>2912717.8402659823</v>
      </c>
      <c r="Y100" s="5">
        <f t="shared" si="3"/>
        <v>0.55664520459332822</v>
      </c>
    </row>
    <row r="101" spans="1:25" x14ac:dyDescent="0.25">
      <c r="A101" s="1" t="s">
        <v>76</v>
      </c>
      <c r="B101" s="1" t="s">
        <v>64</v>
      </c>
      <c r="C101" s="1" t="s">
        <v>23</v>
      </c>
      <c r="D101" s="1">
        <v>5879895.232735062</v>
      </c>
      <c r="E101" s="1">
        <v>388073.08536051412</v>
      </c>
      <c r="F101" s="1">
        <v>388073.08536051412</v>
      </c>
      <c r="G101" s="1">
        <v>485091.35670064262</v>
      </c>
      <c r="H101" s="1">
        <v>485091.35670064262</v>
      </c>
      <c r="I101" s="1">
        <v>485091.35670064262</v>
      </c>
      <c r="J101" s="1">
        <v>485091.35670064262</v>
      </c>
      <c r="K101" s="1">
        <v>485091.35670064262</v>
      </c>
      <c r="L101" s="1">
        <v>485091.35670064262</v>
      </c>
      <c r="M101" s="1">
        <v>295464.73544493684</v>
      </c>
      <c r="N101" s="1">
        <v>295464.73544493684</v>
      </c>
      <c r="O101" s="1">
        <v>246220.61287078072</v>
      </c>
      <c r="P101" s="1">
        <v>246220.61287078072</v>
      </c>
      <c r="Q101" s="1">
        <v>344708.85801909299</v>
      </c>
      <c r="R101" s="1">
        <v>344708.85801909299</v>
      </c>
      <c r="S101" s="1">
        <v>344708.85801909299</v>
      </c>
      <c r="T101" s="1">
        <v>344708.85801909299</v>
      </c>
      <c r="U101" s="1">
        <v>344708.85801909299</v>
      </c>
      <c r="V101" s="1">
        <v>344708.85801909299</v>
      </c>
      <c r="W101" s="4">
        <f t="shared" si="4"/>
        <v>3419159.0778354383</v>
      </c>
      <c r="X101" s="4">
        <f t="shared" si="4"/>
        <v>3419159.0778354383</v>
      </c>
      <c r="Y101" s="5">
        <f t="shared" si="3"/>
        <v>0.58149999999999991</v>
      </c>
    </row>
    <row r="102" spans="1:25" x14ac:dyDescent="0.25">
      <c r="A102" s="1" t="s">
        <v>76</v>
      </c>
      <c r="B102" s="1" t="s">
        <v>65</v>
      </c>
      <c r="C102" s="1" t="s">
        <v>31</v>
      </c>
      <c r="D102" s="1">
        <v>8652654.0911687091</v>
      </c>
      <c r="E102" s="1">
        <v>571075.17001713486</v>
      </c>
      <c r="F102" s="1">
        <v>571075.17001713486</v>
      </c>
      <c r="G102" s="1">
        <v>713843.96252141858</v>
      </c>
      <c r="H102" s="1">
        <v>713843.96252141858</v>
      </c>
      <c r="I102" s="1">
        <v>713843.96252141858</v>
      </c>
      <c r="J102" s="1">
        <v>713843.96252141858</v>
      </c>
      <c r="K102" s="1">
        <v>713843.96252141858</v>
      </c>
      <c r="L102" s="1">
        <v>713843.96252141858</v>
      </c>
      <c r="M102" s="1">
        <v>434795.86808122764</v>
      </c>
      <c r="N102" s="1">
        <v>434795.86808122764</v>
      </c>
      <c r="O102" s="1">
        <v>362329.8900676897</v>
      </c>
      <c r="P102" s="1">
        <v>362329.8900676897</v>
      </c>
      <c r="Q102" s="1">
        <v>507261.84609476553</v>
      </c>
      <c r="R102" s="1">
        <v>507261.84609476553</v>
      </c>
      <c r="S102" s="1">
        <v>507261.84609476553</v>
      </c>
      <c r="T102" s="1">
        <v>507261.84609476553</v>
      </c>
      <c r="U102" s="1">
        <v>507261.84609476553</v>
      </c>
      <c r="V102" s="1">
        <v>507261.84609476553</v>
      </c>
      <c r="W102" s="4">
        <f t="shared" si="4"/>
        <v>5031518.3540146053</v>
      </c>
      <c r="X102" s="4">
        <f t="shared" si="4"/>
        <v>5031518.3540146053</v>
      </c>
      <c r="Y102" s="5">
        <f t="shared" si="3"/>
        <v>0.58150000000000013</v>
      </c>
    </row>
    <row r="103" spans="1:25" x14ac:dyDescent="0.25">
      <c r="A103" s="1" t="s">
        <v>76</v>
      </c>
      <c r="B103" s="1" t="s">
        <v>44</v>
      </c>
      <c r="C103" s="1" t="s">
        <v>45</v>
      </c>
      <c r="D103" s="1">
        <v>9429908.0665411185</v>
      </c>
      <c r="E103" s="1">
        <v>622373.93239171384</v>
      </c>
      <c r="F103" s="1">
        <v>622373.93239171384</v>
      </c>
      <c r="G103" s="1">
        <v>777967.4154896423</v>
      </c>
      <c r="H103" s="1">
        <v>777967.4154896423</v>
      </c>
      <c r="I103" s="1">
        <v>777967.4154896423</v>
      </c>
      <c r="J103" s="1">
        <v>777967.4154896423</v>
      </c>
      <c r="K103" s="1">
        <v>777967.4154896423</v>
      </c>
      <c r="L103" s="1">
        <v>777967.4154896423</v>
      </c>
      <c r="M103" s="1">
        <v>473852.88034369127</v>
      </c>
      <c r="N103" s="1">
        <v>473852.88034369127</v>
      </c>
      <c r="O103" s="1">
        <v>394877.40028640942</v>
      </c>
      <c r="P103" s="1">
        <v>394877.40028640942</v>
      </c>
      <c r="Q103" s="1">
        <v>552828.36040097312</v>
      </c>
      <c r="R103" s="1">
        <v>552828.36040097312</v>
      </c>
      <c r="S103" s="1">
        <v>552828.36040097312</v>
      </c>
      <c r="T103" s="1">
        <v>552828.36040097312</v>
      </c>
      <c r="U103" s="1">
        <v>552828.36040097312</v>
      </c>
      <c r="V103" s="1">
        <v>552828.36040097312</v>
      </c>
      <c r="W103" s="4">
        <f t="shared" si="4"/>
        <v>5483491.5406936612</v>
      </c>
      <c r="X103" s="4">
        <f t="shared" si="4"/>
        <v>5483491.5406936612</v>
      </c>
      <c r="Y103" s="5">
        <f t="shared" si="3"/>
        <v>0.58150000000000013</v>
      </c>
    </row>
    <row r="104" spans="1:25" x14ac:dyDescent="0.25">
      <c r="A104" s="1" t="s">
        <v>76</v>
      </c>
      <c r="B104" s="1" t="s">
        <v>46</v>
      </c>
      <c r="C104" s="1" t="s">
        <v>22</v>
      </c>
      <c r="D104" s="1">
        <v>80629758.99239251</v>
      </c>
      <c r="E104" s="1">
        <v>5326548.943736203</v>
      </c>
      <c r="F104" s="1">
        <v>5326548.943736203</v>
      </c>
      <c r="G104" s="1">
        <v>6658186.1796702538</v>
      </c>
      <c r="H104" s="1">
        <v>6658186.1796702538</v>
      </c>
      <c r="I104" s="1">
        <v>6658186.1796702538</v>
      </c>
      <c r="J104" s="1">
        <v>6658186.1796702538</v>
      </c>
      <c r="K104" s="1">
        <v>6658186.1796702538</v>
      </c>
      <c r="L104" s="1">
        <v>6658186.1796702538</v>
      </c>
      <c r="M104" s="1">
        <v>4177792.9168895194</v>
      </c>
      <c r="N104" s="1">
        <v>4177792.9168895194</v>
      </c>
      <c r="O104" s="1">
        <v>3397337.3112894609</v>
      </c>
      <c r="P104" s="1">
        <v>3397337.3112894609</v>
      </c>
      <c r="Q104" s="1">
        <v>4703402.6078895628</v>
      </c>
      <c r="R104" s="1">
        <v>4703402.6078895628</v>
      </c>
      <c r="S104" s="1">
        <v>4703402.6078895628</v>
      </c>
      <c r="T104" s="1">
        <v>4703402.6078895628</v>
      </c>
      <c r="U104" s="1">
        <v>4703402.6078895628</v>
      </c>
      <c r="V104" s="1">
        <v>4703402.6078895628</v>
      </c>
      <c r="W104" s="4">
        <f t="shared" si="4"/>
        <v>46986445.534594625</v>
      </c>
      <c r="X104" s="4">
        <f t="shared" si="4"/>
        <v>46986445.534594625</v>
      </c>
      <c r="Y104" s="5">
        <f t="shared" si="3"/>
        <v>0.58274322187950278</v>
      </c>
    </row>
    <row r="105" spans="1:25" x14ac:dyDescent="0.25">
      <c r="A105" s="1" t="s">
        <v>76</v>
      </c>
      <c r="B105" s="1" t="s">
        <v>66</v>
      </c>
      <c r="C105" s="1" t="s">
        <v>24</v>
      </c>
      <c r="D105" s="1">
        <v>567098840.24647987</v>
      </c>
      <c r="E105" s="1">
        <v>66785654.320334598</v>
      </c>
      <c r="F105" s="1">
        <v>66785654.320334598</v>
      </c>
      <c r="G105" s="1">
        <v>66785654.320334598</v>
      </c>
      <c r="H105" s="1">
        <v>66785654.320334598</v>
      </c>
      <c r="I105" s="1">
        <v>26785654.320334598</v>
      </c>
      <c r="J105" s="1">
        <v>26785654.320334598</v>
      </c>
      <c r="K105" s="1">
        <v>26785654.320334598</v>
      </c>
      <c r="L105" s="1">
        <v>26785654.320334598</v>
      </c>
      <c r="M105" s="1">
        <v>29206222.718661606</v>
      </c>
      <c r="N105" s="1">
        <v>29206222.718661606</v>
      </c>
      <c r="O105" s="1">
        <v>47250000</v>
      </c>
      <c r="P105" s="1">
        <v>47250000</v>
      </c>
      <c r="Q105" s="1">
        <v>47250000</v>
      </c>
      <c r="R105" s="1">
        <v>47250000</v>
      </c>
      <c r="S105" s="1">
        <v>47250000</v>
      </c>
      <c r="T105" s="1">
        <v>47250000</v>
      </c>
      <c r="U105" s="1">
        <v>47250000</v>
      </c>
      <c r="V105" s="1">
        <v>47250000</v>
      </c>
      <c r="W105" s="4">
        <f t="shared" si="4"/>
        <v>405348840.00000006</v>
      </c>
      <c r="X105" s="4">
        <f t="shared" si="4"/>
        <v>405348840.00000006</v>
      </c>
      <c r="Y105" s="5">
        <f t="shared" si="3"/>
        <v>0.71477635155067865</v>
      </c>
    </row>
    <row r="106" spans="1:25" x14ac:dyDescent="0.25">
      <c r="A106" s="1" t="s">
        <v>76</v>
      </c>
      <c r="B106" s="1" t="s">
        <v>67</v>
      </c>
      <c r="C106" s="1" t="s">
        <v>68</v>
      </c>
      <c r="D106" s="1">
        <v>5916750.6585043678</v>
      </c>
      <c r="E106" s="1">
        <v>390505.54346128833</v>
      </c>
      <c r="F106" s="1">
        <v>390505.54346128833</v>
      </c>
      <c r="G106" s="1">
        <v>488131.92932661035</v>
      </c>
      <c r="H106" s="1">
        <v>488131.92932661035</v>
      </c>
      <c r="I106" s="1">
        <v>488131.92932661035</v>
      </c>
      <c r="J106" s="1">
        <v>488131.92932661035</v>
      </c>
      <c r="K106" s="1">
        <v>488131.92932661035</v>
      </c>
      <c r="L106" s="1">
        <v>488131.92932661035</v>
      </c>
      <c r="M106" s="1">
        <v>307671.03424222715</v>
      </c>
      <c r="N106" s="1">
        <v>307671.03424222715</v>
      </c>
      <c r="O106" s="1">
        <v>246531.277437682</v>
      </c>
      <c r="P106" s="1">
        <v>246531.277437682</v>
      </c>
      <c r="Q106" s="1">
        <v>345143.78841275477</v>
      </c>
      <c r="R106" s="1">
        <v>345143.78841275477</v>
      </c>
      <c r="S106" s="1">
        <v>345143.78841275477</v>
      </c>
      <c r="T106" s="1">
        <v>345143.78841275477</v>
      </c>
      <c r="U106" s="1">
        <v>345143.78841275477</v>
      </c>
      <c r="V106" s="1">
        <v>345143.78841275477</v>
      </c>
      <c r="W106" s="4">
        <f t="shared" si="4"/>
        <v>3444535.0083592925</v>
      </c>
      <c r="X106" s="4">
        <f t="shared" si="4"/>
        <v>3444535.0083592925</v>
      </c>
      <c r="Y106" s="5">
        <f t="shared" si="3"/>
        <v>0.58216666666666661</v>
      </c>
    </row>
    <row r="107" spans="1:25" x14ac:dyDescent="0.25">
      <c r="A107" s="1" t="s">
        <v>76</v>
      </c>
      <c r="B107" s="1" t="s">
        <v>69</v>
      </c>
      <c r="C107" s="1" t="s">
        <v>28</v>
      </c>
      <c r="D107" s="1">
        <v>10507493.101376349</v>
      </c>
      <c r="E107" s="1">
        <v>693494.54469083913</v>
      </c>
      <c r="F107" s="1">
        <v>693494.54469083913</v>
      </c>
      <c r="G107" s="1">
        <v>866868.18086354889</v>
      </c>
      <c r="H107" s="1">
        <v>866868.18086354889</v>
      </c>
      <c r="I107" s="1">
        <v>866868.18086354889</v>
      </c>
      <c r="J107" s="1">
        <v>866868.18086354889</v>
      </c>
      <c r="K107" s="1">
        <v>866868.18086354889</v>
      </c>
      <c r="L107" s="1">
        <v>866868.18086354889</v>
      </c>
      <c r="M107" s="1">
        <v>528001.52834416146</v>
      </c>
      <c r="N107" s="1">
        <v>528001.52834416146</v>
      </c>
      <c r="O107" s="1">
        <v>440001.27362013457</v>
      </c>
      <c r="P107" s="1">
        <v>440001.27362013457</v>
      </c>
      <c r="Q107" s="1">
        <v>616001.78306818835</v>
      </c>
      <c r="R107" s="1">
        <v>616001.78306818835</v>
      </c>
      <c r="S107" s="1">
        <v>616001.78306818835</v>
      </c>
      <c r="T107" s="1">
        <v>616001.78306818835</v>
      </c>
      <c r="U107" s="1">
        <v>616001.78306818835</v>
      </c>
      <c r="V107" s="1">
        <v>616001.78306818835</v>
      </c>
      <c r="W107" s="4">
        <f t="shared" si="4"/>
        <v>6110107.2384503465</v>
      </c>
      <c r="X107" s="4">
        <f t="shared" si="4"/>
        <v>6110107.2384503465</v>
      </c>
      <c r="Y107" s="5">
        <f t="shared" si="3"/>
        <v>0.58149999999999991</v>
      </c>
    </row>
    <row r="108" spans="1:25" x14ac:dyDescent="0.25">
      <c r="A108" s="1" t="s">
        <v>76</v>
      </c>
      <c r="B108" s="1" t="s">
        <v>70</v>
      </c>
      <c r="C108" s="1" t="s">
        <v>23</v>
      </c>
      <c r="D108" s="1">
        <v>9646874.9064843766</v>
      </c>
      <c r="E108" s="1">
        <v>636693.74382796895</v>
      </c>
      <c r="F108" s="1">
        <v>636693.74382796895</v>
      </c>
      <c r="G108" s="1">
        <v>795867.17978496116</v>
      </c>
      <c r="H108" s="1">
        <v>795867.17978496116</v>
      </c>
      <c r="I108" s="1">
        <v>795867.17978496116</v>
      </c>
      <c r="J108" s="1">
        <v>795867.17978496116</v>
      </c>
      <c r="K108" s="1">
        <v>795867.17978496116</v>
      </c>
      <c r="L108" s="1">
        <v>795867.17978496116</v>
      </c>
      <c r="M108" s="1">
        <v>484755.46405083989</v>
      </c>
      <c r="N108" s="1">
        <v>484755.46405083989</v>
      </c>
      <c r="O108" s="1">
        <v>403962.88670903328</v>
      </c>
      <c r="P108" s="1">
        <v>403962.88670903328</v>
      </c>
      <c r="Q108" s="1">
        <v>565548.0413926465</v>
      </c>
      <c r="R108" s="1">
        <v>565548.0413926465</v>
      </c>
      <c r="S108" s="1">
        <v>565548.0413926465</v>
      </c>
      <c r="T108" s="1">
        <v>565548.0413926465</v>
      </c>
      <c r="U108" s="1">
        <v>565548.0413926465</v>
      </c>
      <c r="V108" s="1">
        <v>565548.0413926465</v>
      </c>
      <c r="W108" s="4">
        <f t="shared" si="4"/>
        <v>5609657.7581206644</v>
      </c>
      <c r="X108" s="4">
        <f t="shared" si="4"/>
        <v>5609657.7581206644</v>
      </c>
      <c r="Y108" s="5">
        <f t="shared" si="3"/>
        <v>0.58149999999999991</v>
      </c>
    </row>
    <row r="109" spans="1:25" x14ac:dyDescent="0.25">
      <c r="A109" s="1" t="s">
        <v>76</v>
      </c>
      <c r="B109" s="1" t="s">
        <v>71</v>
      </c>
      <c r="C109" s="1" t="s">
        <v>29</v>
      </c>
      <c r="D109" s="1">
        <v>24706460.039423101</v>
      </c>
      <c r="E109" s="1">
        <v>1630626.3626019247</v>
      </c>
      <c r="F109" s="1">
        <v>1630626.3626019247</v>
      </c>
      <c r="G109" s="1">
        <v>2038282.9532524059</v>
      </c>
      <c r="H109" s="1">
        <v>2038282.9532524059</v>
      </c>
      <c r="I109" s="1">
        <v>2038282.9532524059</v>
      </c>
      <c r="J109" s="1">
        <v>2038282.9532524059</v>
      </c>
      <c r="K109" s="1">
        <v>2038282.9532524059</v>
      </c>
      <c r="L109" s="1">
        <v>2038282.9532524059</v>
      </c>
      <c r="M109" s="1">
        <v>1241499.6169810107</v>
      </c>
      <c r="N109" s="1">
        <v>1241499.6169810107</v>
      </c>
      <c r="O109" s="1">
        <v>1034583.0141508423</v>
      </c>
      <c r="P109" s="1">
        <v>1034583.0141508423</v>
      </c>
      <c r="Q109" s="1">
        <v>1448416.2198111792</v>
      </c>
      <c r="R109" s="1">
        <v>1448416.2198111792</v>
      </c>
      <c r="S109" s="1">
        <v>1448416.2198111792</v>
      </c>
      <c r="T109" s="1">
        <v>1448416.2198111792</v>
      </c>
      <c r="U109" s="1">
        <v>1448416.2198111792</v>
      </c>
      <c r="V109" s="1">
        <v>1448416.2198111792</v>
      </c>
      <c r="W109" s="4">
        <f t="shared" si="4"/>
        <v>14366806.512924533</v>
      </c>
      <c r="X109" s="4">
        <f t="shared" si="4"/>
        <v>14366806.512924533</v>
      </c>
      <c r="Y109" s="5">
        <f t="shared" si="3"/>
        <v>0.58150000000000002</v>
      </c>
    </row>
    <row r="110" spans="1:25" x14ac:dyDescent="0.25">
      <c r="A110" s="1" t="s">
        <v>76</v>
      </c>
      <c r="B110" s="1" t="s">
        <v>72</v>
      </c>
      <c r="C110" s="1" t="s">
        <v>73</v>
      </c>
      <c r="D110" s="1">
        <v>14858265.946019765</v>
      </c>
      <c r="E110" s="1">
        <v>980645.55243730452</v>
      </c>
      <c r="F110" s="1">
        <v>980645.55243730452</v>
      </c>
      <c r="G110" s="1">
        <v>1225806.9405466306</v>
      </c>
      <c r="H110" s="1">
        <v>1225806.9405466306</v>
      </c>
      <c r="I110" s="1">
        <v>1225806.9405466306</v>
      </c>
      <c r="J110" s="1">
        <v>1225806.9405466306</v>
      </c>
      <c r="K110" s="1">
        <v>1225806.9405466306</v>
      </c>
      <c r="L110" s="1">
        <v>1225806.9405466306</v>
      </c>
      <c r="M110" s="1">
        <v>746627.86378749309</v>
      </c>
      <c r="N110" s="1">
        <v>746627.86378749309</v>
      </c>
      <c r="O110" s="1">
        <v>622189.88648957759</v>
      </c>
      <c r="P110" s="1">
        <v>622189.88648957759</v>
      </c>
      <c r="Q110" s="1">
        <v>871065.84108540858</v>
      </c>
      <c r="R110" s="1">
        <v>871065.84108540858</v>
      </c>
      <c r="S110" s="1">
        <v>871065.84108540858</v>
      </c>
      <c r="T110" s="1">
        <v>871065.84108540858</v>
      </c>
      <c r="U110" s="1">
        <v>871065.84108540858</v>
      </c>
      <c r="V110" s="1">
        <v>871065.84108540858</v>
      </c>
      <c r="W110" s="4">
        <f t="shared" si="4"/>
        <v>8640081.647610493</v>
      </c>
      <c r="X110" s="4">
        <f t="shared" si="4"/>
        <v>8640081.647610493</v>
      </c>
      <c r="Y110" s="5">
        <f t="shared" si="3"/>
        <v>0.58150000000000002</v>
      </c>
    </row>
    <row r="111" spans="1:25" x14ac:dyDescent="0.25">
      <c r="A111" s="1" t="s">
        <v>76</v>
      </c>
      <c r="B111" s="1" t="s">
        <v>48</v>
      </c>
      <c r="C111" s="1" t="s">
        <v>49</v>
      </c>
      <c r="D111" s="1">
        <v>4165543.8276437181</v>
      </c>
      <c r="E111" s="1">
        <v>274925.89262448542</v>
      </c>
      <c r="F111" s="1">
        <v>274925.89262448542</v>
      </c>
      <c r="G111" s="1">
        <v>343657.36578060675</v>
      </c>
      <c r="H111" s="1">
        <v>343657.36578060675</v>
      </c>
      <c r="I111" s="1">
        <v>343657.36578060675</v>
      </c>
      <c r="J111" s="1">
        <v>343657.36578060675</v>
      </c>
      <c r="K111" s="1">
        <v>343657.36578060675</v>
      </c>
      <c r="L111" s="1">
        <v>343657.36578060675</v>
      </c>
      <c r="M111" s="1">
        <v>209318.57733909678</v>
      </c>
      <c r="N111" s="1">
        <v>209318.57733909678</v>
      </c>
      <c r="O111" s="1">
        <v>174432.14778258067</v>
      </c>
      <c r="P111" s="1">
        <v>174432.14778258067</v>
      </c>
      <c r="Q111" s="1">
        <v>244205.00689561293</v>
      </c>
      <c r="R111" s="1">
        <v>244205.00689561293</v>
      </c>
      <c r="S111" s="1">
        <v>244205.00689561293</v>
      </c>
      <c r="T111" s="1">
        <v>244205.00689561293</v>
      </c>
      <c r="U111" s="1">
        <v>244205.00689561293</v>
      </c>
      <c r="V111" s="1">
        <v>244205.00689561293</v>
      </c>
      <c r="W111" s="4">
        <f t="shared" si="4"/>
        <v>2422263.7357748221</v>
      </c>
      <c r="X111" s="4">
        <f t="shared" si="4"/>
        <v>2422263.7357748221</v>
      </c>
      <c r="Y111" s="5">
        <f t="shared" si="3"/>
        <v>0.58150000000000002</v>
      </c>
    </row>
    <row r="112" spans="1:25" x14ac:dyDescent="0.25">
      <c r="A112" s="1" t="s">
        <v>76</v>
      </c>
      <c r="B112" s="1" t="s">
        <v>53</v>
      </c>
      <c r="C112" s="1" t="s">
        <v>30</v>
      </c>
      <c r="D112" s="1">
        <v>11289478.913313577</v>
      </c>
      <c r="E112" s="1">
        <v>745105.60827869619</v>
      </c>
      <c r="F112" s="1">
        <v>745105.60827869619</v>
      </c>
      <c r="G112" s="1">
        <v>931382.01034837018</v>
      </c>
      <c r="H112" s="1">
        <v>931382.01034837018</v>
      </c>
      <c r="I112" s="1">
        <v>931382.01034837018</v>
      </c>
      <c r="J112" s="1">
        <v>931382.01034837018</v>
      </c>
      <c r="K112" s="1">
        <v>931382.01034837018</v>
      </c>
      <c r="L112" s="1">
        <v>931382.01034837018</v>
      </c>
      <c r="M112" s="1">
        <v>567296.31539400714</v>
      </c>
      <c r="N112" s="1">
        <v>567296.31539400714</v>
      </c>
      <c r="O112" s="1">
        <v>472746.92949500598</v>
      </c>
      <c r="P112" s="1">
        <v>472746.92949500598</v>
      </c>
      <c r="Q112" s="1">
        <v>661845.70129300829</v>
      </c>
      <c r="R112" s="1">
        <v>661845.70129300829</v>
      </c>
      <c r="S112" s="1">
        <v>661845.70129300829</v>
      </c>
      <c r="T112" s="1">
        <v>661845.70129300829</v>
      </c>
      <c r="U112" s="1">
        <v>661845.70129300829</v>
      </c>
      <c r="V112" s="1">
        <v>661845.70129300829</v>
      </c>
      <c r="W112" s="4">
        <f t="shared" si="4"/>
        <v>6564831.9880918451</v>
      </c>
      <c r="X112" s="4">
        <f t="shared" si="4"/>
        <v>6564831.9880918451</v>
      </c>
      <c r="Y112" s="5">
        <f t="shared" si="3"/>
        <v>0.58150000000000002</v>
      </c>
    </row>
    <row r="113" spans="1:25" x14ac:dyDescent="0.25">
      <c r="A113" s="1" t="s">
        <v>76</v>
      </c>
      <c r="B113" s="1" t="s">
        <v>74</v>
      </c>
      <c r="C113" s="1" t="s">
        <v>75</v>
      </c>
      <c r="D113" s="1">
        <v>8225794.5896920059</v>
      </c>
      <c r="E113" s="1">
        <v>542902.44291967235</v>
      </c>
      <c r="F113" s="1">
        <v>542902.44291967235</v>
      </c>
      <c r="G113" s="1">
        <v>678628.05364959047</v>
      </c>
      <c r="H113" s="1">
        <v>678628.05364959047</v>
      </c>
      <c r="I113" s="1">
        <v>678628.05364959047</v>
      </c>
      <c r="J113" s="1">
        <v>678628.05364959047</v>
      </c>
      <c r="K113" s="1">
        <v>678628.05364959047</v>
      </c>
      <c r="L113" s="1">
        <v>678628.05364959047</v>
      </c>
      <c r="M113" s="1">
        <v>413346.17813202331</v>
      </c>
      <c r="N113" s="1">
        <v>413346.17813202331</v>
      </c>
      <c r="O113" s="1">
        <v>344455.14844335278</v>
      </c>
      <c r="P113" s="1">
        <v>344455.14844335278</v>
      </c>
      <c r="Q113" s="1">
        <v>482237.20782069385</v>
      </c>
      <c r="R113" s="1">
        <v>482237.20782069385</v>
      </c>
      <c r="S113" s="1">
        <v>482237.20782069385</v>
      </c>
      <c r="T113" s="1">
        <v>482237.20782069385</v>
      </c>
      <c r="U113" s="1">
        <v>482237.20782069385</v>
      </c>
      <c r="V113" s="1">
        <v>482237.20782069385</v>
      </c>
      <c r="W113" s="4">
        <f t="shared" si="4"/>
        <v>4783299.5539059015</v>
      </c>
      <c r="X113" s="4">
        <f t="shared" si="4"/>
        <v>4783299.5539059015</v>
      </c>
      <c r="Y113" s="5">
        <f t="shared" si="3"/>
        <v>0.58150000000000002</v>
      </c>
    </row>
    <row r="114" spans="1:25" x14ac:dyDescent="0.25">
      <c r="A114" s="1" t="s">
        <v>76</v>
      </c>
      <c r="B114" s="1" t="s">
        <v>50</v>
      </c>
      <c r="C114" s="1" t="s">
        <v>25</v>
      </c>
      <c r="D114" s="1">
        <v>4373821.0190259032</v>
      </c>
      <c r="E114" s="1">
        <v>288672.18725570961</v>
      </c>
      <c r="F114" s="1">
        <v>288672.18725570961</v>
      </c>
      <c r="G114" s="1">
        <v>360840.23406963702</v>
      </c>
      <c r="H114" s="1">
        <v>360840.23406963702</v>
      </c>
      <c r="I114" s="1">
        <v>360840.23406963702</v>
      </c>
      <c r="J114" s="1">
        <v>360840.23406963702</v>
      </c>
      <c r="K114" s="1">
        <v>360840.23406963702</v>
      </c>
      <c r="L114" s="1">
        <v>360840.23406963702</v>
      </c>
      <c r="M114" s="1">
        <v>219784.50620605162</v>
      </c>
      <c r="N114" s="1">
        <v>219784.50620605162</v>
      </c>
      <c r="O114" s="1">
        <v>183153.75517170969</v>
      </c>
      <c r="P114" s="1">
        <v>183153.75517170969</v>
      </c>
      <c r="Q114" s="1">
        <v>256415.25724039355</v>
      </c>
      <c r="R114" s="1">
        <v>256415.25724039355</v>
      </c>
      <c r="S114" s="1">
        <v>256415.25724039355</v>
      </c>
      <c r="T114" s="1">
        <v>256415.25724039355</v>
      </c>
      <c r="U114" s="1">
        <v>256415.25724039355</v>
      </c>
      <c r="V114" s="1">
        <v>256415.25724039355</v>
      </c>
      <c r="W114" s="4">
        <f t="shared" si="4"/>
        <v>2543376.9225635622</v>
      </c>
      <c r="X114" s="4">
        <f t="shared" si="4"/>
        <v>2543376.9225635622</v>
      </c>
      <c r="Y114" s="5">
        <f t="shared" si="3"/>
        <v>0.58149999999999991</v>
      </c>
    </row>
    <row r="115" spans="1:25" x14ac:dyDescent="0.25">
      <c r="A115" s="1" t="s">
        <v>77</v>
      </c>
      <c r="B115" s="1" t="s">
        <v>59</v>
      </c>
      <c r="C115" s="1" t="s">
        <v>26</v>
      </c>
      <c r="D115" s="1">
        <v>47123049.561298363</v>
      </c>
      <c r="E115" s="1">
        <v>4371071.2030456923</v>
      </c>
      <c r="F115" s="1">
        <v>4371071.2030456923</v>
      </c>
      <c r="G115" s="1">
        <v>5463839.0038071154</v>
      </c>
      <c r="H115" s="1">
        <v>5463839.0038071154</v>
      </c>
      <c r="I115" s="1">
        <v>5463839.0038071154</v>
      </c>
      <c r="J115" s="1">
        <v>5463839.0038071154</v>
      </c>
      <c r="K115" s="1">
        <v>5463839.0038071154</v>
      </c>
      <c r="L115" s="1">
        <v>5463839.0038071154</v>
      </c>
      <c r="M115" s="1">
        <v>3158461.6932587381</v>
      </c>
      <c r="N115" s="1">
        <v>3158461.6932587381</v>
      </c>
      <c r="O115" s="1">
        <v>3158461.6932587381</v>
      </c>
      <c r="P115" s="1">
        <v>3158461.6932587381</v>
      </c>
      <c r="Q115" s="1">
        <v>3158461.6932587381</v>
      </c>
      <c r="R115" s="1">
        <v>3158461.6932587381</v>
      </c>
      <c r="S115" s="1">
        <v>3158461.6932587381</v>
      </c>
      <c r="T115" s="1">
        <v>3158461.6932587381</v>
      </c>
      <c r="U115" s="1">
        <v>3158461.6932587381</v>
      </c>
      <c r="V115" s="1">
        <v>3158461.6932587381</v>
      </c>
      <c r="W115" s="4">
        <f t="shared" si="4"/>
        <v>36554896.680760726</v>
      </c>
      <c r="X115" s="4">
        <f t="shared" si="4"/>
        <v>36554896.680760726</v>
      </c>
      <c r="Y115" s="5">
        <f t="shared" si="3"/>
        <v>0.77573283183231967</v>
      </c>
    </row>
    <row r="116" spans="1:25" x14ac:dyDescent="0.25">
      <c r="A116" s="1" t="s">
        <v>77</v>
      </c>
      <c r="B116" s="1" t="s">
        <v>59</v>
      </c>
      <c r="C116" s="1" t="s">
        <v>26</v>
      </c>
      <c r="D116" s="1">
        <v>19105302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9552651</v>
      </c>
      <c r="N116" s="1">
        <v>9552651</v>
      </c>
      <c r="O116" s="1">
        <v>9552651</v>
      </c>
      <c r="P116" s="1">
        <v>9552651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4">
        <f t="shared" si="4"/>
        <v>19105302</v>
      </c>
      <c r="X116" s="4">
        <f t="shared" si="4"/>
        <v>19105302</v>
      </c>
      <c r="Y116" s="5">
        <f t="shared" si="3"/>
        <v>1</v>
      </c>
    </row>
    <row r="117" spans="1:25" x14ac:dyDescent="0.25">
      <c r="A117" s="1" t="s">
        <v>77</v>
      </c>
      <c r="B117" s="1" t="s">
        <v>33</v>
      </c>
      <c r="C117" s="1" t="s">
        <v>34</v>
      </c>
      <c r="D117" s="1">
        <v>72000000</v>
      </c>
      <c r="E117" s="1">
        <v>0</v>
      </c>
      <c r="F117" s="1">
        <v>0</v>
      </c>
      <c r="G117" s="1">
        <v>14400000</v>
      </c>
      <c r="H117" s="1">
        <v>14400000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21600000</v>
      </c>
      <c r="P117" s="1">
        <v>21600000</v>
      </c>
      <c r="Q117" s="1">
        <v>0</v>
      </c>
      <c r="R117" s="1">
        <v>0</v>
      </c>
      <c r="S117" s="1">
        <v>21600000</v>
      </c>
      <c r="T117" s="1">
        <v>21600000</v>
      </c>
      <c r="U117" s="1">
        <v>14400000</v>
      </c>
      <c r="V117" s="1">
        <v>14400000</v>
      </c>
      <c r="W117" s="4">
        <f t="shared" si="4"/>
        <v>72000000</v>
      </c>
      <c r="X117" s="4">
        <f t="shared" si="4"/>
        <v>72000000</v>
      </c>
      <c r="Y117" s="5">
        <f t="shared" si="3"/>
        <v>1</v>
      </c>
    </row>
    <row r="118" spans="1:25" x14ac:dyDescent="0.25">
      <c r="A118" s="1" t="s">
        <v>77</v>
      </c>
      <c r="B118" s="1" t="s">
        <v>35</v>
      </c>
      <c r="C118" s="1" t="s">
        <v>34</v>
      </c>
      <c r="D118" s="1">
        <v>180000000</v>
      </c>
      <c r="E118" s="1">
        <v>0</v>
      </c>
      <c r="F118" s="1">
        <v>0</v>
      </c>
      <c r="G118" s="1">
        <v>49500000</v>
      </c>
      <c r="H118" s="1">
        <v>49500000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43500000</v>
      </c>
      <c r="P118" s="1">
        <v>43500000</v>
      </c>
      <c r="Q118" s="1">
        <v>0</v>
      </c>
      <c r="R118" s="1">
        <v>0</v>
      </c>
      <c r="S118" s="1">
        <v>43500000</v>
      </c>
      <c r="T118" s="1">
        <v>43500000</v>
      </c>
      <c r="U118" s="1">
        <v>43500000</v>
      </c>
      <c r="V118" s="1">
        <v>43500000</v>
      </c>
      <c r="W118" s="4">
        <f t="shared" si="4"/>
        <v>180000000</v>
      </c>
      <c r="X118" s="4">
        <f t="shared" si="4"/>
        <v>180000000</v>
      </c>
      <c r="Y118" s="5">
        <f t="shared" si="3"/>
        <v>1</v>
      </c>
    </row>
    <row r="119" spans="1:25" x14ac:dyDescent="0.25">
      <c r="A119" s="1" t="s">
        <v>77</v>
      </c>
      <c r="B119" s="1" t="s">
        <v>38</v>
      </c>
      <c r="C119" s="1" t="s">
        <v>39</v>
      </c>
      <c r="D119" s="1">
        <v>8358866.161333207</v>
      </c>
      <c r="E119" s="1">
        <v>551685.16664799175</v>
      </c>
      <c r="F119" s="1">
        <v>551685.16664799175</v>
      </c>
      <c r="G119" s="1">
        <v>689606.45830998966</v>
      </c>
      <c r="H119" s="1">
        <v>689606.45830998966</v>
      </c>
      <c r="I119" s="1">
        <v>689606.45830998966</v>
      </c>
      <c r="J119" s="1">
        <v>689606.45830998966</v>
      </c>
      <c r="K119" s="1">
        <v>689606.45830998966</v>
      </c>
      <c r="L119" s="1">
        <v>689606.45830998966</v>
      </c>
      <c r="M119" s="1">
        <v>420033.02460699371</v>
      </c>
      <c r="N119" s="1">
        <v>420033.02460699371</v>
      </c>
      <c r="O119" s="1">
        <v>350027.52050582808</v>
      </c>
      <c r="P119" s="1">
        <v>350027.52050582808</v>
      </c>
      <c r="Q119" s="1">
        <v>490038.52870815928</v>
      </c>
      <c r="R119" s="1">
        <v>490038.52870815928</v>
      </c>
      <c r="S119" s="1">
        <v>490038.52870815928</v>
      </c>
      <c r="T119" s="1">
        <v>490038.52870815928</v>
      </c>
      <c r="U119" s="1">
        <v>490038.52870815928</v>
      </c>
      <c r="V119" s="1">
        <v>490038.52870815928</v>
      </c>
      <c r="W119" s="4">
        <f t="shared" si="4"/>
        <v>4860680.6728152605</v>
      </c>
      <c r="X119" s="4">
        <f t="shared" si="4"/>
        <v>4860680.6728152605</v>
      </c>
      <c r="Y119" s="5">
        <f t="shared" si="3"/>
        <v>0.58150000000000002</v>
      </c>
    </row>
    <row r="120" spans="1:25" x14ac:dyDescent="0.25">
      <c r="A120" s="1" t="s">
        <v>77</v>
      </c>
      <c r="B120" s="1" t="s">
        <v>61</v>
      </c>
      <c r="C120" s="1" t="s">
        <v>34</v>
      </c>
      <c r="D120" s="1">
        <v>136977936</v>
      </c>
      <c r="E120" s="1">
        <v>0</v>
      </c>
      <c r="F120" s="1">
        <v>0</v>
      </c>
      <c r="G120" s="1">
        <v>10958234.878751833</v>
      </c>
      <c r="H120" s="1">
        <v>10958234.878751833</v>
      </c>
      <c r="I120" s="1">
        <v>0</v>
      </c>
      <c r="J120" s="1">
        <v>0</v>
      </c>
      <c r="K120" s="1">
        <v>0</v>
      </c>
      <c r="L120" s="1">
        <v>0</v>
      </c>
      <c r="M120" s="1">
        <v>31504925.280312043</v>
      </c>
      <c r="N120" s="1">
        <v>31504925.280312043</v>
      </c>
      <c r="O120" s="1">
        <v>0</v>
      </c>
      <c r="P120" s="1">
        <v>0</v>
      </c>
      <c r="Q120" s="1">
        <v>0</v>
      </c>
      <c r="R120" s="1">
        <v>0</v>
      </c>
      <c r="S120" s="1">
        <v>47257387.920468062</v>
      </c>
      <c r="T120" s="1">
        <v>47257387.920468062</v>
      </c>
      <c r="U120" s="1">
        <v>0</v>
      </c>
      <c r="V120" s="1">
        <v>0</v>
      </c>
      <c r="W120" s="4">
        <f t="shared" si="4"/>
        <v>89720548.079531938</v>
      </c>
      <c r="X120" s="4">
        <f t="shared" si="4"/>
        <v>89720548.079531938</v>
      </c>
      <c r="Y120" s="5">
        <f t="shared" si="3"/>
        <v>0.65499999999658298</v>
      </c>
    </row>
    <row r="121" spans="1:25" x14ac:dyDescent="0.25">
      <c r="A121" s="1" t="s">
        <v>77</v>
      </c>
      <c r="B121" s="1" t="s">
        <v>62</v>
      </c>
      <c r="C121" s="1" t="s">
        <v>63</v>
      </c>
      <c r="D121" s="1">
        <v>54142857</v>
      </c>
      <c r="E121" s="1">
        <v>25959999.999120001</v>
      </c>
      <c r="F121" s="1">
        <v>25959999.999120001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1626964.2857967855</v>
      </c>
      <c r="N121" s="1">
        <v>1626964.2857967855</v>
      </c>
      <c r="O121" s="1">
        <v>1355803.5714973214</v>
      </c>
      <c r="P121" s="1">
        <v>1355803.5714973214</v>
      </c>
      <c r="Q121" s="1">
        <v>1898125.0000962499</v>
      </c>
      <c r="R121" s="1">
        <v>1898125.0000962499</v>
      </c>
      <c r="S121" s="1">
        <v>1898125.0000962499</v>
      </c>
      <c r="T121" s="1">
        <v>1898125.0000962499</v>
      </c>
      <c r="U121" s="1">
        <v>1898125.0000962499</v>
      </c>
      <c r="V121" s="1">
        <v>1898125.0000962499</v>
      </c>
      <c r="W121" s="4">
        <f t="shared" si="4"/>
        <v>34637142.856702857</v>
      </c>
      <c r="X121" s="4">
        <f t="shared" si="4"/>
        <v>34637142.856702857</v>
      </c>
      <c r="Y121" s="5">
        <f t="shared" si="3"/>
        <v>0.63973614943708745</v>
      </c>
    </row>
    <row r="122" spans="1:25" x14ac:dyDescent="0.25">
      <c r="A122" s="1" t="s">
        <v>77</v>
      </c>
      <c r="B122" s="1" t="s">
        <v>40</v>
      </c>
      <c r="C122" s="1" t="s">
        <v>27</v>
      </c>
      <c r="D122" s="1">
        <v>94292442</v>
      </c>
      <c r="E122" s="1">
        <v>9154137</v>
      </c>
      <c r="F122" s="1">
        <v>9154137</v>
      </c>
      <c r="G122" s="1">
        <v>8785070</v>
      </c>
      <c r="H122" s="1">
        <v>8785070</v>
      </c>
      <c r="I122" s="1">
        <v>7319746</v>
      </c>
      <c r="J122" s="1">
        <v>7319746</v>
      </c>
      <c r="K122" s="1">
        <v>8021396</v>
      </c>
      <c r="L122" s="1">
        <v>8021396</v>
      </c>
      <c r="M122" s="1">
        <v>6750000</v>
      </c>
      <c r="N122" s="1">
        <v>6750000</v>
      </c>
      <c r="O122" s="1">
        <v>14679974</v>
      </c>
      <c r="P122" s="1">
        <v>14679974</v>
      </c>
      <c r="Q122" s="1">
        <v>13236175</v>
      </c>
      <c r="R122" s="1">
        <v>13236175</v>
      </c>
      <c r="S122" s="1">
        <v>6062900</v>
      </c>
      <c r="T122" s="1">
        <v>6062900</v>
      </c>
      <c r="U122" s="1">
        <v>4666605</v>
      </c>
      <c r="V122" s="1">
        <v>4666605</v>
      </c>
      <c r="W122" s="4">
        <f t="shared" si="4"/>
        <v>78676003</v>
      </c>
      <c r="X122" s="4">
        <f t="shared" si="4"/>
        <v>78676003</v>
      </c>
      <c r="Y122" s="5">
        <f t="shared" si="3"/>
        <v>0.83438291904668249</v>
      </c>
    </row>
    <row r="123" spans="1:25" x14ac:dyDescent="0.25">
      <c r="A123" s="1" t="s">
        <v>77</v>
      </c>
      <c r="B123" s="1" t="s">
        <v>40</v>
      </c>
      <c r="C123" s="1" t="s">
        <v>27</v>
      </c>
      <c r="D123" s="1">
        <v>175465143</v>
      </c>
      <c r="E123" s="1">
        <v>18954265</v>
      </c>
      <c r="F123" s="1">
        <v>18954265</v>
      </c>
      <c r="G123" s="1">
        <v>18697437</v>
      </c>
      <c r="H123" s="1">
        <v>18697437</v>
      </c>
      <c r="I123" s="1">
        <v>11835389.516591921</v>
      </c>
      <c r="J123" s="1">
        <v>11835389.516591921</v>
      </c>
      <c r="K123" s="1">
        <v>0</v>
      </c>
      <c r="L123" s="1">
        <v>0</v>
      </c>
      <c r="M123" s="1">
        <v>32730230.431278028</v>
      </c>
      <c r="N123" s="1">
        <v>32730230.431278028</v>
      </c>
      <c r="O123" s="1">
        <v>60517590.620852023</v>
      </c>
      <c r="P123" s="1">
        <v>60517590.620852023</v>
      </c>
      <c r="Q123" s="1">
        <v>32730230.431278028</v>
      </c>
      <c r="R123" s="1">
        <v>32730230.431278028</v>
      </c>
      <c r="S123" s="1">
        <v>0</v>
      </c>
      <c r="T123" s="1">
        <v>0</v>
      </c>
      <c r="U123" s="1">
        <v>0</v>
      </c>
      <c r="V123" s="1">
        <v>0</v>
      </c>
      <c r="W123" s="4">
        <f t="shared" si="4"/>
        <v>175465143</v>
      </c>
      <c r="X123" s="4">
        <f t="shared" si="4"/>
        <v>175465143</v>
      </c>
      <c r="Y123" s="5">
        <f t="shared" si="3"/>
        <v>1</v>
      </c>
    </row>
    <row r="124" spans="1:25" x14ac:dyDescent="0.25">
      <c r="A124" s="1" t="s">
        <v>77</v>
      </c>
      <c r="B124" s="1" t="s">
        <v>40</v>
      </c>
      <c r="C124" s="1" t="s">
        <v>27</v>
      </c>
      <c r="D124" s="1">
        <v>36779780</v>
      </c>
      <c r="E124" s="1">
        <v>0</v>
      </c>
      <c r="F124" s="1">
        <v>0</v>
      </c>
      <c r="G124" s="1">
        <v>9194945</v>
      </c>
      <c r="H124" s="1">
        <v>9194945</v>
      </c>
      <c r="I124" s="1">
        <v>9194945</v>
      </c>
      <c r="J124" s="1">
        <v>9194945</v>
      </c>
      <c r="K124" s="1">
        <v>0</v>
      </c>
      <c r="L124" s="1">
        <v>0</v>
      </c>
      <c r="M124" s="1">
        <v>1724052.1875</v>
      </c>
      <c r="N124" s="1">
        <v>1724052.1875</v>
      </c>
      <c r="O124" s="1">
        <v>11493681.25</v>
      </c>
      <c r="P124" s="1">
        <v>11493681.25</v>
      </c>
      <c r="Q124" s="1">
        <v>5172156.5625</v>
      </c>
      <c r="R124" s="1">
        <v>5172156.5625</v>
      </c>
      <c r="S124" s="1">
        <v>0</v>
      </c>
      <c r="T124" s="1">
        <v>0</v>
      </c>
      <c r="U124" s="1">
        <v>0</v>
      </c>
      <c r="V124" s="1">
        <v>0</v>
      </c>
      <c r="W124" s="4">
        <f t="shared" si="4"/>
        <v>36779780</v>
      </c>
      <c r="X124" s="4">
        <f t="shared" si="4"/>
        <v>36779780</v>
      </c>
      <c r="Y124" s="5">
        <f t="shared" si="3"/>
        <v>1</v>
      </c>
    </row>
    <row r="125" spans="1:25" x14ac:dyDescent="0.25">
      <c r="A125" s="1" t="s">
        <v>77</v>
      </c>
      <c r="B125" s="1" t="s">
        <v>43</v>
      </c>
      <c r="C125" s="1" t="s">
        <v>31</v>
      </c>
      <c r="D125" s="1">
        <v>5703502</v>
      </c>
      <c r="E125" s="1">
        <v>331307.29501503042</v>
      </c>
      <c r="F125" s="1">
        <v>331307.29501503042</v>
      </c>
      <c r="G125" s="1">
        <v>414134.118768788</v>
      </c>
      <c r="H125" s="1">
        <v>414134.118768788</v>
      </c>
      <c r="I125" s="1">
        <v>414134.118768788</v>
      </c>
      <c r="J125" s="1">
        <v>414134.118768788</v>
      </c>
      <c r="K125" s="1">
        <v>414134.118768788</v>
      </c>
      <c r="L125" s="1">
        <v>414134.118768788</v>
      </c>
      <c r="M125" s="1">
        <v>307939.60100243025</v>
      </c>
      <c r="N125" s="1">
        <v>307939.60100243025</v>
      </c>
      <c r="O125" s="1">
        <v>256616.33416869189</v>
      </c>
      <c r="P125" s="1">
        <v>256616.33416869189</v>
      </c>
      <c r="Q125" s="1">
        <v>318035.79259421327</v>
      </c>
      <c r="R125" s="1">
        <v>318035.79259421327</v>
      </c>
      <c r="S125" s="1">
        <v>359262.86783616862</v>
      </c>
      <c r="T125" s="1">
        <v>359262.86783616862</v>
      </c>
      <c r="U125" s="1">
        <v>359262.86783616862</v>
      </c>
      <c r="V125" s="1">
        <v>359262.86783616862</v>
      </c>
      <c r="W125" s="4">
        <f t="shared" si="4"/>
        <v>3174827.1147590671</v>
      </c>
      <c r="X125" s="4">
        <f t="shared" si="4"/>
        <v>3174827.1147590671</v>
      </c>
      <c r="Y125" s="5">
        <f t="shared" si="3"/>
        <v>0.55664521810618584</v>
      </c>
    </row>
    <row r="126" spans="1:25" x14ac:dyDescent="0.25">
      <c r="A126" s="1" t="s">
        <v>77</v>
      </c>
      <c r="B126" s="1" t="s">
        <v>64</v>
      </c>
      <c r="C126" s="1" t="s">
        <v>23</v>
      </c>
      <c r="D126" s="1">
        <v>3918177.1993465936</v>
      </c>
      <c r="E126" s="1">
        <v>258599.69515687521</v>
      </c>
      <c r="F126" s="1">
        <v>258599.69515687521</v>
      </c>
      <c r="G126" s="1">
        <v>323249.61894609401</v>
      </c>
      <c r="H126" s="1">
        <v>323249.61894609401</v>
      </c>
      <c r="I126" s="1">
        <v>323249.61894609401</v>
      </c>
      <c r="J126" s="1">
        <v>323249.61894609401</v>
      </c>
      <c r="K126" s="1">
        <v>323249.61894609401</v>
      </c>
      <c r="L126" s="1">
        <v>323249.61894609401</v>
      </c>
      <c r="M126" s="1">
        <v>196888.4042671663</v>
      </c>
      <c r="N126" s="1">
        <v>196888.4042671663</v>
      </c>
      <c r="O126" s="1">
        <v>164073.67022263858</v>
      </c>
      <c r="P126" s="1">
        <v>164073.67022263858</v>
      </c>
      <c r="Q126" s="1">
        <v>229703.138311694</v>
      </c>
      <c r="R126" s="1">
        <v>229703.138311694</v>
      </c>
      <c r="S126" s="1">
        <v>229703.138311694</v>
      </c>
      <c r="T126" s="1">
        <v>229703.138311694</v>
      </c>
      <c r="U126" s="1">
        <v>229703.138311694</v>
      </c>
      <c r="V126" s="1">
        <v>229703.138311694</v>
      </c>
      <c r="W126" s="4">
        <f t="shared" si="4"/>
        <v>2278420.0414200444</v>
      </c>
      <c r="X126" s="4">
        <f t="shared" si="4"/>
        <v>2278420.0414200444</v>
      </c>
      <c r="Y126" s="5">
        <f t="shared" si="3"/>
        <v>0.58150000000000002</v>
      </c>
    </row>
    <row r="127" spans="1:25" x14ac:dyDescent="0.25">
      <c r="A127" s="1" t="s">
        <v>77</v>
      </c>
      <c r="B127" s="1" t="s">
        <v>65</v>
      </c>
      <c r="C127" s="1" t="s">
        <v>31</v>
      </c>
      <c r="D127" s="1">
        <v>3998174.5092719337</v>
      </c>
      <c r="E127" s="1">
        <v>263879.51761194767</v>
      </c>
      <c r="F127" s="1">
        <v>263879.51761194767</v>
      </c>
      <c r="G127" s="1">
        <v>329849.39701493457</v>
      </c>
      <c r="H127" s="1">
        <v>329849.39701493457</v>
      </c>
      <c r="I127" s="1">
        <v>329849.39701493457</v>
      </c>
      <c r="J127" s="1">
        <v>329849.39701493457</v>
      </c>
      <c r="K127" s="1">
        <v>329849.39701493457</v>
      </c>
      <c r="L127" s="1">
        <v>329849.39701493457</v>
      </c>
      <c r="M127" s="1">
        <v>200908.26909091466</v>
      </c>
      <c r="N127" s="1">
        <v>200908.26909091466</v>
      </c>
      <c r="O127" s="1">
        <v>167423.55757576221</v>
      </c>
      <c r="P127" s="1">
        <v>167423.55757576221</v>
      </c>
      <c r="Q127" s="1">
        <v>234392.98060606708</v>
      </c>
      <c r="R127" s="1">
        <v>234392.98060606708</v>
      </c>
      <c r="S127" s="1">
        <v>234392.98060606708</v>
      </c>
      <c r="T127" s="1">
        <v>234392.98060606708</v>
      </c>
      <c r="U127" s="1">
        <v>234392.98060606708</v>
      </c>
      <c r="V127" s="1">
        <v>234392.98060606708</v>
      </c>
      <c r="W127" s="4">
        <f t="shared" si="4"/>
        <v>2324938.4771416294</v>
      </c>
      <c r="X127" s="4">
        <f t="shared" si="4"/>
        <v>2324938.4771416294</v>
      </c>
      <c r="Y127" s="5">
        <f t="shared" si="3"/>
        <v>0.58150000000000002</v>
      </c>
    </row>
    <row r="128" spans="1:25" x14ac:dyDescent="0.25">
      <c r="A128" s="1" t="s">
        <v>77</v>
      </c>
      <c r="B128" s="1" t="s">
        <v>44</v>
      </c>
      <c r="C128" s="1" t="s">
        <v>45</v>
      </c>
      <c r="D128" s="1">
        <v>8358866.161333207</v>
      </c>
      <c r="E128" s="1">
        <v>551685.16664799175</v>
      </c>
      <c r="F128" s="1">
        <v>551685.16664799175</v>
      </c>
      <c r="G128" s="1">
        <v>689606.45830998966</v>
      </c>
      <c r="H128" s="1">
        <v>689606.45830998966</v>
      </c>
      <c r="I128" s="1">
        <v>689606.45830998966</v>
      </c>
      <c r="J128" s="1">
        <v>689606.45830998966</v>
      </c>
      <c r="K128" s="1">
        <v>689606.45830998966</v>
      </c>
      <c r="L128" s="1">
        <v>689606.45830998966</v>
      </c>
      <c r="M128" s="1">
        <v>420033.02460699371</v>
      </c>
      <c r="N128" s="1">
        <v>420033.02460699371</v>
      </c>
      <c r="O128" s="1">
        <v>350027.52050582808</v>
      </c>
      <c r="P128" s="1">
        <v>350027.52050582808</v>
      </c>
      <c r="Q128" s="1">
        <v>490038.52870815928</v>
      </c>
      <c r="R128" s="1">
        <v>490038.52870815928</v>
      </c>
      <c r="S128" s="1">
        <v>490038.52870815928</v>
      </c>
      <c r="T128" s="1">
        <v>490038.52870815928</v>
      </c>
      <c r="U128" s="1">
        <v>490038.52870815928</v>
      </c>
      <c r="V128" s="1">
        <v>490038.52870815928</v>
      </c>
      <c r="W128" s="4">
        <f t="shared" si="4"/>
        <v>4860680.6728152605</v>
      </c>
      <c r="X128" s="4">
        <f t="shared" si="4"/>
        <v>4860680.6728152605</v>
      </c>
      <c r="Y128" s="5">
        <f t="shared" si="3"/>
        <v>0.58150000000000002</v>
      </c>
    </row>
    <row r="129" spans="1:25" x14ac:dyDescent="0.25">
      <c r="A129" s="1" t="s">
        <v>77</v>
      </c>
      <c r="B129" s="1" t="s">
        <v>46</v>
      </c>
      <c r="C129" s="1" t="s">
        <v>22</v>
      </c>
      <c r="D129" s="1">
        <v>90100995.987155423</v>
      </c>
      <c r="E129" s="1">
        <v>5952236.1397967674</v>
      </c>
      <c r="F129" s="1">
        <v>5952236.1397967674</v>
      </c>
      <c r="G129" s="1">
        <v>7440295.1747459583</v>
      </c>
      <c r="H129" s="1">
        <v>7440295.1747459583</v>
      </c>
      <c r="I129" s="1">
        <v>7440295.1747459583</v>
      </c>
      <c r="J129" s="1">
        <v>7440295.1747459583</v>
      </c>
      <c r="K129" s="1">
        <v>7440295.1747459583</v>
      </c>
      <c r="L129" s="1">
        <v>7440295.1747459583</v>
      </c>
      <c r="M129" s="1">
        <v>4668540.5967665995</v>
      </c>
      <c r="N129" s="1">
        <v>4668540.5967665995</v>
      </c>
      <c r="O129" s="1">
        <v>3796408.169142433</v>
      </c>
      <c r="P129" s="1">
        <v>3796408.169142433</v>
      </c>
      <c r="Q129" s="1">
        <v>5255891.4371032761</v>
      </c>
      <c r="R129" s="1">
        <v>5255891.4371032761</v>
      </c>
      <c r="S129" s="1">
        <v>5255891.4371032761</v>
      </c>
      <c r="T129" s="1">
        <v>5255891.4371032761</v>
      </c>
      <c r="U129" s="1">
        <v>5196811.383176621</v>
      </c>
      <c r="V129" s="1">
        <v>5196811.383176621</v>
      </c>
      <c r="W129" s="4">
        <f t="shared" si="4"/>
        <v>52446664.687326849</v>
      </c>
      <c r="X129" s="4">
        <f t="shared" si="4"/>
        <v>52446664.687326849</v>
      </c>
      <c r="Y129" s="5">
        <f t="shared" si="3"/>
        <v>0.58208751315916107</v>
      </c>
    </row>
    <row r="130" spans="1:25" x14ac:dyDescent="0.25">
      <c r="A130" s="1" t="s">
        <v>77</v>
      </c>
      <c r="B130" s="1" t="s">
        <v>66</v>
      </c>
      <c r="C130" s="1" t="s">
        <v>24</v>
      </c>
      <c r="D130" s="1">
        <v>300632341.64976829</v>
      </c>
      <c r="E130" s="1">
        <v>24802168.186105885</v>
      </c>
      <c r="F130" s="1">
        <v>24802168.186105885</v>
      </c>
      <c r="G130" s="1">
        <v>24802168.186105885</v>
      </c>
      <c r="H130" s="1">
        <v>24802168.186105885</v>
      </c>
      <c r="I130" s="1">
        <v>24802168.186105885</v>
      </c>
      <c r="J130" s="1">
        <v>24802168.186105885</v>
      </c>
      <c r="K130" s="1">
        <v>24802168.186105885</v>
      </c>
      <c r="L130" s="1">
        <v>24802168.186105885</v>
      </c>
      <c r="M130" s="1">
        <v>24517798.718909785</v>
      </c>
      <c r="N130" s="1">
        <v>24517798.718909785</v>
      </c>
      <c r="O130" s="1">
        <v>26265865.296666667</v>
      </c>
      <c r="P130" s="1">
        <v>26265865.296666667</v>
      </c>
      <c r="Q130" s="1">
        <v>27571322.266666666</v>
      </c>
      <c r="R130" s="1">
        <v>27571322.266666666</v>
      </c>
      <c r="S130" s="1">
        <v>26912565.296666667</v>
      </c>
      <c r="T130" s="1">
        <v>26912565.296666667</v>
      </c>
      <c r="U130" s="1">
        <v>24355865.296666667</v>
      </c>
      <c r="V130" s="1">
        <v>24355865.296666667</v>
      </c>
      <c r="W130" s="4">
        <f t="shared" si="4"/>
        <v>228832089.61999997</v>
      </c>
      <c r="X130" s="4">
        <f t="shared" si="4"/>
        <v>228832089.61999997</v>
      </c>
      <c r="Y130" s="5">
        <f t="shared" si="3"/>
        <v>0.76116923536651815</v>
      </c>
    </row>
    <row r="131" spans="1:25" x14ac:dyDescent="0.25">
      <c r="A131" s="1" t="s">
        <v>77</v>
      </c>
      <c r="B131" s="1" t="s">
        <v>67</v>
      </c>
      <c r="C131" s="1" t="s">
        <v>68</v>
      </c>
      <c r="D131" s="1">
        <v>5916750.6585043678</v>
      </c>
      <c r="E131" s="1">
        <v>390505.54346128833</v>
      </c>
      <c r="F131" s="1">
        <v>390505.54346128833</v>
      </c>
      <c r="G131" s="1">
        <v>488131.92932661035</v>
      </c>
      <c r="H131" s="1">
        <v>488131.92932661035</v>
      </c>
      <c r="I131" s="1">
        <v>488131.92932661035</v>
      </c>
      <c r="J131" s="1">
        <v>488131.92932661035</v>
      </c>
      <c r="K131" s="1">
        <v>488131.92932661035</v>
      </c>
      <c r="L131" s="1">
        <v>488131.92932661035</v>
      </c>
      <c r="M131" s="1">
        <v>307671.03424222715</v>
      </c>
      <c r="N131" s="1">
        <v>307671.03424222715</v>
      </c>
      <c r="O131" s="1">
        <v>246531.277437682</v>
      </c>
      <c r="P131" s="1">
        <v>246531.277437682</v>
      </c>
      <c r="Q131" s="1">
        <v>345143.78841275477</v>
      </c>
      <c r="R131" s="1">
        <v>345143.78841275477</v>
      </c>
      <c r="S131" s="1">
        <v>345143.78841275477</v>
      </c>
      <c r="T131" s="1">
        <v>345143.78841275477</v>
      </c>
      <c r="U131" s="1">
        <v>345143.78841275477</v>
      </c>
      <c r="V131" s="1">
        <v>345143.78841275477</v>
      </c>
      <c r="W131" s="4">
        <f t="shared" si="4"/>
        <v>3444535.0083592925</v>
      </c>
      <c r="X131" s="4">
        <f t="shared" si="4"/>
        <v>3444535.0083592925</v>
      </c>
      <c r="Y131" s="5">
        <f t="shared" ref="Y131:Y194" si="5">X131/D131</f>
        <v>0.58216666666666661</v>
      </c>
    </row>
    <row r="132" spans="1:25" x14ac:dyDescent="0.25">
      <c r="A132" s="1" t="s">
        <v>77</v>
      </c>
      <c r="B132" s="1" t="s">
        <v>69</v>
      </c>
      <c r="C132" s="1" t="s">
        <v>28</v>
      </c>
      <c r="D132" s="1">
        <v>9481286.7784022409</v>
      </c>
      <c r="E132" s="1">
        <v>625764.92737454793</v>
      </c>
      <c r="F132" s="1">
        <v>625764.92737454793</v>
      </c>
      <c r="G132" s="1">
        <v>782206.15921818488</v>
      </c>
      <c r="H132" s="1">
        <v>782206.15921818488</v>
      </c>
      <c r="I132" s="1">
        <v>782206.15921818488</v>
      </c>
      <c r="J132" s="1">
        <v>782206.15921818488</v>
      </c>
      <c r="K132" s="1">
        <v>782206.15921818488</v>
      </c>
      <c r="L132" s="1">
        <v>782206.15921818488</v>
      </c>
      <c r="M132" s="1">
        <v>476434.66061471257</v>
      </c>
      <c r="N132" s="1">
        <v>476434.66061471257</v>
      </c>
      <c r="O132" s="1">
        <v>397028.88384559384</v>
      </c>
      <c r="P132" s="1">
        <v>397028.88384559384</v>
      </c>
      <c r="Q132" s="1">
        <v>555840.43738383136</v>
      </c>
      <c r="R132" s="1">
        <v>555840.43738383136</v>
      </c>
      <c r="S132" s="1">
        <v>555840.43738383136</v>
      </c>
      <c r="T132" s="1">
        <v>555840.43738383136</v>
      </c>
      <c r="U132" s="1">
        <v>555840.43738383136</v>
      </c>
      <c r="V132" s="1">
        <v>555840.43738383136</v>
      </c>
      <c r="W132" s="4">
        <f t="shared" si="4"/>
        <v>5513368.2616409026</v>
      </c>
      <c r="X132" s="4">
        <f t="shared" si="4"/>
        <v>5513368.2616409026</v>
      </c>
      <c r="Y132" s="5">
        <f t="shared" si="5"/>
        <v>0.58149999999999991</v>
      </c>
    </row>
    <row r="133" spans="1:25" x14ac:dyDescent="0.25">
      <c r="A133" s="1" t="s">
        <v>77</v>
      </c>
      <c r="B133" s="1" t="s">
        <v>70</v>
      </c>
      <c r="C133" s="1" t="s">
        <v>23</v>
      </c>
      <c r="D133" s="1">
        <v>9646874.9064843766</v>
      </c>
      <c r="E133" s="1">
        <v>636693.74382796895</v>
      </c>
      <c r="F133" s="1">
        <v>636693.74382796895</v>
      </c>
      <c r="G133" s="1">
        <v>795867.17978496116</v>
      </c>
      <c r="H133" s="1">
        <v>795867.17978496116</v>
      </c>
      <c r="I133" s="1">
        <v>795867.17978496116</v>
      </c>
      <c r="J133" s="1">
        <v>795867.17978496116</v>
      </c>
      <c r="K133" s="1">
        <v>795867.17978496116</v>
      </c>
      <c r="L133" s="1">
        <v>795867.17978496116</v>
      </c>
      <c r="M133" s="1">
        <v>484755.46405083989</v>
      </c>
      <c r="N133" s="1">
        <v>484755.46405083989</v>
      </c>
      <c r="O133" s="1">
        <v>403962.88670903328</v>
      </c>
      <c r="P133" s="1">
        <v>403962.88670903328</v>
      </c>
      <c r="Q133" s="1">
        <v>565548.0413926465</v>
      </c>
      <c r="R133" s="1">
        <v>565548.0413926465</v>
      </c>
      <c r="S133" s="1">
        <v>565548.0413926465</v>
      </c>
      <c r="T133" s="1">
        <v>565548.0413926465</v>
      </c>
      <c r="U133" s="1">
        <v>565548.0413926465</v>
      </c>
      <c r="V133" s="1">
        <v>565548.0413926465</v>
      </c>
      <c r="W133" s="4">
        <f t="shared" si="4"/>
        <v>5609657.7581206644</v>
      </c>
      <c r="X133" s="4">
        <f t="shared" si="4"/>
        <v>5609657.7581206644</v>
      </c>
      <c r="Y133" s="5">
        <f t="shared" si="5"/>
        <v>0.58149999999999991</v>
      </c>
    </row>
    <row r="134" spans="1:25" x14ac:dyDescent="0.25">
      <c r="A134" s="1" t="s">
        <v>77</v>
      </c>
      <c r="B134" s="1" t="s">
        <v>71</v>
      </c>
      <c r="C134" s="1" t="s">
        <v>29</v>
      </c>
      <c r="D134" s="1">
        <v>7678466.3711538417</v>
      </c>
      <c r="E134" s="1">
        <v>506778.78049615363</v>
      </c>
      <c r="F134" s="1">
        <v>506778.78049615363</v>
      </c>
      <c r="G134" s="1">
        <v>633473.47562019201</v>
      </c>
      <c r="H134" s="1">
        <v>633473.47562019201</v>
      </c>
      <c r="I134" s="1">
        <v>633473.47562019201</v>
      </c>
      <c r="J134" s="1">
        <v>633473.47562019201</v>
      </c>
      <c r="K134" s="1">
        <v>633473.47562019201</v>
      </c>
      <c r="L134" s="1">
        <v>633473.47562019201</v>
      </c>
      <c r="M134" s="1">
        <v>385842.93515048054</v>
      </c>
      <c r="N134" s="1">
        <v>385842.93515048054</v>
      </c>
      <c r="O134" s="1">
        <v>321535.77929206711</v>
      </c>
      <c r="P134" s="1">
        <v>321535.77929206711</v>
      </c>
      <c r="Q134" s="1">
        <v>450150.09100889391</v>
      </c>
      <c r="R134" s="1">
        <v>450150.09100889391</v>
      </c>
      <c r="S134" s="1">
        <v>450150.09100889391</v>
      </c>
      <c r="T134" s="1">
        <v>450150.09100889391</v>
      </c>
      <c r="U134" s="1">
        <v>450150.09100889391</v>
      </c>
      <c r="V134" s="1">
        <v>450150.09100889391</v>
      </c>
      <c r="W134" s="4">
        <f t="shared" si="4"/>
        <v>4465028.1948259594</v>
      </c>
      <c r="X134" s="4">
        <f t="shared" si="4"/>
        <v>4465028.1948259594</v>
      </c>
      <c r="Y134" s="5">
        <f t="shared" si="5"/>
        <v>0.58150000000000002</v>
      </c>
    </row>
    <row r="135" spans="1:25" x14ac:dyDescent="0.25">
      <c r="A135" s="1" t="s">
        <v>77</v>
      </c>
      <c r="B135" s="1" t="s">
        <v>72</v>
      </c>
      <c r="C135" s="1" t="s">
        <v>73</v>
      </c>
      <c r="D135" s="1">
        <v>7992039.6173128309</v>
      </c>
      <c r="E135" s="1">
        <v>527474.61474264681</v>
      </c>
      <c r="F135" s="1">
        <v>527474.61474264681</v>
      </c>
      <c r="G135" s="1">
        <v>659343.26842830854</v>
      </c>
      <c r="H135" s="1">
        <v>659343.26842830854</v>
      </c>
      <c r="I135" s="1">
        <v>659343.26842830854</v>
      </c>
      <c r="J135" s="1">
        <v>659343.26842830854</v>
      </c>
      <c r="K135" s="1">
        <v>659343.26842830854</v>
      </c>
      <c r="L135" s="1">
        <v>659343.26842830854</v>
      </c>
      <c r="M135" s="1">
        <v>401599.99076996971</v>
      </c>
      <c r="N135" s="1">
        <v>401599.99076996971</v>
      </c>
      <c r="O135" s="1">
        <v>334666.65897497477</v>
      </c>
      <c r="P135" s="1">
        <v>334666.65897497477</v>
      </c>
      <c r="Q135" s="1">
        <v>468533.32256496465</v>
      </c>
      <c r="R135" s="1">
        <v>468533.32256496465</v>
      </c>
      <c r="S135" s="1">
        <v>468533.32256496465</v>
      </c>
      <c r="T135" s="1">
        <v>468533.32256496465</v>
      </c>
      <c r="U135" s="1">
        <v>468533.32256496465</v>
      </c>
      <c r="V135" s="1">
        <v>468533.32256496465</v>
      </c>
      <c r="W135" s="4">
        <f t="shared" si="4"/>
        <v>4647371.0374674108</v>
      </c>
      <c r="X135" s="4">
        <f t="shared" si="4"/>
        <v>4647371.0374674108</v>
      </c>
      <c r="Y135" s="5">
        <f t="shared" si="5"/>
        <v>0.58149999999999991</v>
      </c>
    </row>
    <row r="136" spans="1:25" x14ac:dyDescent="0.25">
      <c r="A136" s="1" t="s">
        <v>77</v>
      </c>
      <c r="B136" s="1" t="s">
        <v>48</v>
      </c>
      <c r="C136" s="1" t="s">
        <v>49</v>
      </c>
      <c r="D136" s="1">
        <v>5596442.5737779336</v>
      </c>
      <c r="E136" s="1">
        <v>369365.20986934367</v>
      </c>
      <c r="F136" s="1">
        <v>369365.20986934367</v>
      </c>
      <c r="G136" s="1">
        <v>461706.51233667956</v>
      </c>
      <c r="H136" s="1">
        <v>461706.51233667956</v>
      </c>
      <c r="I136" s="1">
        <v>461706.51233667956</v>
      </c>
      <c r="J136" s="1">
        <v>461706.51233667956</v>
      </c>
      <c r="K136" s="1">
        <v>461706.51233667956</v>
      </c>
      <c r="L136" s="1">
        <v>461706.51233667956</v>
      </c>
      <c r="M136" s="1">
        <v>281221.23933234107</v>
      </c>
      <c r="N136" s="1">
        <v>281221.23933234107</v>
      </c>
      <c r="O136" s="1">
        <v>234351.03277695092</v>
      </c>
      <c r="P136" s="1">
        <v>234351.03277695092</v>
      </c>
      <c r="Q136" s="1">
        <v>328091.44588773127</v>
      </c>
      <c r="R136" s="1">
        <v>328091.44588773127</v>
      </c>
      <c r="S136" s="1">
        <v>328091.44588773127</v>
      </c>
      <c r="T136" s="1">
        <v>328091.44588773127</v>
      </c>
      <c r="U136" s="1">
        <v>328091.44588773127</v>
      </c>
      <c r="V136" s="1">
        <v>328091.44588773127</v>
      </c>
      <c r="W136" s="4">
        <f t="shared" si="4"/>
        <v>3254331.3566518687</v>
      </c>
      <c r="X136" s="4">
        <f t="shared" si="4"/>
        <v>3254331.3566518687</v>
      </c>
      <c r="Y136" s="5">
        <f t="shared" si="5"/>
        <v>0.58150000000000002</v>
      </c>
    </row>
    <row r="137" spans="1:25" x14ac:dyDescent="0.25">
      <c r="A137" s="1" t="s">
        <v>77</v>
      </c>
      <c r="B137" s="1" t="s">
        <v>53</v>
      </c>
      <c r="C137" s="1" t="s">
        <v>30</v>
      </c>
      <c r="D137" s="1">
        <v>3286014.9262045384</v>
      </c>
      <c r="E137" s="1">
        <v>216876.98512949955</v>
      </c>
      <c r="F137" s="1">
        <v>216876.98512949955</v>
      </c>
      <c r="G137" s="1">
        <v>271096.23141187441</v>
      </c>
      <c r="H137" s="1">
        <v>271096.23141187441</v>
      </c>
      <c r="I137" s="1">
        <v>271096.23141187441</v>
      </c>
      <c r="J137" s="1">
        <v>271096.23141187441</v>
      </c>
      <c r="K137" s="1">
        <v>271096.23141187441</v>
      </c>
      <c r="L137" s="1">
        <v>271096.23141187441</v>
      </c>
      <c r="M137" s="1">
        <v>165122.25004177805</v>
      </c>
      <c r="N137" s="1">
        <v>165122.25004177805</v>
      </c>
      <c r="O137" s="1">
        <v>137601.87503481505</v>
      </c>
      <c r="P137" s="1">
        <v>137601.87503481505</v>
      </c>
      <c r="Q137" s="1">
        <v>192642.62504874106</v>
      </c>
      <c r="R137" s="1">
        <v>192642.62504874106</v>
      </c>
      <c r="S137" s="1">
        <v>192642.62504874106</v>
      </c>
      <c r="T137" s="1">
        <v>192642.62504874106</v>
      </c>
      <c r="U137" s="1">
        <v>192642.62504874106</v>
      </c>
      <c r="V137" s="1">
        <v>192642.62504874106</v>
      </c>
      <c r="W137" s="4">
        <f t="shared" si="4"/>
        <v>1910817.6795879391</v>
      </c>
      <c r="X137" s="4">
        <f t="shared" si="4"/>
        <v>1910817.6795879391</v>
      </c>
      <c r="Y137" s="5">
        <f t="shared" si="5"/>
        <v>0.58150000000000002</v>
      </c>
    </row>
    <row r="138" spans="1:25" x14ac:dyDescent="0.25">
      <c r="A138" s="1" t="s">
        <v>77</v>
      </c>
      <c r="B138" s="1" t="s">
        <v>74</v>
      </c>
      <c r="C138" s="1" t="s">
        <v>75</v>
      </c>
      <c r="D138" s="1">
        <v>8131794.8812461272</v>
      </c>
      <c r="E138" s="1">
        <v>536698.46216224448</v>
      </c>
      <c r="F138" s="1">
        <v>536698.46216224448</v>
      </c>
      <c r="G138" s="1">
        <v>670873.07770280552</v>
      </c>
      <c r="H138" s="1">
        <v>670873.07770280552</v>
      </c>
      <c r="I138" s="1">
        <v>670873.07770280552</v>
      </c>
      <c r="J138" s="1">
        <v>670873.07770280552</v>
      </c>
      <c r="K138" s="1">
        <v>670873.07770280552</v>
      </c>
      <c r="L138" s="1">
        <v>670873.07770280552</v>
      </c>
      <c r="M138" s="1">
        <v>408622.69278261793</v>
      </c>
      <c r="N138" s="1">
        <v>408622.69278261793</v>
      </c>
      <c r="O138" s="1">
        <v>340518.9106521816</v>
      </c>
      <c r="P138" s="1">
        <v>340518.9106521816</v>
      </c>
      <c r="Q138" s="1">
        <v>476726.4749130542</v>
      </c>
      <c r="R138" s="1">
        <v>476726.4749130542</v>
      </c>
      <c r="S138" s="1">
        <v>476726.4749130542</v>
      </c>
      <c r="T138" s="1">
        <v>476726.4749130542</v>
      </c>
      <c r="U138" s="1">
        <v>476726.4749130542</v>
      </c>
      <c r="V138" s="1">
        <v>476726.4749130542</v>
      </c>
      <c r="W138" s="4">
        <f t="shared" si="4"/>
        <v>4728638.7234446229</v>
      </c>
      <c r="X138" s="4">
        <f t="shared" si="4"/>
        <v>4728638.7234446229</v>
      </c>
      <c r="Y138" s="5">
        <f t="shared" si="5"/>
        <v>0.58150000000000002</v>
      </c>
    </row>
    <row r="139" spans="1:25" x14ac:dyDescent="0.25">
      <c r="A139" s="1" t="s">
        <v>77</v>
      </c>
      <c r="B139" s="1" t="s">
        <v>50</v>
      </c>
      <c r="C139" s="1" t="s">
        <v>25</v>
      </c>
      <c r="D139" s="1">
        <v>5876264.7024668287</v>
      </c>
      <c r="E139" s="1">
        <v>387833.47036281071</v>
      </c>
      <c r="F139" s="1">
        <v>387833.47036281071</v>
      </c>
      <c r="G139" s="1">
        <v>484791.83795351337</v>
      </c>
      <c r="H139" s="1">
        <v>484791.83795351337</v>
      </c>
      <c r="I139" s="1">
        <v>484791.83795351337</v>
      </c>
      <c r="J139" s="1">
        <v>484791.83795351337</v>
      </c>
      <c r="K139" s="1">
        <v>484791.83795351337</v>
      </c>
      <c r="L139" s="1">
        <v>484791.83795351337</v>
      </c>
      <c r="M139" s="1">
        <v>295282.30129895813</v>
      </c>
      <c r="N139" s="1">
        <v>295282.30129895813</v>
      </c>
      <c r="O139" s="1">
        <v>246068.58441579845</v>
      </c>
      <c r="P139" s="1">
        <v>246068.58441579845</v>
      </c>
      <c r="Q139" s="1">
        <v>344496.01818211784</v>
      </c>
      <c r="R139" s="1">
        <v>344496.01818211784</v>
      </c>
      <c r="S139" s="1">
        <v>344496.01818211784</v>
      </c>
      <c r="T139" s="1">
        <v>344496.01818211784</v>
      </c>
      <c r="U139" s="1">
        <v>344496.01818211784</v>
      </c>
      <c r="V139" s="1">
        <v>344496.01818211784</v>
      </c>
      <c r="W139" s="4">
        <f t="shared" si="4"/>
        <v>3417047.9244844615</v>
      </c>
      <c r="X139" s="4">
        <f t="shared" si="4"/>
        <v>3417047.9244844615</v>
      </c>
      <c r="Y139" s="5">
        <f t="shared" si="5"/>
        <v>0.58150000000000013</v>
      </c>
    </row>
    <row r="140" spans="1:25" x14ac:dyDescent="0.25">
      <c r="A140" s="1" t="s">
        <v>78</v>
      </c>
      <c r="B140" s="1" t="s">
        <v>59</v>
      </c>
      <c r="C140" s="1" t="s">
        <v>26</v>
      </c>
      <c r="D140" s="1">
        <v>33901212</v>
      </c>
      <c r="E140" s="1">
        <v>2984631.1678301622</v>
      </c>
      <c r="F140" s="1">
        <v>2984631.1678301622</v>
      </c>
      <c r="G140" s="1">
        <v>3730788.9597877027</v>
      </c>
      <c r="H140" s="1">
        <v>3730788.9597877027</v>
      </c>
      <c r="I140" s="1">
        <v>3730788.9597877027</v>
      </c>
      <c r="J140" s="1">
        <v>3730788.9597877027</v>
      </c>
      <c r="K140" s="1">
        <v>3730788.9597877027</v>
      </c>
      <c r="L140" s="1">
        <v>3730788.9597877027</v>
      </c>
      <c r="M140" s="1">
        <v>2372257.020106148</v>
      </c>
      <c r="N140" s="1">
        <v>2372257.020106148</v>
      </c>
      <c r="O140" s="1">
        <v>2372257.020106148</v>
      </c>
      <c r="P140" s="1">
        <v>2372257.020106148</v>
      </c>
      <c r="Q140" s="1">
        <v>2372257.020106148</v>
      </c>
      <c r="R140" s="1">
        <v>2372257.020106148</v>
      </c>
      <c r="S140" s="1">
        <v>2372257.020106148</v>
      </c>
      <c r="T140" s="1">
        <v>2372257.020106148</v>
      </c>
      <c r="U140" s="1">
        <v>2372257.020106148</v>
      </c>
      <c r="V140" s="1">
        <v>2372257.020106148</v>
      </c>
      <c r="W140" s="4">
        <f t="shared" si="4"/>
        <v>26038283.14772401</v>
      </c>
      <c r="X140" s="4">
        <f t="shared" si="4"/>
        <v>26038283.14772401</v>
      </c>
      <c r="Y140" s="5">
        <f t="shared" si="5"/>
        <v>0.76806348834147908</v>
      </c>
    </row>
    <row r="141" spans="1:25" x14ac:dyDescent="0.25">
      <c r="A141" s="1" t="s">
        <v>78</v>
      </c>
      <c r="B141" s="1" t="s">
        <v>59</v>
      </c>
      <c r="C141" s="1" t="s">
        <v>26</v>
      </c>
      <c r="D141" s="1">
        <v>11320471.630000001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5660235.8150000004</v>
      </c>
      <c r="N141" s="1">
        <v>5660235.8150000004</v>
      </c>
      <c r="O141" s="1">
        <v>5660235.8150000004</v>
      </c>
      <c r="P141" s="1">
        <v>5660235.8150000004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4">
        <f t="shared" si="4"/>
        <v>11320471.630000001</v>
      </c>
      <c r="X141" s="4">
        <f t="shared" si="4"/>
        <v>11320471.630000001</v>
      </c>
      <c r="Y141" s="5">
        <f t="shared" si="5"/>
        <v>1</v>
      </c>
    </row>
    <row r="142" spans="1:25" x14ac:dyDescent="0.25">
      <c r="A142" s="1" t="s">
        <v>78</v>
      </c>
      <c r="B142" s="1" t="s">
        <v>33</v>
      </c>
      <c r="C142" s="1" t="s">
        <v>34</v>
      </c>
      <c r="D142" s="1">
        <v>60000000</v>
      </c>
      <c r="E142" s="1">
        <v>0</v>
      </c>
      <c r="F142" s="1">
        <v>0</v>
      </c>
      <c r="G142" s="1">
        <v>12000000</v>
      </c>
      <c r="H142" s="1">
        <v>12000000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18000000</v>
      </c>
      <c r="P142" s="1">
        <v>18000000</v>
      </c>
      <c r="Q142" s="1">
        <v>0</v>
      </c>
      <c r="R142" s="1">
        <v>0</v>
      </c>
      <c r="S142" s="1">
        <v>18000000</v>
      </c>
      <c r="T142" s="1">
        <v>18000000</v>
      </c>
      <c r="U142" s="1">
        <v>12000000</v>
      </c>
      <c r="V142" s="1">
        <v>12000000</v>
      </c>
      <c r="W142" s="4">
        <f t="shared" si="4"/>
        <v>60000000</v>
      </c>
      <c r="X142" s="4">
        <f t="shared" si="4"/>
        <v>60000000</v>
      </c>
      <c r="Y142" s="5">
        <f t="shared" si="5"/>
        <v>1</v>
      </c>
    </row>
    <row r="143" spans="1:25" x14ac:dyDescent="0.25">
      <c r="A143" s="1" t="s">
        <v>78</v>
      </c>
      <c r="B143" s="1" t="s">
        <v>35</v>
      </c>
      <c r="C143" s="1" t="s">
        <v>34</v>
      </c>
      <c r="D143" s="1">
        <v>150000000</v>
      </c>
      <c r="E143" s="1">
        <v>0</v>
      </c>
      <c r="F143" s="1">
        <v>0</v>
      </c>
      <c r="G143" s="1">
        <v>41250000</v>
      </c>
      <c r="H143" s="1">
        <v>41250000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36250000</v>
      </c>
      <c r="P143" s="1">
        <v>36250000</v>
      </c>
      <c r="Q143" s="1">
        <v>0</v>
      </c>
      <c r="R143" s="1">
        <v>0</v>
      </c>
      <c r="S143" s="1">
        <v>36250000</v>
      </c>
      <c r="T143" s="1">
        <v>36250000</v>
      </c>
      <c r="U143" s="1">
        <v>36250000</v>
      </c>
      <c r="V143" s="1">
        <v>36250000</v>
      </c>
      <c r="W143" s="4">
        <f t="shared" si="4"/>
        <v>150000000</v>
      </c>
      <c r="X143" s="4">
        <f t="shared" si="4"/>
        <v>150000000</v>
      </c>
      <c r="Y143" s="5">
        <f t="shared" si="5"/>
        <v>1</v>
      </c>
    </row>
    <row r="144" spans="1:25" x14ac:dyDescent="0.25">
      <c r="A144" s="1" t="s">
        <v>78</v>
      </c>
      <c r="B144" s="1" t="s">
        <v>38</v>
      </c>
      <c r="C144" s="1" t="s">
        <v>39</v>
      </c>
      <c r="D144" s="1">
        <v>7571750.5718334364</v>
      </c>
      <c r="E144" s="1">
        <v>499735.53774100682</v>
      </c>
      <c r="F144" s="1">
        <v>499735.53774100682</v>
      </c>
      <c r="G144" s="1">
        <v>624669.42217625852</v>
      </c>
      <c r="H144" s="1">
        <v>624669.42217625852</v>
      </c>
      <c r="I144" s="1">
        <v>624669.42217625852</v>
      </c>
      <c r="J144" s="1">
        <v>624669.42217625852</v>
      </c>
      <c r="K144" s="1">
        <v>624669.42217625852</v>
      </c>
      <c r="L144" s="1">
        <v>624669.42217625852</v>
      </c>
      <c r="M144" s="1">
        <v>380480.46623463015</v>
      </c>
      <c r="N144" s="1">
        <v>380480.46623463015</v>
      </c>
      <c r="O144" s="1">
        <v>317067.05519552511</v>
      </c>
      <c r="P144" s="1">
        <v>317067.05519552511</v>
      </c>
      <c r="Q144" s="1">
        <v>443893.87727373512</v>
      </c>
      <c r="R144" s="1">
        <v>443893.87727373512</v>
      </c>
      <c r="S144" s="1">
        <v>443893.87727373512</v>
      </c>
      <c r="T144" s="1">
        <v>443893.87727373512</v>
      </c>
      <c r="U144" s="1">
        <v>443893.87727373512</v>
      </c>
      <c r="V144" s="1">
        <v>443893.87727373512</v>
      </c>
      <c r="W144" s="4">
        <f t="shared" si="4"/>
        <v>4402972.9575211434</v>
      </c>
      <c r="X144" s="4">
        <f t="shared" si="4"/>
        <v>4402972.9575211434</v>
      </c>
      <c r="Y144" s="5">
        <f t="shared" si="5"/>
        <v>0.58150000000000002</v>
      </c>
    </row>
    <row r="145" spans="1:25" x14ac:dyDescent="0.25">
      <c r="A145" s="1" t="s">
        <v>78</v>
      </c>
      <c r="B145" s="1" t="s">
        <v>61</v>
      </c>
      <c r="C145" s="1" t="s">
        <v>34</v>
      </c>
      <c r="D145" s="1">
        <v>87622954</v>
      </c>
      <c r="E145" s="1">
        <v>0</v>
      </c>
      <c r="F145" s="1">
        <v>0</v>
      </c>
      <c r="G145" s="1">
        <v>7009836.3192015653</v>
      </c>
      <c r="H145" s="1">
        <v>7009836.3192015653</v>
      </c>
      <c r="I145" s="1">
        <v>0</v>
      </c>
      <c r="J145" s="1">
        <v>0</v>
      </c>
      <c r="K145" s="1">
        <v>0</v>
      </c>
      <c r="L145" s="1">
        <v>0</v>
      </c>
      <c r="M145" s="1">
        <v>20153279.42019961</v>
      </c>
      <c r="N145" s="1">
        <v>20153279.42019961</v>
      </c>
      <c r="O145" s="1">
        <v>0</v>
      </c>
      <c r="P145" s="1">
        <v>0</v>
      </c>
      <c r="Q145" s="1">
        <v>0</v>
      </c>
      <c r="R145" s="1">
        <v>0</v>
      </c>
      <c r="S145" s="1">
        <v>30229919.130299415</v>
      </c>
      <c r="T145" s="1">
        <v>30229919.130299415</v>
      </c>
      <c r="U145" s="1">
        <v>0</v>
      </c>
      <c r="V145" s="1">
        <v>0</v>
      </c>
      <c r="W145" s="4">
        <f t="shared" si="4"/>
        <v>57393034.869700588</v>
      </c>
      <c r="X145" s="4">
        <f t="shared" si="4"/>
        <v>57393034.869700588</v>
      </c>
      <c r="Y145" s="5">
        <f t="shared" si="5"/>
        <v>0.65499999999658298</v>
      </c>
    </row>
    <row r="146" spans="1:25" x14ac:dyDescent="0.25">
      <c r="A146" s="1" t="s">
        <v>78</v>
      </c>
      <c r="B146" s="1" t="s">
        <v>62</v>
      </c>
      <c r="C146" s="1" t="s">
        <v>63</v>
      </c>
      <c r="D146" s="1">
        <v>19642857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1473214.2857142857</v>
      </c>
      <c r="N146" s="1">
        <v>1473214.2857142857</v>
      </c>
      <c r="O146" s="1">
        <v>1227678.5714285714</v>
      </c>
      <c r="P146" s="1">
        <v>1227678.5714285714</v>
      </c>
      <c r="Q146" s="1">
        <v>1718749.9999999998</v>
      </c>
      <c r="R146" s="1">
        <v>1718749.9999999998</v>
      </c>
      <c r="S146" s="1">
        <v>1718749.9999999998</v>
      </c>
      <c r="T146" s="1">
        <v>1718749.9999999998</v>
      </c>
      <c r="U146" s="1">
        <v>1718749.9999999998</v>
      </c>
      <c r="V146" s="1">
        <v>1718749.9999999998</v>
      </c>
      <c r="W146" s="4">
        <f t="shared" ref="W146:X209" si="6">U146+S146+Q146+O146+M146+K146+I146+G146+E146</f>
        <v>7857142.8571428563</v>
      </c>
      <c r="X146" s="4">
        <f t="shared" si="6"/>
        <v>7857142.8571428563</v>
      </c>
      <c r="Y146" s="5">
        <f t="shared" si="5"/>
        <v>0.40000000290909088</v>
      </c>
    </row>
    <row r="147" spans="1:25" x14ac:dyDescent="0.25">
      <c r="A147" s="1" t="s">
        <v>78</v>
      </c>
      <c r="B147" s="1" t="s">
        <v>40</v>
      </c>
      <c r="C147" s="1" t="s">
        <v>27</v>
      </c>
      <c r="D147" s="1">
        <v>91969887</v>
      </c>
      <c r="E147" s="1">
        <v>7384655</v>
      </c>
      <c r="F147" s="1">
        <v>7384655</v>
      </c>
      <c r="G147" s="1">
        <v>8068134</v>
      </c>
      <c r="H147" s="1">
        <v>8068134</v>
      </c>
      <c r="I147" s="1">
        <v>16139111</v>
      </c>
      <c r="J147" s="1">
        <v>16139111</v>
      </c>
      <c r="K147" s="1">
        <v>8122075</v>
      </c>
      <c r="L147" s="1">
        <v>8122075</v>
      </c>
      <c r="M147" s="1">
        <v>0</v>
      </c>
      <c r="N147" s="1">
        <v>0</v>
      </c>
      <c r="O147" s="1">
        <v>19799383</v>
      </c>
      <c r="P147" s="1">
        <v>19799383</v>
      </c>
      <c r="Q147" s="1">
        <v>13472876</v>
      </c>
      <c r="R147" s="1">
        <v>13472876</v>
      </c>
      <c r="S147" s="1">
        <v>5168957</v>
      </c>
      <c r="T147" s="1">
        <v>5168957</v>
      </c>
      <c r="U147" s="1">
        <v>4889164</v>
      </c>
      <c r="V147" s="1">
        <v>4889164</v>
      </c>
      <c r="W147" s="4">
        <f t="shared" si="6"/>
        <v>83044355</v>
      </c>
      <c r="X147" s="4">
        <f t="shared" si="6"/>
        <v>83044355</v>
      </c>
      <c r="Y147" s="5">
        <f t="shared" si="5"/>
        <v>0.90295158240218343</v>
      </c>
    </row>
    <row r="148" spans="1:25" x14ac:dyDescent="0.25">
      <c r="A148" s="1" t="s">
        <v>78</v>
      </c>
      <c r="B148" s="1" t="s">
        <v>40</v>
      </c>
      <c r="C148" s="1" t="s">
        <v>27</v>
      </c>
      <c r="D148" s="1">
        <v>70828962</v>
      </c>
      <c r="E148" s="1">
        <v>21396625.985873841</v>
      </c>
      <c r="F148" s="1">
        <v>21396625.985873841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18537126.005297311</v>
      </c>
      <c r="N148" s="1">
        <v>18537126.005297311</v>
      </c>
      <c r="O148" s="1">
        <v>12358084.00353154</v>
      </c>
      <c r="P148" s="1">
        <v>12358084.00353154</v>
      </c>
      <c r="Q148" s="1">
        <v>18537126.005297311</v>
      </c>
      <c r="R148" s="1">
        <v>18537126.005297311</v>
      </c>
      <c r="S148" s="1">
        <v>0</v>
      </c>
      <c r="T148" s="1">
        <v>0</v>
      </c>
      <c r="U148" s="1">
        <v>0</v>
      </c>
      <c r="V148" s="1">
        <v>0</v>
      </c>
      <c r="W148" s="4">
        <f t="shared" si="6"/>
        <v>70828962</v>
      </c>
      <c r="X148" s="4">
        <f t="shared" si="6"/>
        <v>70828962</v>
      </c>
      <c r="Y148" s="5">
        <f t="shared" si="5"/>
        <v>1</v>
      </c>
    </row>
    <row r="149" spans="1:25" x14ac:dyDescent="0.25">
      <c r="A149" s="1" t="s">
        <v>78</v>
      </c>
      <c r="B149" s="1" t="s">
        <v>40</v>
      </c>
      <c r="C149" s="1" t="s">
        <v>27</v>
      </c>
      <c r="D149" s="1">
        <v>22384790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22384790</v>
      </c>
      <c r="V149" s="1">
        <v>22384790</v>
      </c>
      <c r="W149" s="4">
        <f t="shared" si="6"/>
        <v>22384790</v>
      </c>
      <c r="X149" s="4">
        <f t="shared" si="6"/>
        <v>22384790</v>
      </c>
      <c r="Y149" s="5">
        <f t="shared" si="5"/>
        <v>1</v>
      </c>
    </row>
    <row r="150" spans="1:25" x14ac:dyDescent="0.25">
      <c r="A150" s="1" t="s">
        <v>78</v>
      </c>
      <c r="B150" s="1" t="s">
        <v>43</v>
      </c>
      <c r="C150" s="1" t="s">
        <v>31</v>
      </c>
      <c r="D150" s="1">
        <v>3828473</v>
      </c>
      <c r="E150" s="1">
        <v>222389.86034951915</v>
      </c>
      <c r="F150" s="1">
        <v>222389.86034951915</v>
      </c>
      <c r="G150" s="1">
        <v>277987.32543689891</v>
      </c>
      <c r="H150" s="1">
        <v>277987.32543689891</v>
      </c>
      <c r="I150" s="1">
        <v>277987.32543689891</v>
      </c>
      <c r="J150" s="1">
        <v>277987.32543689891</v>
      </c>
      <c r="K150" s="1">
        <v>277987.32543689891</v>
      </c>
      <c r="L150" s="1">
        <v>277987.32543689891</v>
      </c>
      <c r="M150" s="1">
        <v>206704.30712945884</v>
      </c>
      <c r="N150" s="1">
        <v>206704.30712945884</v>
      </c>
      <c r="O150" s="1">
        <v>172253.58927454904</v>
      </c>
      <c r="P150" s="1">
        <v>172253.58927454904</v>
      </c>
      <c r="Q150" s="1">
        <v>213481.41388610227</v>
      </c>
      <c r="R150" s="1">
        <v>213481.41388610227</v>
      </c>
      <c r="S150" s="1">
        <v>241155.02498436865</v>
      </c>
      <c r="T150" s="1">
        <v>241155.02498436865</v>
      </c>
      <c r="U150" s="1">
        <v>241155.02498436865</v>
      </c>
      <c r="V150" s="1">
        <v>241155.02498436865</v>
      </c>
      <c r="W150" s="4">
        <f t="shared" si="6"/>
        <v>2131101.1969190636</v>
      </c>
      <c r="X150" s="4">
        <f t="shared" si="6"/>
        <v>2131101.1969190636</v>
      </c>
      <c r="Y150" s="5">
        <f t="shared" si="5"/>
        <v>0.55664522041008613</v>
      </c>
    </row>
    <row r="151" spans="1:25" x14ac:dyDescent="0.25">
      <c r="A151" s="1" t="s">
        <v>78</v>
      </c>
      <c r="B151" s="1" t="s">
        <v>64</v>
      </c>
      <c r="C151" s="1" t="s">
        <v>23</v>
      </c>
      <c r="D151" s="1">
        <v>3876481.5405843109</v>
      </c>
      <c r="E151" s="1">
        <v>255847.78167856453</v>
      </c>
      <c r="F151" s="1">
        <v>255847.78167856453</v>
      </c>
      <c r="G151" s="1">
        <v>319809.72709820565</v>
      </c>
      <c r="H151" s="1">
        <v>319809.72709820565</v>
      </c>
      <c r="I151" s="1">
        <v>319809.72709820565</v>
      </c>
      <c r="J151" s="1">
        <v>319809.72709820565</v>
      </c>
      <c r="K151" s="1">
        <v>319809.72709820565</v>
      </c>
      <c r="L151" s="1">
        <v>319809.72709820565</v>
      </c>
      <c r="M151" s="1">
        <v>194793.19741436164</v>
      </c>
      <c r="N151" s="1">
        <v>194793.19741436164</v>
      </c>
      <c r="O151" s="1">
        <v>162327.66451196803</v>
      </c>
      <c r="P151" s="1">
        <v>162327.66451196803</v>
      </c>
      <c r="Q151" s="1">
        <v>227258.73031675525</v>
      </c>
      <c r="R151" s="1">
        <v>227258.73031675525</v>
      </c>
      <c r="S151" s="1">
        <v>227258.73031675525</v>
      </c>
      <c r="T151" s="1">
        <v>227258.73031675525</v>
      </c>
      <c r="U151" s="1">
        <v>227258.73031675525</v>
      </c>
      <c r="V151" s="1">
        <v>227258.73031675525</v>
      </c>
      <c r="W151" s="4">
        <f t="shared" si="6"/>
        <v>2254174.0158497766</v>
      </c>
      <c r="X151" s="4">
        <f t="shared" si="6"/>
        <v>2254174.0158497766</v>
      </c>
      <c r="Y151" s="5">
        <f t="shared" si="5"/>
        <v>0.58149999999999991</v>
      </c>
    </row>
    <row r="152" spans="1:25" x14ac:dyDescent="0.25">
      <c r="A152" s="1" t="s">
        <v>78</v>
      </c>
      <c r="B152" s="1" t="s">
        <v>65</v>
      </c>
      <c r="C152" s="1" t="s">
        <v>31</v>
      </c>
      <c r="D152" s="1">
        <v>5493566.4060108736</v>
      </c>
      <c r="E152" s="1">
        <v>362575.38279671769</v>
      </c>
      <c r="F152" s="1">
        <v>362575.38279671769</v>
      </c>
      <c r="G152" s="1">
        <v>453219.22849589708</v>
      </c>
      <c r="H152" s="1">
        <v>453219.22849589708</v>
      </c>
      <c r="I152" s="1">
        <v>453219.22849589708</v>
      </c>
      <c r="J152" s="1">
        <v>453219.22849589708</v>
      </c>
      <c r="K152" s="1">
        <v>453219.22849589708</v>
      </c>
      <c r="L152" s="1">
        <v>453219.22849589708</v>
      </c>
      <c r="M152" s="1">
        <v>276051.7119020464</v>
      </c>
      <c r="N152" s="1">
        <v>276051.7119020464</v>
      </c>
      <c r="O152" s="1">
        <v>230043.09325170534</v>
      </c>
      <c r="P152" s="1">
        <v>230043.09325170534</v>
      </c>
      <c r="Q152" s="1">
        <v>322060.33055238746</v>
      </c>
      <c r="R152" s="1">
        <v>322060.33055238746</v>
      </c>
      <c r="S152" s="1">
        <v>322060.33055238746</v>
      </c>
      <c r="T152" s="1">
        <v>322060.33055238746</v>
      </c>
      <c r="U152" s="1">
        <v>322060.33055238746</v>
      </c>
      <c r="V152" s="1">
        <v>322060.33055238746</v>
      </c>
      <c r="W152" s="4">
        <f t="shared" si="6"/>
        <v>3194508.8650953234</v>
      </c>
      <c r="X152" s="4">
        <f t="shared" si="6"/>
        <v>3194508.8650953234</v>
      </c>
      <c r="Y152" s="5">
        <f t="shared" si="5"/>
        <v>0.58150000000000013</v>
      </c>
    </row>
    <row r="153" spans="1:25" x14ac:dyDescent="0.25">
      <c r="A153" s="1" t="s">
        <v>78</v>
      </c>
      <c r="B153" s="1" t="s">
        <v>44</v>
      </c>
      <c r="C153" s="1" t="s">
        <v>45</v>
      </c>
      <c r="D153" s="1">
        <v>7571750.5718334364</v>
      </c>
      <c r="E153" s="1">
        <v>499735.53774100682</v>
      </c>
      <c r="F153" s="1">
        <v>499735.53774100682</v>
      </c>
      <c r="G153" s="1">
        <v>624669.42217625852</v>
      </c>
      <c r="H153" s="1">
        <v>624669.42217625852</v>
      </c>
      <c r="I153" s="1">
        <v>624669.42217625852</v>
      </c>
      <c r="J153" s="1">
        <v>624669.42217625852</v>
      </c>
      <c r="K153" s="1">
        <v>624669.42217625852</v>
      </c>
      <c r="L153" s="1">
        <v>624669.42217625852</v>
      </c>
      <c r="M153" s="1">
        <v>380480.46623463015</v>
      </c>
      <c r="N153" s="1">
        <v>380480.46623463015</v>
      </c>
      <c r="O153" s="1">
        <v>317067.05519552511</v>
      </c>
      <c r="P153" s="1">
        <v>317067.05519552511</v>
      </c>
      <c r="Q153" s="1">
        <v>443893.87727373512</v>
      </c>
      <c r="R153" s="1">
        <v>443893.87727373512</v>
      </c>
      <c r="S153" s="1">
        <v>443893.87727373512</v>
      </c>
      <c r="T153" s="1">
        <v>443893.87727373512</v>
      </c>
      <c r="U153" s="1">
        <v>443893.87727373512</v>
      </c>
      <c r="V153" s="1">
        <v>443893.87727373512</v>
      </c>
      <c r="W153" s="4">
        <f t="shared" si="6"/>
        <v>4402972.9575211434</v>
      </c>
      <c r="X153" s="4">
        <f t="shared" si="6"/>
        <v>4402972.9575211434</v>
      </c>
      <c r="Y153" s="5">
        <f t="shared" si="5"/>
        <v>0.58150000000000002</v>
      </c>
    </row>
    <row r="154" spans="1:25" x14ac:dyDescent="0.25">
      <c r="A154" s="1" t="s">
        <v>78</v>
      </c>
      <c r="B154" s="1" t="s">
        <v>46</v>
      </c>
      <c r="C154" s="1" t="s">
        <v>22</v>
      </c>
      <c r="D154" s="1">
        <v>67378022.813330904</v>
      </c>
      <c r="E154" s="1">
        <v>4451115.0850622328</v>
      </c>
      <c r="F154" s="1">
        <v>4451115.0850622328</v>
      </c>
      <c r="G154" s="1">
        <v>5563893.8563277908</v>
      </c>
      <c r="H154" s="1">
        <v>5563893.8563277908</v>
      </c>
      <c r="I154" s="1">
        <v>5563893.8563277908</v>
      </c>
      <c r="J154" s="1">
        <v>5563893.8563277908</v>
      </c>
      <c r="K154" s="1">
        <v>5563893.8563277908</v>
      </c>
      <c r="L154" s="1">
        <v>5563893.8563277908</v>
      </c>
      <c r="M154" s="1">
        <v>3491160.4626295571</v>
      </c>
      <c r="N154" s="1">
        <v>3491160.4626295571</v>
      </c>
      <c r="O154" s="1">
        <v>2838975.0127252773</v>
      </c>
      <c r="P154" s="1">
        <v>2838975.0127252773</v>
      </c>
      <c r="Q154" s="1">
        <v>3930384.667490459</v>
      </c>
      <c r="R154" s="1">
        <v>3930384.667490459</v>
      </c>
      <c r="S154" s="1">
        <v>3930384.667490459</v>
      </c>
      <c r="T154" s="1">
        <v>3930384.667490459</v>
      </c>
      <c r="U154" s="1">
        <v>3886204.2766116462</v>
      </c>
      <c r="V154" s="1">
        <v>3886204.2766116462</v>
      </c>
      <c r="W154" s="4">
        <f t="shared" si="6"/>
        <v>39219905.740993008</v>
      </c>
      <c r="X154" s="4">
        <f t="shared" si="6"/>
        <v>39219905.740993008</v>
      </c>
      <c r="Y154" s="5">
        <f t="shared" si="5"/>
        <v>0.58208751315916107</v>
      </c>
    </row>
    <row r="155" spans="1:25" x14ac:dyDescent="0.25">
      <c r="A155" s="1" t="s">
        <v>78</v>
      </c>
      <c r="B155" s="1" t="s">
        <v>66</v>
      </c>
      <c r="C155" s="1" t="s">
        <v>24</v>
      </c>
      <c r="D155" s="1">
        <v>260293946.27462015</v>
      </c>
      <c r="E155" s="1">
        <v>21474250.567656163</v>
      </c>
      <c r="F155" s="1">
        <v>21474250.567656163</v>
      </c>
      <c r="G155" s="1">
        <v>21474250.567656163</v>
      </c>
      <c r="H155" s="1">
        <v>21474250.567656163</v>
      </c>
      <c r="I155" s="1">
        <v>21474250.567656163</v>
      </c>
      <c r="J155" s="1">
        <v>21474250.567656163</v>
      </c>
      <c r="K155" s="1">
        <v>21474250.567656163</v>
      </c>
      <c r="L155" s="1">
        <v>21474250.567656163</v>
      </c>
      <c r="M155" s="1">
        <v>24550093.331042025</v>
      </c>
      <c r="N155" s="1">
        <v>24550093.331042025</v>
      </c>
      <c r="O155" s="1">
        <v>21172153.353333335</v>
      </c>
      <c r="P155" s="1">
        <v>21172153.353333335</v>
      </c>
      <c r="Q155" s="1">
        <v>20460101.443333335</v>
      </c>
      <c r="R155" s="1">
        <v>20460101.443333335</v>
      </c>
      <c r="S155" s="1">
        <v>27156067.770833328</v>
      </c>
      <c r="T155" s="1">
        <v>27156067.770833328</v>
      </c>
      <c r="U155" s="1">
        <v>20334653.353333335</v>
      </c>
      <c r="V155" s="1">
        <v>20334653.353333335</v>
      </c>
      <c r="W155" s="4">
        <f t="shared" si="6"/>
        <v>199570071.52250001</v>
      </c>
      <c r="X155" s="4">
        <f t="shared" si="6"/>
        <v>199570071.52250001</v>
      </c>
      <c r="Y155" s="5">
        <f t="shared" si="5"/>
        <v>0.76671038408225556</v>
      </c>
    </row>
    <row r="156" spans="1:25" x14ac:dyDescent="0.25">
      <c r="A156" s="1" t="s">
        <v>78</v>
      </c>
      <c r="B156" s="1" t="s">
        <v>67</v>
      </c>
      <c r="C156" s="1" t="s">
        <v>68</v>
      </c>
      <c r="D156" s="1">
        <v>5916750.6585043678</v>
      </c>
      <c r="E156" s="1">
        <v>390505.54346128833</v>
      </c>
      <c r="F156" s="1">
        <v>390505.54346128833</v>
      </c>
      <c r="G156" s="1">
        <v>488131.92932661035</v>
      </c>
      <c r="H156" s="1">
        <v>488131.92932661035</v>
      </c>
      <c r="I156" s="1">
        <v>488131.92932661035</v>
      </c>
      <c r="J156" s="1">
        <v>488131.92932661035</v>
      </c>
      <c r="K156" s="1">
        <v>488131.92932661035</v>
      </c>
      <c r="L156" s="1">
        <v>488131.92932661035</v>
      </c>
      <c r="M156" s="1">
        <v>307671.03424222715</v>
      </c>
      <c r="N156" s="1">
        <v>307671.03424222715</v>
      </c>
      <c r="O156" s="1">
        <v>246531.277437682</v>
      </c>
      <c r="P156" s="1">
        <v>246531.277437682</v>
      </c>
      <c r="Q156" s="1">
        <v>345143.78841275477</v>
      </c>
      <c r="R156" s="1">
        <v>345143.78841275477</v>
      </c>
      <c r="S156" s="1">
        <v>345143.78841275477</v>
      </c>
      <c r="T156" s="1">
        <v>345143.78841275477</v>
      </c>
      <c r="U156" s="1">
        <v>345143.78841275477</v>
      </c>
      <c r="V156" s="1">
        <v>345143.78841275477</v>
      </c>
      <c r="W156" s="4">
        <f t="shared" si="6"/>
        <v>3444535.0083592925</v>
      </c>
      <c r="X156" s="4">
        <f t="shared" si="6"/>
        <v>3444535.0083592925</v>
      </c>
      <c r="Y156" s="5">
        <f t="shared" si="5"/>
        <v>0.58216666666666661</v>
      </c>
    </row>
    <row r="157" spans="1:25" x14ac:dyDescent="0.25">
      <c r="A157" s="1" t="s">
        <v>78</v>
      </c>
      <c r="B157" s="1" t="s">
        <v>69</v>
      </c>
      <c r="C157" s="1" t="s">
        <v>28</v>
      </c>
      <c r="D157" s="1">
        <v>4476720.4074541563</v>
      </c>
      <c r="E157" s="1">
        <v>295463.54689197434</v>
      </c>
      <c r="F157" s="1">
        <v>295463.54689197434</v>
      </c>
      <c r="G157" s="1">
        <v>369329.43361496791</v>
      </c>
      <c r="H157" s="1">
        <v>369329.43361496791</v>
      </c>
      <c r="I157" s="1">
        <v>369329.43361496791</v>
      </c>
      <c r="J157" s="1">
        <v>369329.43361496791</v>
      </c>
      <c r="K157" s="1">
        <v>369329.43361496791</v>
      </c>
      <c r="L157" s="1">
        <v>369329.43361496791</v>
      </c>
      <c r="M157" s="1">
        <v>224955.20047457135</v>
      </c>
      <c r="N157" s="1">
        <v>224955.20047457135</v>
      </c>
      <c r="O157" s="1">
        <v>187462.66706214281</v>
      </c>
      <c r="P157" s="1">
        <v>187462.66706214281</v>
      </c>
      <c r="Q157" s="1">
        <v>262447.73388699989</v>
      </c>
      <c r="R157" s="1">
        <v>262447.73388699989</v>
      </c>
      <c r="S157" s="1">
        <v>262447.73388699989</v>
      </c>
      <c r="T157" s="1">
        <v>262447.73388699989</v>
      </c>
      <c r="U157" s="1">
        <v>262447.73388699989</v>
      </c>
      <c r="V157" s="1">
        <v>262447.73388699989</v>
      </c>
      <c r="W157" s="4">
        <f t="shared" si="6"/>
        <v>2603212.9169345917</v>
      </c>
      <c r="X157" s="4">
        <f t="shared" si="6"/>
        <v>2603212.9169345917</v>
      </c>
      <c r="Y157" s="5">
        <f t="shared" si="5"/>
        <v>0.58149999999999991</v>
      </c>
    </row>
    <row r="158" spans="1:25" x14ac:dyDescent="0.25">
      <c r="A158" s="1" t="s">
        <v>78</v>
      </c>
      <c r="B158" s="1" t="s">
        <v>70</v>
      </c>
      <c r="C158" s="1" t="s">
        <v>23</v>
      </c>
      <c r="D158" s="1">
        <v>6890625.0152343744</v>
      </c>
      <c r="E158" s="1">
        <v>454781.25100546872</v>
      </c>
      <c r="F158" s="1">
        <v>454781.25100546872</v>
      </c>
      <c r="G158" s="1">
        <v>568476.56375683588</v>
      </c>
      <c r="H158" s="1">
        <v>568476.56375683588</v>
      </c>
      <c r="I158" s="1">
        <v>568476.56375683588</v>
      </c>
      <c r="J158" s="1">
        <v>568476.56375683588</v>
      </c>
      <c r="K158" s="1">
        <v>568476.56375683588</v>
      </c>
      <c r="L158" s="1">
        <v>568476.56375683588</v>
      </c>
      <c r="M158" s="1">
        <v>346253.90701552731</v>
      </c>
      <c r="N158" s="1">
        <v>346253.90701552731</v>
      </c>
      <c r="O158" s="1">
        <v>288544.92251293943</v>
      </c>
      <c r="P158" s="1">
        <v>288544.92251293943</v>
      </c>
      <c r="Q158" s="1">
        <v>403962.89151811518</v>
      </c>
      <c r="R158" s="1">
        <v>403962.89151811518</v>
      </c>
      <c r="S158" s="1">
        <v>403962.89151811518</v>
      </c>
      <c r="T158" s="1">
        <v>403962.89151811518</v>
      </c>
      <c r="U158" s="1">
        <v>403962.89151811518</v>
      </c>
      <c r="V158" s="1">
        <v>403962.89151811518</v>
      </c>
      <c r="W158" s="4">
        <f t="shared" si="6"/>
        <v>4006898.4463587888</v>
      </c>
      <c r="X158" s="4">
        <f t="shared" si="6"/>
        <v>4006898.4463587888</v>
      </c>
      <c r="Y158" s="5">
        <f t="shared" si="5"/>
        <v>0.58150000000000002</v>
      </c>
    </row>
    <row r="159" spans="1:25" x14ac:dyDescent="0.25">
      <c r="A159" s="1" t="s">
        <v>78</v>
      </c>
      <c r="B159" s="1" t="s">
        <v>71</v>
      </c>
      <c r="C159" s="1" t="s">
        <v>29</v>
      </c>
      <c r="D159" s="1">
        <v>7477405.021153843</v>
      </c>
      <c r="E159" s="1">
        <v>493508.73139615369</v>
      </c>
      <c r="F159" s="1">
        <v>493508.73139615369</v>
      </c>
      <c r="G159" s="1">
        <v>616885.91424519208</v>
      </c>
      <c r="H159" s="1">
        <v>616885.91424519208</v>
      </c>
      <c r="I159" s="1">
        <v>616885.91424519208</v>
      </c>
      <c r="J159" s="1">
        <v>616885.91424519208</v>
      </c>
      <c r="K159" s="1">
        <v>616885.91424519208</v>
      </c>
      <c r="L159" s="1">
        <v>616885.91424519208</v>
      </c>
      <c r="M159" s="1">
        <v>375739.60231298063</v>
      </c>
      <c r="N159" s="1">
        <v>375739.60231298063</v>
      </c>
      <c r="O159" s="1">
        <v>313116.3352608172</v>
      </c>
      <c r="P159" s="1">
        <v>313116.3352608172</v>
      </c>
      <c r="Q159" s="1">
        <v>438362.86936514406</v>
      </c>
      <c r="R159" s="1">
        <v>438362.86936514406</v>
      </c>
      <c r="S159" s="1">
        <v>438362.86936514406</v>
      </c>
      <c r="T159" s="1">
        <v>438362.86936514406</v>
      </c>
      <c r="U159" s="1">
        <v>438362.86936514406</v>
      </c>
      <c r="V159" s="1">
        <v>438362.86936514406</v>
      </c>
      <c r="W159" s="4">
        <f t="shared" si="6"/>
        <v>4348111.0198009601</v>
      </c>
      <c r="X159" s="4">
        <f t="shared" si="6"/>
        <v>4348111.0198009601</v>
      </c>
      <c r="Y159" s="5">
        <f t="shared" si="5"/>
        <v>0.58150000000000002</v>
      </c>
    </row>
    <row r="160" spans="1:25" x14ac:dyDescent="0.25">
      <c r="A160" s="1" t="s">
        <v>78</v>
      </c>
      <c r="B160" s="1" t="s">
        <v>72</v>
      </c>
      <c r="C160" s="1" t="s">
        <v>73</v>
      </c>
      <c r="D160" s="1">
        <v>5924536.5364770135</v>
      </c>
      <c r="E160" s="1">
        <v>391019.41140748293</v>
      </c>
      <c r="F160" s="1">
        <v>391019.41140748293</v>
      </c>
      <c r="G160" s="1">
        <v>488774.26425935363</v>
      </c>
      <c r="H160" s="1">
        <v>488774.26425935363</v>
      </c>
      <c r="I160" s="1">
        <v>488774.26425935363</v>
      </c>
      <c r="J160" s="1">
        <v>488774.26425935363</v>
      </c>
      <c r="K160" s="1">
        <v>488774.26425935363</v>
      </c>
      <c r="L160" s="1">
        <v>488774.26425935363</v>
      </c>
      <c r="M160" s="1">
        <v>297707.96095796989</v>
      </c>
      <c r="N160" s="1">
        <v>297707.96095796989</v>
      </c>
      <c r="O160" s="1">
        <v>248089.96746497494</v>
      </c>
      <c r="P160" s="1">
        <v>248089.96746497494</v>
      </c>
      <c r="Q160" s="1">
        <v>347325.95445096487</v>
      </c>
      <c r="R160" s="1">
        <v>347325.95445096487</v>
      </c>
      <c r="S160" s="1">
        <v>347325.95445096487</v>
      </c>
      <c r="T160" s="1">
        <v>347325.95445096487</v>
      </c>
      <c r="U160" s="1">
        <v>347325.95445096487</v>
      </c>
      <c r="V160" s="1">
        <v>347325.95445096487</v>
      </c>
      <c r="W160" s="4">
        <f t="shared" si="6"/>
        <v>3445117.9959613835</v>
      </c>
      <c r="X160" s="4">
        <f t="shared" si="6"/>
        <v>3445117.9959613835</v>
      </c>
      <c r="Y160" s="5">
        <f t="shared" si="5"/>
        <v>0.58150000000000002</v>
      </c>
    </row>
    <row r="161" spans="1:25" x14ac:dyDescent="0.25">
      <c r="A161" s="1" t="s">
        <v>78</v>
      </c>
      <c r="B161" s="1" t="s">
        <v>48</v>
      </c>
      <c r="C161" s="1" t="s">
        <v>49</v>
      </c>
      <c r="D161" s="1">
        <v>4165631.1852441416</v>
      </c>
      <c r="E161" s="1">
        <v>274931.65822611336</v>
      </c>
      <c r="F161" s="1">
        <v>274931.65822611336</v>
      </c>
      <c r="G161" s="1">
        <v>343664.57278264168</v>
      </c>
      <c r="H161" s="1">
        <v>343664.57278264168</v>
      </c>
      <c r="I161" s="1">
        <v>343664.57278264168</v>
      </c>
      <c r="J161" s="1">
        <v>343664.57278264168</v>
      </c>
      <c r="K161" s="1">
        <v>343664.57278264168</v>
      </c>
      <c r="L161" s="1">
        <v>343664.57278264168</v>
      </c>
      <c r="M161" s="1">
        <v>209322.96705851809</v>
      </c>
      <c r="N161" s="1">
        <v>209322.96705851809</v>
      </c>
      <c r="O161" s="1">
        <v>174435.80588209842</v>
      </c>
      <c r="P161" s="1">
        <v>174435.80588209842</v>
      </c>
      <c r="Q161" s="1">
        <v>244210.12823493776</v>
      </c>
      <c r="R161" s="1">
        <v>244210.12823493776</v>
      </c>
      <c r="S161" s="1">
        <v>244210.12823493776</v>
      </c>
      <c r="T161" s="1">
        <v>244210.12823493776</v>
      </c>
      <c r="U161" s="1">
        <v>244210.12823493776</v>
      </c>
      <c r="V161" s="1">
        <v>244210.12823493776</v>
      </c>
      <c r="W161" s="4">
        <f t="shared" si="6"/>
        <v>2422314.534219468</v>
      </c>
      <c r="X161" s="4">
        <f t="shared" si="6"/>
        <v>2422314.534219468</v>
      </c>
      <c r="Y161" s="5">
        <f t="shared" si="5"/>
        <v>0.58149999999999991</v>
      </c>
    </row>
    <row r="162" spans="1:25" x14ac:dyDescent="0.25">
      <c r="A162" s="1" t="s">
        <v>78</v>
      </c>
      <c r="B162" s="1" t="s">
        <v>53</v>
      </c>
      <c r="C162" s="1" t="s">
        <v>30</v>
      </c>
      <c r="D162" s="1">
        <v>3286014.9262045375</v>
      </c>
      <c r="E162" s="1">
        <v>216876.98512949949</v>
      </c>
      <c r="F162" s="1">
        <v>216876.98512949949</v>
      </c>
      <c r="G162" s="1">
        <v>271096.23141187435</v>
      </c>
      <c r="H162" s="1">
        <v>271096.23141187435</v>
      </c>
      <c r="I162" s="1">
        <v>271096.23141187435</v>
      </c>
      <c r="J162" s="1">
        <v>271096.23141187435</v>
      </c>
      <c r="K162" s="1">
        <v>271096.23141187435</v>
      </c>
      <c r="L162" s="1">
        <v>271096.23141187435</v>
      </c>
      <c r="M162" s="1">
        <v>165122.250041778</v>
      </c>
      <c r="N162" s="1">
        <v>165122.250041778</v>
      </c>
      <c r="O162" s="1">
        <v>137601.87503481499</v>
      </c>
      <c r="P162" s="1">
        <v>137601.87503481499</v>
      </c>
      <c r="Q162" s="1">
        <v>192642.62504874097</v>
      </c>
      <c r="R162" s="1">
        <v>192642.62504874097</v>
      </c>
      <c r="S162" s="1">
        <v>192642.62504874097</v>
      </c>
      <c r="T162" s="1">
        <v>192642.62504874097</v>
      </c>
      <c r="U162" s="1">
        <v>192642.62504874097</v>
      </c>
      <c r="V162" s="1">
        <v>192642.62504874097</v>
      </c>
      <c r="W162" s="4">
        <f t="shared" si="6"/>
        <v>1910817.6795879384</v>
      </c>
      <c r="X162" s="4">
        <f t="shared" si="6"/>
        <v>1910817.6795879384</v>
      </c>
      <c r="Y162" s="5">
        <f t="shared" si="5"/>
        <v>0.58149999999999991</v>
      </c>
    </row>
    <row r="163" spans="1:25" x14ac:dyDescent="0.25">
      <c r="A163" s="1" t="s">
        <v>78</v>
      </c>
      <c r="B163" s="1" t="s">
        <v>74</v>
      </c>
      <c r="C163" s="1" t="s">
        <v>75</v>
      </c>
      <c r="D163" s="1">
        <v>7578400.1857873648</v>
      </c>
      <c r="E163" s="1">
        <v>500174.41226196609</v>
      </c>
      <c r="F163" s="1">
        <v>500174.41226196609</v>
      </c>
      <c r="G163" s="1">
        <v>625218.01532745757</v>
      </c>
      <c r="H163" s="1">
        <v>625218.01532745757</v>
      </c>
      <c r="I163" s="1">
        <v>625218.01532745757</v>
      </c>
      <c r="J163" s="1">
        <v>625218.01532745757</v>
      </c>
      <c r="K163" s="1">
        <v>625218.01532745757</v>
      </c>
      <c r="L163" s="1">
        <v>625218.01532745757</v>
      </c>
      <c r="M163" s="1">
        <v>380814.60933581507</v>
      </c>
      <c r="N163" s="1">
        <v>380814.60933581507</v>
      </c>
      <c r="O163" s="1">
        <v>317345.50777984591</v>
      </c>
      <c r="P163" s="1">
        <v>317345.50777984591</v>
      </c>
      <c r="Q163" s="1">
        <v>444283.71089178423</v>
      </c>
      <c r="R163" s="1">
        <v>444283.71089178423</v>
      </c>
      <c r="S163" s="1">
        <v>444283.71089178423</v>
      </c>
      <c r="T163" s="1">
        <v>444283.71089178423</v>
      </c>
      <c r="U163" s="1">
        <v>444283.71089178423</v>
      </c>
      <c r="V163" s="1">
        <v>444283.71089178423</v>
      </c>
      <c r="W163" s="4">
        <f t="shared" si="6"/>
        <v>4406839.7080353517</v>
      </c>
      <c r="X163" s="4">
        <f t="shared" si="6"/>
        <v>4406839.7080353517</v>
      </c>
      <c r="Y163" s="5">
        <f t="shared" si="5"/>
        <v>0.58149999999999991</v>
      </c>
    </row>
    <row r="164" spans="1:25" x14ac:dyDescent="0.25">
      <c r="A164" s="1" t="s">
        <v>78</v>
      </c>
      <c r="B164" s="1" t="s">
        <v>50</v>
      </c>
      <c r="C164" s="1" t="s">
        <v>25</v>
      </c>
      <c r="D164" s="1">
        <v>4373912.7445063479</v>
      </c>
      <c r="E164" s="1">
        <v>288678.24113741901</v>
      </c>
      <c r="F164" s="1">
        <v>288678.24113741901</v>
      </c>
      <c r="G164" s="1">
        <v>360847.80142177374</v>
      </c>
      <c r="H164" s="1">
        <v>360847.80142177374</v>
      </c>
      <c r="I164" s="1">
        <v>360847.80142177374</v>
      </c>
      <c r="J164" s="1">
        <v>360847.80142177374</v>
      </c>
      <c r="K164" s="1">
        <v>360847.80142177374</v>
      </c>
      <c r="L164" s="1">
        <v>360847.80142177374</v>
      </c>
      <c r="M164" s="1">
        <v>219789.11541144396</v>
      </c>
      <c r="N164" s="1">
        <v>219789.11541144396</v>
      </c>
      <c r="O164" s="1">
        <v>183157.59617620331</v>
      </c>
      <c r="P164" s="1">
        <v>183157.59617620331</v>
      </c>
      <c r="Q164" s="1">
        <v>256420.63464668463</v>
      </c>
      <c r="R164" s="1">
        <v>256420.63464668463</v>
      </c>
      <c r="S164" s="1">
        <v>256420.63464668463</v>
      </c>
      <c r="T164" s="1">
        <v>256420.63464668463</v>
      </c>
      <c r="U164" s="1">
        <v>256420.63464668463</v>
      </c>
      <c r="V164" s="1">
        <v>256420.63464668463</v>
      </c>
      <c r="W164" s="4">
        <f t="shared" si="6"/>
        <v>2543430.2609304409</v>
      </c>
      <c r="X164" s="4">
        <f t="shared" si="6"/>
        <v>2543430.2609304409</v>
      </c>
      <c r="Y164" s="5">
        <f t="shared" si="5"/>
        <v>0.58149999999999991</v>
      </c>
    </row>
    <row r="165" spans="1:25" x14ac:dyDescent="0.25">
      <c r="A165" s="1" t="s">
        <v>79</v>
      </c>
      <c r="B165" s="1" t="s">
        <v>59</v>
      </c>
      <c r="C165" s="1" t="s">
        <v>26</v>
      </c>
      <c r="D165" s="1">
        <v>37402692</v>
      </c>
      <c r="E165" s="1">
        <v>3402229.2049383568</v>
      </c>
      <c r="F165" s="1">
        <v>3402229.2049383568</v>
      </c>
      <c r="G165" s="1">
        <v>4252786.5061729457</v>
      </c>
      <c r="H165" s="1">
        <v>4252786.5061729457</v>
      </c>
      <c r="I165" s="1">
        <v>4252786.5061729457</v>
      </c>
      <c r="J165" s="1">
        <v>4252786.5061729457</v>
      </c>
      <c r="K165" s="1">
        <v>4252786.5061729457</v>
      </c>
      <c r="L165" s="1">
        <v>4252786.5061729457</v>
      </c>
      <c r="M165" s="1">
        <v>2548943.2469135262</v>
      </c>
      <c r="N165" s="1">
        <v>2548943.2469135262</v>
      </c>
      <c r="O165" s="1">
        <v>2548943.2469135262</v>
      </c>
      <c r="P165" s="1">
        <v>2548943.2469135262</v>
      </c>
      <c r="Q165" s="1">
        <v>2548943.2469135262</v>
      </c>
      <c r="R165" s="1">
        <v>2548943.2469135262</v>
      </c>
      <c r="S165" s="1">
        <v>2548943.2469135262</v>
      </c>
      <c r="T165" s="1">
        <v>2548943.2469135262</v>
      </c>
      <c r="U165" s="1">
        <v>2548943.2469135262</v>
      </c>
      <c r="V165" s="1">
        <v>2548943.2469135262</v>
      </c>
      <c r="W165" s="4">
        <f t="shared" si="6"/>
        <v>28905304.958024826</v>
      </c>
      <c r="X165" s="4">
        <f t="shared" si="6"/>
        <v>28905304.958024826</v>
      </c>
      <c r="Y165" s="5">
        <f t="shared" si="5"/>
        <v>0.77281349048418291</v>
      </c>
    </row>
    <row r="166" spans="1:25" x14ac:dyDescent="0.25">
      <c r="A166" s="1" t="s">
        <v>79</v>
      </c>
      <c r="B166" s="1" t="s">
        <v>59</v>
      </c>
      <c r="C166" s="1" t="s">
        <v>26</v>
      </c>
      <c r="D166" s="1">
        <v>14146235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7073117.5</v>
      </c>
      <c r="N166" s="1">
        <v>7073117.5</v>
      </c>
      <c r="O166" s="1">
        <v>7073117.5</v>
      </c>
      <c r="P166" s="1">
        <v>7073117.5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4">
        <f t="shared" si="6"/>
        <v>14146235</v>
      </c>
      <c r="X166" s="4">
        <f t="shared" si="6"/>
        <v>14146235</v>
      </c>
      <c r="Y166" s="5">
        <f t="shared" si="5"/>
        <v>1</v>
      </c>
    </row>
    <row r="167" spans="1:25" x14ac:dyDescent="0.25">
      <c r="A167" s="1" t="s">
        <v>79</v>
      </c>
      <c r="B167" s="1" t="s">
        <v>33</v>
      </c>
      <c r="C167" s="1" t="s">
        <v>34</v>
      </c>
      <c r="D167" s="1">
        <v>60000000</v>
      </c>
      <c r="E167" s="1">
        <v>0</v>
      </c>
      <c r="F167" s="1">
        <v>0</v>
      </c>
      <c r="G167" s="1">
        <v>12000000</v>
      </c>
      <c r="H167" s="1">
        <v>12000000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18000000</v>
      </c>
      <c r="P167" s="1">
        <v>18000000</v>
      </c>
      <c r="Q167" s="1">
        <v>0</v>
      </c>
      <c r="R167" s="1">
        <v>0</v>
      </c>
      <c r="S167" s="1">
        <v>18000000</v>
      </c>
      <c r="T167" s="1">
        <v>18000000</v>
      </c>
      <c r="U167" s="1">
        <v>12000000</v>
      </c>
      <c r="V167" s="1">
        <v>12000000</v>
      </c>
      <c r="W167" s="4">
        <f t="shared" si="6"/>
        <v>60000000</v>
      </c>
      <c r="X167" s="4">
        <f t="shared" si="6"/>
        <v>60000000</v>
      </c>
      <c r="Y167" s="5">
        <f t="shared" si="5"/>
        <v>1</v>
      </c>
    </row>
    <row r="168" spans="1:25" x14ac:dyDescent="0.25">
      <c r="A168" s="1" t="s">
        <v>79</v>
      </c>
      <c r="B168" s="1" t="s">
        <v>35</v>
      </c>
      <c r="C168" s="1" t="s">
        <v>34</v>
      </c>
      <c r="D168" s="1">
        <v>150000000</v>
      </c>
      <c r="E168" s="1">
        <v>0</v>
      </c>
      <c r="F168" s="1">
        <v>0</v>
      </c>
      <c r="G168" s="1">
        <v>41250000</v>
      </c>
      <c r="H168" s="1">
        <v>41250000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36250000</v>
      </c>
      <c r="P168" s="1">
        <v>36250000</v>
      </c>
      <c r="Q168" s="1">
        <v>0</v>
      </c>
      <c r="R168" s="1">
        <v>0</v>
      </c>
      <c r="S168" s="1">
        <v>36250000</v>
      </c>
      <c r="T168" s="1">
        <v>36250000</v>
      </c>
      <c r="U168" s="1">
        <v>36250000</v>
      </c>
      <c r="V168" s="1">
        <v>36250000</v>
      </c>
      <c r="W168" s="4">
        <f t="shared" si="6"/>
        <v>150000000</v>
      </c>
      <c r="X168" s="4">
        <f t="shared" si="6"/>
        <v>150000000</v>
      </c>
      <c r="Y168" s="5">
        <f t="shared" si="5"/>
        <v>1</v>
      </c>
    </row>
    <row r="169" spans="1:25" x14ac:dyDescent="0.25">
      <c r="A169" s="1" t="s">
        <v>79</v>
      </c>
      <c r="B169" s="1" t="s">
        <v>38</v>
      </c>
      <c r="C169" s="1" t="s">
        <v>39</v>
      </c>
      <c r="D169" s="1">
        <v>6108825.1405430408</v>
      </c>
      <c r="E169" s="1">
        <v>403182.45927584078</v>
      </c>
      <c r="F169" s="1">
        <v>403182.45927584078</v>
      </c>
      <c r="G169" s="1">
        <v>503978.07409480092</v>
      </c>
      <c r="H169" s="1">
        <v>503978.07409480092</v>
      </c>
      <c r="I169" s="1">
        <v>503978.07409480092</v>
      </c>
      <c r="J169" s="1">
        <v>503978.07409480092</v>
      </c>
      <c r="K169" s="1">
        <v>503978.07409480092</v>
      </c>
      <c r="L169" s="1">
        <v>503978.07409480092</v>
      </c>
      <c r="M169" s="1">
        <v>306968.4633122877</v>
      </c>
      <c r="N169" s="1">
        <v>306968.4633122877</v>
      </c>
      <c r="O169" s="1">
        <v>255807.05276023978</v>
      </c>
      <c r="P169" s="1">
        <v>255807.05276023978</v>
      </c>
      <c r="Q169" s="1">
        <v>358129.87386433565</v>
      </c>
      <c r="R169" s="1">
        <v>358129.87386433565</v>
      </c>
      <c r="S169" s="1">
        <v>358129.87386433565</v>
      </c>
      <c r="T169" s="1">
        <v>358129.87386433565</v>
      </c>
      <c r="U169" s="1">
        <v>358129.87386433565</v>
      </c>
      <c r="V169" s="1">
        <v>358129.87386433565</v>
      </c>
      <c r="W169" s="4">
        <f t="shared" si="6"/>
        <v>3552281.8192257774</v>
      </c>
      <c r="X169" s="4">
        <f t="shared" si="6"/>
        <v>3552281.8192257774</v>
      </c>
      <c r="Y169" s="5">
        <f t="shared" si="5"/>
        <v>0.58149999999999991</v>
      </c>
    </row>
    <row r="170" spans="1:25" x14ac:dyDescent="0.25">
      <c r="A170" s="1" t="s">
        <v>79</v>
      </c>
      <c r="B170" s="1" t="s">
        <v>61</v>
      </c>
      <c r="C170" s="1" t="s">
        <v>34</v>
      </c>
      <c r="D170" s="1">
        <v>85357467</v>
      </c>
      <c r="E170" s="1">
        <v>0</v>
      </c>
      <c r="F170" s="1">
        <v>0</v>
      </c>
      <c r="G170" s="1">
        <v>6828597.3592222091</v>
      </c>
      <c r="H170" s="1">
        <v>6828597.3592222091</v>
      </c>
      <c r="I170" s="1">
        <v>0</v>
      </c>
      <c r="J170" s="1">
        <v>0</v>
      </c>
      <c r="K170" s="1">
        <v>0</v>
      </c>
      <c r="L170" s="1">
        <v>0</v>
      </c>
      <c r="M170" s="1">
        <v>19632217.410194449</v>
      </c>
      <c r="N170" s="1">
        <v>19632217.410194449</v>
      </c>
      <c r="O170" s="1">
        <v>0</v>
      </c>
      <c r="P170" s="1">
        <v>0</v>
      </c>
      <c r="Q170" s="1">
        <v>0</v>
      </c>
      <c r="R170" s="1">
        <v>0</v>
      </c>
      <c r="S170" s="1">
        <v>29448326.115291674</v>
      </c>
      <c r="T170" s="1">
        <v>29448326.115291674</v>
      </c>
      <c r="U170" s="1">
        <v>0</v>
      </c>
      <c r="V170" s="1">
        <v>0</v>
      </c>
      <c r="W170" s="4">
        <f t="shared" si="6"/>
        <v>55909140.884708337</v>
      </c>
      <c r="X170" s="4">
        <f t="shared" si="6"/>
        <v>55909140.884708337</v>
      </c>
      <c r="Y170" s="5">
        <f t="shared" si="5"/>
        <v>0.65499999999658309</v>
      </c>
    </row>
    <row r="171" spans="1:25" x14ac:dyDescent="0.25">
      <c r="A171" s="1" t="s">
        <v>79</v>
      </c>
      <c r="B171" s="1" t="s">
        <v>62</v>
      </c>
      <c r="C171" s="1" t="s">
        <v>63</v>
      </c>
      <c r="D171" s="1">
        <v>23642857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1773214.2857142857</v>
      </c>
      <c r="N171" s="1">
        <v>1773214.2857142857</v>
      </c>
      <c r="O171" s="1">
        <v>1477678.5714285714</v>
      </c>
      <c r="P171" s="1">
        <v>1477678.5714285714</v>
      </c>
      <c r="Q171" s="1">
        <v>2068749.9999999998</v>
      </c>
      <c r="R171" s="1">
        <v>2068749.9999999998</v>
      </c>
      <c r="S171" s="1">
        <v>2068749.9999999998</v>
      </c>
      <c r="T171" s="1">
        <v>2068749.9999999998</v>
      </c>
      <c r="U171" s="1">
        <v>2068749.9999999998</v>
      </c>
      <c r="V171" s="1">
        <v>2068749.9999999998</v>
      </c>
      <c r="W171" s="4">
        <f t="shared" si="6"/>
        <v>9457142.8571428563</v>
      </c>
      <c r="X171" s="4">
        <f t="shared" si="6"/>
        <v>9457142.8571428563</v>
      </c>
      <c r="Y171" s="5">
        <f t="shared" si="5"/>
        <v>0.40000000241691841</v>
      </c>
    </row>
    <row r="172" spans="1:25" x14ac:dyDescent="0.25">
      <c r="A172" s="1" t="s">
        <v>79</v>
      </c>
      <c r="B172" s="1" t="s">
        <v>40</v>
      </c>
      <c r="C172" s="1" t="s">
        <v>27</v>
      </c>
      <c r="D172" s="1">
        <v>70185360</v>
      </c>
      <c r="E172" s="1">
        <v>6141160</v>
      </c>
      <c r="F172" s="1">
        <v>6141160</v>
      </c>
      <c r="G172" s="1">
        <v>8248259</v>
      </c>
      <c r="H172" s="1">
        <v>8248259</v>
      </c>
      <c r="I172" s="1">
        <v>12151848</v>
      </c>
      <c r="J172" s="1">
        <v>12151848</v>
      </c>
      <c r="K172" s="1">
        <v>3511296</v>
      </c>
      <c r="L172" s="1">
        <v>3511296</v>
      </c>
      <c r="M172" s="1">
        <v>0</v>
      </c>
      <c r="N172" s="1">
        <v>0</v>
      </c>
      <c r="O172" s="1">
        <v>14457213</v>
      </c>
      <c r="P172" s="1">
        <v>14457213</v>
      </c>
      <c r="Q172" s="1">
        <v>6580998</v>
      </c>
      <c r="R172" s="1">
        <v>6580998</v>
      </c>
      <c r="S172" s="1">
        <v>4823559</v>
      </c>
      <c r="T172" s="1">
        <v>4823559</v>
      </c>
      <c r="U172" s="1">
        <v>2430650</v>
      </c>
      <c r="V172" s="1">
        <v>2430650</v>
      </c>
      <c r="W172" s="4">
        <f t="shared" si="6"/>
        <v>58344983</v>
      </c>
      <c r="X172" s="4">
        <f t="shared" si="6"/>
        <v>58344983</v>
      </c>
      <c r="Y172" s="5">
        <f t="shared" si="5"/>
        <v>0.83129847877107133</v>
      </c>
    </row>
    <row r="173" spans="1:25" x14ac:dyDescent="0.25">
      <c r="A173" s="1" t="s">
        <v>79</v>
      </c>
      <c r="B173" s="1" t="s">
        <v>40</v>
      </c>
      <c r="C173" s="1" t="s">
        <v>27</v>
      </c>
      <c r="D173" s="1">
        <v>159086491</v>
      </c>
      <c r="E173" s="1">
        <v>0</v>
      </c>
      <c r="F173" s="1">
        <v>0</v>
      </c>
      <c r="G173" s="1">
        <v>30209716.009841815</v>
      </c>
      <c r="H173" s="1">
        <v>30209716.009841815</v>
      </c>
      <c r="I173" s="1">
        <v>0</v>
      </c>
      <c r="J173" s="1">
        <v>0</v>
      </c>
      <c r="K173" s="1">
        <v>0</v>
      </c>
      <c r="L173" s="1">
        <v>0</v>
      </c>
      <c r="M173" s="1">
        <v>84971081.242618635</v>
      </c>
      <c r="N173" s="1">
        <v>84971081.242618635</v>
      </c>
      <c r="O173" s="1">
        <v>43905693.74753955</v>
      </c>
      <c r="P173" s="1">
        <v>43905693.74753955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4">
        <f t="shared" si="6"/>
        <v>159086491</v>
      </c>
      <c r="X173" s="4">
        <f t="shared" si="6"/>
        <v>159086491</v>
      </c>
      <c r="Y173" s="5">
        <f t="shared" si="5"/>
        <v>1</v>
      </c>
    </row>
    <row r="174" spans="1:25" x14ac:dyDescent="0.25">
      <c r="A174" s="1" t="s">
        <v>79</v>
      </c>
      <c r="B174" s="1" t="s">
        <v>40</v>
      </c>
      <c r="C174" s="1" t="s">
        <v>27</v>
      </c>
      <c r="D174" s="1">
        <v>22981242</v>
      </c>
      <c r="E174" s="1">
        <v>0</v>
      </c>
      <c r="F174" s="1">
        <v>0</v>
      </c>
      <c r="G174" s="1">
        <v>0</v>
      </c>
      <c r="H174" s="1">
        <v>0</v>
      </c>
      <c r="I174" s="1">
        <v>22981242</v>
      </c>
      <c r="J174" s="1">
        <v>22981242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4">
        <f t="shared" si="6"/>
        <v>22981242</v>
      </c>
      <c r="X174" s="4">
        <f t="shared" si="6"/>
        <v>22981242</v>
      </c>
      <c r="Y174" s="5">
        <f t="shared" si="5"/>
        <v>1</v>
      </c>
    </row>
    <row r="175" spans="1:25" x14ac:dyDescent="0.25">
      <c r="A175" s="1" t="s">
        <v>79</v>
      </c>
      <c r="B175" s="1" t="s">
        <v>43</v>
      </c>
      <c r="C175" s="1" t="s">
        <v>31</v>
      </c>
      <c r="D175" s="1">
        <v>7859473</v>
      </c>
      <c r="E175" s="1">
        <v>456544.21166676865</v>
      </c>
      <c r="F175" s="1">
        <v>456544.21166676865</v>
      </c>
      <c r="G175" s="1">
        <v>570680.26458346075</v>
      </c>
      <c r="H175" s="1">
        <v>570680.26458346075</v>
      </c>
      <c r="I175" s="1">
        <v>570680.26458346075</v>
      </c>
      <c r="J175" s="1">
        <v>570680.26458346075</v>
      </c>
      <c r="K175" s="1">
        <v>570680.26458346075</v>
      </c>
      <c r="L175" s="1">
        <v>570680.26458346075</v>
      </c>
      <c r="M175" s="1">
        <v>424343.33471062168</v>
      </c>
      <c r="N175" s="1">
        <v>424343.33471062168</v>
      </c>
      <c r="O175" s="1">
        <v>353619.44559218473</v>
      </c>
      <c r="P175" s="1">
        <v>353619.44559218473</v>
      </c>
      <c r="Q175" s="1">
        <v>438255.79236289888</v>
      </c>
      <c r="R175" s="1">
        <v>438255.79236289888</v>
      </c>
      <c r="S175" s="1">
        <v>495067.22382905858</v>
      </c>
      <c r="T175" s="1">
        <v>495067.22382905858</v>
      </c>
      <c r="U175" s="1">
        <v>495067.22382905858</v>
      </c>
      <c r="V175" s="1">
        <v>495067.22382905858</v>
      </c>
      <c r="W175" s="4">
        <f t="shared" si="6"/>
        <v>4374938.0257409737</v>
      </c>
      <c r="X175" s="4">
        <f t="shared" si="6"/>
        <v>4374938.0257409737</v>
      </c>
      <c r="Y175" s="5">
        <f t="shared" si="5"/>
        <v>0.55664521345654772</v>
      </c>
    </row>
    <row r="176" spans="1:25" x14ac:dyDescent="0.25">
      <c r="A176" s="1" t="s">
        <v>79</v>
      </c>
      <c r="B176" s="1" t="s">
        <v>64</v>
      </c>
      <c r="C176" s="1" t="s">
        <v>23</v>
      </c>
      <c r="D176" s="1">
        <v>4726877.4383487087</v>
      </c>
      <c r="E176" s="1">
        <v>311973.91093101481</v>
      </c>
      <c r="F176" s="1">
        <v>311973.91093101481</v>
      </c>
      <c r="G176" s="1">
        <v>389967.38866376848</v>
      </c>
      <c r="H176" s="1">
        <v>389967.38866376848</v>
      </c>
      <c r="I176" s="1">
        <v>389967.38866376848</v>
      </c>
      <c r="J176" s="1">
        <v>389967.38866376848</v>
      </c>
      <c r="K176" s="1">
        <v>389967.38866376848</v>
      </c>
      <c r="L176" s="1">
        <v>389967.38866376848</v>
      </c>
      <c r="M176" s="1">
        <v>237525.59127702258</v>
      </c>
      <c r="N176" s="1">
        <v>237525.59127702258</v>
      </c>
      <c r="O176" s="1">
        <v>197937.99273085216</v>
      </c>
      <c r="P176" s="1">
        <v>197937.99273085216</v>
      </c>
      <c r="Q176" s="1">
        <v>277113.18982319301</v>
      </c>
      <c r="R176" s="1">
        <v>277113.18982319301</v>
      </c>
      <c r="S176" s="1">
        <v>277113.18982319301</v>
      </c>
      <c r="T176" s="1">
        <v>277113.18982319301</v>
      </c>
      <c r="U176" s="1">
        <v>277113.18982319301</v>
      </c>
      <c r="V176" s="1">
        <v>277113.18982319301</v>
      </c>
      <c r="W176" s="4">
        <f t="shared" si="6"/>
        <v>2748679.2303997744</v>
      </c>
      <c r="X176" s="4">
        <f t="shared" si="6"/>
        <v>2748679.2303997744</v>
      </c>
      <c r="Y176" s="5">
        <f t="shared" si="5"/>
        <v>0.58150000000000002</v>
      </c>
    </row>
    <row r="177" spans="1:25" x14ac:dyDescent="0.25">
      <c r="A177" s="1" t="s">
        <v>79</v>
      </c>
      <c r="B177" s="1" t="s">
        <v>65</v>
      </c>
      <c r="C177" s="1" t="s">
        <v>31</v>
      </c>
      <c r="D177" s="1">
        <v>7962788.4942269195</v>
      </c>
      <c r="E177" s="1">
        <v>525544.04061897669</v>
      </c>
      <c r="F177" s="1">
        <v>525544.04061897669</v>
      </c>
      <c r="G177" s="1">
        <v>656930.05077372084</v>
      </c>
      <c r="H177" s="1">
        <v>656930.05077372084</v>
      </c>
      <c r="I177" s="1">
        <v>656930.05077372084</v>
      </c>
      <c r="J177" s="1">
        <v>656930.05077372084</v>
      </c>
      <c r="K177" s="1">
        <v>656930.05077372084</v>
      </c>
      <c r="L177" s="1">
        <v>656930.05077372084</v>
      </c>
      <c r="M177" s="1">
        <v>400130.12183490273</v>
      </c>
      <c r="N177" s="1">
        <v>400130.12183490273</v>
      </c>
      <c r="O177" s="1">
        <v>333441.76819575229</v>
      </c>
      <c r="P177" s="1">
        <v>333441.76819575229</v>
      </c>
      <c r="Q177" s="1">
        <v>466818.47547405318</v>
      </c>
      <c r="R177" s="1">
        <v>466818.47547405318</v>
      </c>
      <c r="S177" s="1">
        <v>466818.47547405318</v>
      </c>
      <c r="T177" s="1">
        <v>466818.47547405318</v>
      </c>
      <c r="U177" s="1">
        <v>466818.47547405318</v>
      </c>
      <c r="V177" s="1">
        <v>466818.47547405318</v>
      </c>
      <c r="W177" s="4">
        <f t="shared" si="6"/>
        <v>4630361.5093929535</v>
      </c>
      <c r="X177" s="4">
        <f t="shared" si="6"/>
        <v>4630361.5093929535</v>
      </c>
      <c r="Y177" s="5">
        <f t="shared" si="5"/>
        <v>0.58150000000000002</v>
      </c>
    </row>
    <row r="178" spans="1:25" x14ac:dyDescent="0.25">
      <c r="A178" s="1" t="s">
        <v>79</v>
      </c>
      <c r="B178" s="1" t="s">
        <v>44</v>
      </c>
      <c r="C178" s="1" t="s">
        <v>45</v>
      </c>
      <c r="D178" s="1">
        <v>6108825.1405430408</v>
      </c>
      <c r="E178" s="1">
        <v>403182.45927584078</v>
      </c>
      <c r="F178" s="1">
        <v>403182.45927584078</v>
      </c>
      <c r="G178" s="1">
        <v>503978.07409480092</v>
      </c>
      <c r="H178" s="1">
        <v>503978.07409480092</v>
      </c>
      <c r="I178" s="1">
        <v>503978.07409480092</v>
      </c>
      <c r="J178" s="1">
        <v>503978.07409480092</v>
      </c>
      <c r="K178" s="1">
        <v>503978.07409480092</v>
      </c>
      <c r="L178" s="1">
        <v>503978.07409480092</v>
      </c>
      <c r="M178" s="1">
        <v>306968.4633122877</v>
      </c>
      <c r="N178" s="1">
        <v>306968.4633122877</v>
      </c>
      <c r="O178" s="1">
        <v>255807.05276023978</v>
      </c>
      <c r="P178" s="1">
        <v>255807.05276023978</v>
      </c>
      <c r="Q178" s="1">
        <v>358129.87386433565</v>
      </c>
      <c r="R178" s="1">
        <v>358129.87386433565</v>
      </c>
      <c r="S178" s="1">
        <v>358129.87386433565</v>
      </c>
      <c r="T178" s="1">
        <v>358129.87386433565</v>
      </c>
      <c r="U178" s="1">
        <v>358129.87386433565</v>
      </c>
      <c r="V178" s="1">
        <v>358129.87386433565</v>
      </c>
      <c r="W178" s="4">
        <f t="shared" si="6"/>
        <v>3552281.8192257774</v>
      </c>
      <c r="X178" s="4">
        <f t="shared" si="6"/>
        <v>3552281.8192257774</v>
      </c>
      <c r="Y178" s="5">
        <f t="shared" si="5"/>
        <v>0.58149999999999991</v>
      </c>
    </row>
    <row r="179" spans="1:25" x14ac:dyDescent="0.25">
      <c r="A179" s="1" t="s">
        <v>79</v>
      </c>
      <c r="B179" s="1" t="s">
        <v>46</v>
      </c>
      <c r="C179" s="1" t="s">
        <v>22</v>
      </c>
      <c r="D179" s="1">
        <v>50164877.326156586</v>
      </c>
      <c r="E179" s="1">
        <v>3313983.2972743982</v>
      </c>
      <c r="F179" s="1">
        <v>3313983.2972743982</v>
      </c>
      <c r="G179" s="1">
        <v>4142479.1215929976</v>
      </c>
      <c r="H179" s="1">
        <v>4142479.1215929976</v>
      </c>
      <c r="I179" s="1">
        <v>4142479.1215929976</v>
      </c>
      <c r="J179" s="1">
        <v>4142479.1215929976</v>
      </c>
      <c r="K179" s="1">
        <v>4142479.1215929976</v>
      </c>
      <c r="L179" s="1">
        <v>4142479.1215929976</v>
      </c>
      <c r="M179" s="1">
        <v>2599269.45049936</v>
      </c>
      <c r="N179" s="1">
        <v>2599269.45049936</v>
      </c>
      <c r="O179" s="1">
        <v>2113698.6111918036</v>
      </c>
      <c r="P179" s="1">
        <v>2113698.6111918036</v>
      </c>
      <c r="Q179" s="1">
        <v>2893390.940555125</v>
      </c>
      <c r="R179" s="1">
        <v>2893390.940555125</v>
      </c>
      <c r="S179" s="1">
        <v>2926284.513208596</v>
      </c>
      <c r="T179" s="1">
        <v>2926284.513208596</v>
      </c>
      <c r="U179" s="1">
        <v>2926284.513208596</v>
      </c>
      <c r="V179" s="1">
        <v>2926284.513208596</v>
      </c>
      <c r="W179" s="4">
        <f t="shared" si="6"/>
        <v>29200348.690716874</v>
      </c>
      <c r="X179" s="4">
        <f t="shared" si="6"/>
        <v>29200348.690716874</v>
      </c>
      <c r="Y179" s="5">
        <f t="shared" si="5"/>
        <v>0.58208751315916107</v>
      </c>
    </row>
    <row r="180" spans="1:25" x14ac:dyDescent="0.25">
      <c r="A180" s="1" t="s">
        <v>79</v>
      </c>
      <c r="B180" s="1" t="s">
        <v>66</v>
      </c>
      <c r="C180" s="1" t="s">
        <v>24</v>
      </c>
      <c r="D180" s="1">
        <v>195577939.716732</v>
      </c>
      <c r="E180" s="1">
        <v>16135180.02663039</v>
      </c>
      <c r="F180" s="1">
        <v>16135180.02663039</v>
      </c>
      <c r="G180" s="1">
        <v>16135180.02663039</v>
      </c>
      <c r="H180" s="1">
        <v>16135180.02663039</v>
      </c>
      <c r="I180" s="1">
        <v>16135180.02663039</v>
      </c>
      <c r="J180" s="1">
        <v>16135180.02663039</v>
      </c>
      <c r="K180" s="1">
        <v>16135180.02663039</v>
      </c>
      <c r="L180" s="1">
        <v>16135180.02663039</v>
      </c>
      <c r="M180" s="1">
        <v>16957208.953478429</v>
      </c>
      <c r="N180" s="1">
        <v>16957208.953478429</v>
      </c>
      <c r="O180" s="1">
        <v>14143242.92</v>
      </c>
      <c r="P180" s="1">
        <v>14143242.92</v>
      </c>
      <c r="Q180" s="1">
        <v>17290864.77</v>
      </c>
      <c r="R180" s="1">
        <v>17290864.77</v>
      </c>
      <c r="S180" s="1">
        <v>15498235.92</v>
      </c>
      <c r="T180" s="1">
        <v>15498235.92</v>
      </c>
      <c r="U180" s="1">
        <v>21632530.79000001</v>
      </c>
      <c r="V180" s="1">
        <v>21632530.79000001</v>
      </c>
      <c r="W180" s="4">
        <f t="shared" si="6"/>
        <v>150062803.45999998</v>
      </c>
      <c r="X180" s="4">
        <f t="shared" si="6"/>
        <v>150062803.45999998</v>
      </c>
      <c r="Y180" s="5">
        <f t="shared" si="5"/>
        <v>0.76727878245033931</v>
      </c>
    </row>
    <row r="181" spans="1:25" x14ac:dyDescent="0.25">
      <c r="A181" s="1" t="s">
        <v>79</v>
      </c>
      <c r="B181" s="1" t="s">
        <v>67</v>
      </c>
      <c r="C181" s="1" t="s">
        <v>68</v>
      </c>
      <c r="D181" s="1">
        <v>5916750.6585043678</v>
      </c>
      <c r="E181" s="1">
        <v>390505.54346128833</v>
      </c>
      <c r="F181" s="1">
        <v>390505.54346128833</v>
      </c>
      <c r="G181" s="1">
        <v>488131.92932661035</v>
      </c>
      <c r="H181" s="1">
        <v>488131.92932661035</v>
      </c>
      <c r="I181" s="1">
        <v>488131.92932661035</v>
      </c>
      <c r="J181" s="1">
        <v>488131.92932661035</v>
      </c>
      <c r="K181" s="1">
        <v>488131.92932661035</v>
      </c>
      <c r="L181" s="1">
        <v>488131.92932661035</v>
      </c>
      <c r="M181" s="1">
        <v>307671.03424222715</v>
      </c>
      <c r="N181" s="1">
        <v>307671.03424222715</v>
      </c>
      <c r="O181" s="1">
        <v>246531.277437682</v>
      </c>
      <c r="P181" s="1">
        <v>246531.277437682</v>
      </c>
      <c r="Q181" s="1">
        <v>345143.78841275477</v>
      </c>
      <c r="R181" s="1">
        <v>345143.78841275477</v>
      </c>
      <c r="S181" s="1">
        <v>345143.78841275477</v>
      </c>
      <c r="T181" s="1">
        <v>345143.78841275477</v>
      </c>
      <c r="U181" s="1">
        <v>345143.78841275477</v>
      </c>
      <c r="V181" s="1">
        <v>345143.78841275477</v>
      </c>
      <c r="W181" s="4">
        <f t="shared" si="6"/>
        <v>3444535.0083592925</v>
      </c>
      <c r="X181" s="4">
        <f t="shared" si="6"/>
        <v>3444535.0083592925</v>
      </c>
      <c r="Y181" s="5">
        <f t="shared" si="5"/>
        <v>0.58216666666666661</v>
      </c>
    </row>
    <row r="182" spans="1:25" x14ac:dyDescent="0.25">
      <c r="A182" s="1" t="s">
        <v>79</v>
      </c>
      <c r="B182" s="1" t="s">
        <v>69</v>
      </c>
      <c r="C182" s="1" t="s">
        <v>28</v>
      </c>
      <c r="D182" s="1">
        <v>7176495.5038690381</v>
      </c>
      <c r="E182" s="1">
        <v>473648.70325535658</v>
      </c>
      <c r="F182" s="1">
        <v>473648.70325535658</v>
      </c>
      <c r="G182" s="1">
        <v>592060.87906919571</v>
      </c>
      <c r="H182" s="1">
        <v>592060.87906919571</v>
      </c>
      <c r="I182" s="1">
        <v>592060.87906919571</v>
      </c>
      <c r="J182" s="1">
        <v>592060.87906919571</v>
      </c>
      <c r="K182" s="1">
        <v>592060.87906919571</v>
      </c>
      <c r="L182" s="1">
        <v>592060.87906919571</v>
      </c>
      <c r="M182" s="1">
        <v>360618.89906941919</v>
      </c>
      <c r="N182" s="1">
        <v>360618.89906941919</v>
      </c>
      <c r="O182" s="1">
        <v>300515.74922451598</v>
      </c>
      <c r="P182" s="1">
        <v>300515.74922451598</v>
      </c>
      <c r="Q182" s="1">
        <v>420722.04891432234</v>
      </c>
      <c r="R182" s="1">
        <v>420722.04891432234</v>
      </c>
      <c r="S182" s="1">
        <v>420722.04891432234</v>
      </c>
      <c r="T182" s="1">
        <v>420722.04891432234</v>
      </c>
      <c r="U182" s="1">
        <v>420722.04891432234</v>
      </c>
      <c r="V182" s="1">
        <v>420722.04891432234</v>
      </c>
      <c r="W182" s="4">
        <f t="shared" si="6"/>
        <v>4173132.1354998457</v>
      </c>
      <c r="X182" s="4">
        <f t="shared" si="6"/>
        <v>4173132.1354998457</v>
      </c>
      <c r="Y182" s="5">
        <f t="shared" si="5"/>
        <v>0.58150000000000002</v>
      </c>
    </row>
    <row r="183" spans="1:25" x14ac:dyDescent="0.25">
      <c r="A183" s="1" t="s">
        <v>79</v>
      </c>
      <c r="B183" s="1" t="s">
        <v>70</v>
      </c>
      <c r="C183" s="1" t="s">
        <v>23</v>
      </c>
      <c r="D183" s="1">
        <v>8268750.0182812503</v>
      </c>
      <c r="E183" s="1">
        <v>545737.50120656262</v>
      </c>
      <c r="F183" s="1">
        <v>545737.50120656262</v>
      </c>
      <c r="G183" s="1">
        <v>682171.87650820322</v>
      </c>
      <c r="H183" s="1">
        <v>682171.87650820322</v>
      </c>
      <c r="I183" s="1">
        <v>682171.87650820322</v>
      </c>
      <c r="J183" s="1">
        <v>682171.87650820322</v>
      </c>
      <c r="K183" s="1">
        <v>682171.87650820322</v>
      </c>
      <c r="L183" s="1">
        <v>682171.87650820322</v>
      </c>
      <c r="M183" s="1">
        <v>415504.68841863284</v>
      </c>
      <c r="N183" s="1">
        <v>415504.68841863284</v>
      </c>
      <c r="O183" s="1">
        <v>346253.90701552737</v>
      </c>
      <c r="P183" s="1">
        <v>346253.90701552737</v>
      </c>
      <c r="Q183" s="1">
        <v>484755.46982173825</v>
      </c>
      <c r="R183" s="1">
        <v>484755.46982173825</v>
      </c>
      <c r="S183" s="1">
        <v>484755.46982173825</v>
      </c>
      <c r="T183" s="1">
        <v>484755.46982173825</v>
      </c>
      <c r="U183" s="1">
        <v>484755.46982173825</v>
      </c>
      <c r="V183" s="1">
        <v>484755.46982173825</v>
      </c>
      <c r="W183" s="4">
        <f t="shared" si="6"/>
        <v>4808278.135630548</v>
      </c>
      <c r="X183" s="4">
        <f t="shared" si="6"/>
        <v>4808278.135630548</v>
      </c>
      <c r="Y183" s="5">
        <f t="shared" si="5"/>
        <v>0.58150000000000013</v>
      </c>
    </row>
    <row r="184" spans="1:25" x14ac:dyDescent="0.25">
      <c r="A184" s="1" t="s">
        <v>79</v>
      </c>
      <c r="B184" s="1" t="s">
        <v>71</v>
      </c>
      <c r="C184" s="1" t="s">
        <v>29</v>
      </c>
      <c r="D184" s="1">
        <v>7174955.6711538434</v>
      </c>
      <c r="E184" s="1">
        <v>473547.07429615373</v>
      </c>
      <c r="F184" s="1">
        <v>473547.07429615373</v>
      </c>
      <c r="G184" s="1">
        <v>591933.84287019214</v>
      </c>
      <c r="H184" s="1">
        <v>591933.84287019214</v>
      </c>
      <c r="I184" s="1">
        <v>591933.84287019214</v>
      </c>
      <c r="J184" s="1">
        <v>591933.84287019214</v>
      </c>
      <c r="K184" s="1">
        <v>591933.84287019214</v>
      </c>
      <c r="L184" s="1">
        <v>591933.84287019214</v>
      </c>
      <c r="M184" s="1">
        <v>360541.52247548063</v>
      </c>
      <c r="N184" s="1">
        <v>360541.52247548063</v>
      </c>
      <c r="O184" s="1">
        <v>300451.26872956718</v>
      </c>
      <c r="P184" s="1">
        <v>300451.26872956718</v>
      </c>
      <c r="Q184" s="1">
        <v>420631.77622139402</v>
      </c>
      <c r="R184" s="1">
        <v>420631.77622139402</v>
      </c>
      <c r="S184" s="1">
        <v>420631.77622139402</v>
      </c>
      <c r="T184" s="1">
        <v>420631.77622139402</v>
      </c>
      <c r="U184" s="1">
        <v>420631.77622139402</v>
      </c>
      <c r="V184" s="1">
        <v>420631.77622139402</v>
      </c>
      <c r="W184" s="4">
        <f t="shared" si="6"/>
        <v>4172236.7227759599</v>
      </c>
      <c r="X184" s="4">
        <f t="shared" si="6"/>
        <v>4172236.7227759599</v>
      </c>
      <c r="Y184" s="5">
        <f t="shared" si="5"/>
        <v>0.58150000000000002</v>
      </c>
    </row>
    <row r="185" spans="1:25" x14ac:dyDescent="0.25">
      <c r="A185" s="1" t="s">
        <v>79</v>
      </c>
      <c r="B185" s="1" t="s">
        <v>72</v>
      </c>
      <c r="C185" s="1" t="s">
        <v>73</v>
      </c>
      <c r="D185" s="1">
        <v>4678689.2326134304</v>
      </c>
      <c r="E185" s="1">
        <v>308793.48935248645</v>
      </c>
      <c r="F185" s="1">
        <v>308793.48935248645</v>
      </c>
      <c r="G185" s="1">
        <v>385991.86169060803</v>
      </c>
      <c r="H185" s="1">
        <v>385991.86169060803</v>
      </c>
      <c r="I185" s="1">
        <v>385991.86169060803</v>
      </c>
      <c r="J185" s="1">
        <v>385991.86169060803</v>
      </c>
      <c r="K185" s="1">
        <v>385991.86169060803</v>
      </c>
      <c r="L185" s="1">
        <v>385991.86169060803</v>
      </c>
      <c r="M185" s="1">
        <v>235104.13393882485</v>
      </c>
      <c r="N185" s="1">
        <v>235104.13393882485</v>
      </c>
      <c r="O185" s="1">
        <v>195920.11161568738</v>
      </c>
      <c r="P185" s="1">
        <v>195920.11161568738</v>
      </c>
      <c r="Q185" s="1">
        <v>274288.15626196231</v>
      </c>
      <c r="R185" s="1">
        <v>274288.15626196231</v>
      </c>
      <c r="S185" s="1">
        <v>274288.15626196231</v>
      </c>
      <c r="T185" s="1">
        <v>274288.15626196231</v>
      </c>
      <c r="U185" s="1">
        <v>274288.15626196231</v>
      </c>
      <c r="V185" s="1">
        <v>274288.15626196231</v>
      </c>
      <c r="W185" s="4">
        <f t="shared" si="6"/>
        <v>2720657.7887647096</v>
      </c>
      <c r="X185" s="4">
        <f t="shared" si="6"/>
        <v>2720657.7887647096</v>
      </c>
      <c r="Y185" s="5">
        <f t="shared" si="5"/>
        <v>0.58150000000000002</v>
      </c>
    </row>
    <row r="186" spans="1:25" x14ac:dyDescent="0.25">
      <c r="A186" s="1" t="s">
        <v>79</v>
      </c>
      <c r="B186" s="1" t="s">
        <v>48</v>
      </c>
      <c r="C186" s="1" t="s">
        <v>49</v>
      </c>
      <c r="D186" s="1">
        <v>4231840.6519311583</v>
      </c>
      <c r="E186" s="1">
        <v>279301.4830274565</v>
      </c>
      <c r="F186" s="1">
        <v>279301.4830274565</v>
      </c>
      <c r="G186" s="1">
        <v>349126.85378432058</v>
      </c>
      <c r="H186" s="1">
        <v>349126.85378432058</v>
      </c>
      <c r="I186" s="1">
        <v>349126.85378432058</v>
      </c>
      <c r="J186" s="1">
        <v>349126.85378432058</v>
      </c>
      <c r="K186" s="1">
        <v>349126.85378432058</v>
      </c>
      <c r="L186" s="1">
        <v>349126.85378432058</v>
      </c>
      <c r="M186" s="1">
        <v>212649.99275954074</v>
      </c>
      <c r="N186" s="1">
        <v>212649.99275954074</v>
      </c>
      <c r="O186" s="1">
        <v>177208.32729961729</v>
      </c>
      <c r="P186" s="1">
        <v>177208.32729961729</v>
      </c>
      <c r="Q186" s="1">
        <v>248091.65821946418</v>
      </c>
      <c r="R186" s="1">
        <v>248091.65821946418</v>
      </c>
      <c r="S186" s="1">
        <v>248091.65821946418</v>
      </c>
      <c r="T186" s="1">
        <v>248091.65821946418</v>
      </c>
      <c r="U186" s="1">
        <v>248091.65821946418</v>
      </c>
      <c r="V186" s="1">
        <v>248091.65821946418</v>
      </c>
      <c r="W186" s="4">
        <f t="shared" si="6"/>
        <v>2460815.3390979688</v>
      </c>
      <c r="X186" s="4">
        <f t="shared" si="6"/>
        <v>2460815.3390979688</v>
      </c>
      <c r="Y186" s="5">
        <f t="shared" si="5"/>
        <v>0.58150000000000002</v>
      </c>
    </row>
    <row r="187" spans="1:25" x14ac:dyDescent="0.25">
      <c r="A187" s="1" t="s">
        <v>79</v>
      </c>
      <c r="B187" s="1" t="s">
        <v>53</v>
      </c>
      <c r="C187" s="1" t="s">
        <v>30</v>
      </c>
      <c r="D187" s="1">
        <v>3286014.9262045384</v>
      </c>
      <c r="E187" s="1">
        <v>216876.98512949955</v>
      </c>
      <c r="F187" s="1">
        <v>216876.98512949955</v>
      </c>
      <c r="G187" s="1">
        <v>271096.23141187441</v>
      </c>
      <c r="H187" s="1">
        <v>271096.23141187441</v>
      </c>
      <c r="I187" s="1">
        <v>271096.23141187441</v>
      </c>
      <c r="J187" s="1">
        <v>271096.23141187441</v>
      </c>
      <c r="K187" s="1">
        <v>271096.23141187441</v>
      </c>
      <c r="L187" s="1">
        <v>271096.23141187441</v>
      </c>
      <c r="M187" s="1">
        <v>165122.25004177805</v>
      </c>
      <c r="N187" s="1">
        <v>165122.25004177805</v>
      </c>
      <c r="O187" s="1">
        <v>137601.87503481505</v>
      </c>
      <c r="P187" s="1">
        <v>137601.87503481505</v>
      </c>
      <c r="Q187" s="1">
        <v>192642.62504874106</v>
      </c>
      <c r="R187" s="1">
        <v>192642.62504874106</v>
      </c>
      <c r="S187" s="1">
        <v>192642.62504874106</v>
      </c>
      <c r="T187" s="1">
        <v>192642.62504874106</v>
      </c>
      <c r="U187" s="1">
        <v>192642.62504874106</v>
      </c>
      <c r="V187" s="1">
        <v>192642.62504874106</v>
      </c>
      <c r="W187" s="4">
        <f t="shared" si="6"/>
        <v>1910817.6795879391</v>
      </c>
      <c r="X187" s="4">
        <f t="shared" si="6"/>
        <v>1910817.6795879391</v>
      </c>
      <c r="Y187" s="5">
        <f t="shared" si="5"/>
        <v>0.58150000000000002</v>
      </c>
    </row>
    <row r="188" spans="1:25" x14ac:dyDescent="0.25">
      <c r="A188" s="1" t="s">
        <v>79</v>
      </c>
      <c r="B188" s="1" t="s">
        <v>74</v>
      </c>
      <c r="C188" s="1" t="s">
        <v>75</v>
      </c>
      <c r="D188" s="1">
        <v>10364270.630765583</v>
      </c>
      <c r="E188" s="1">
        <v>684041.86163052858</v>
      </c>
      <c r="F188" s="1">
        <v>684041.86163052858</v>
      </c>
      <c r="G188" s="1">
        <v>855052.32703816064</v>
      </c>
      <c r="H188" s="1">
        <v>855052.32703816064</v>
      </c>
      <c r="I188" s="1">
        <v>855052.32703816064</v>
      </c>
      <c r="J188" s="1">
        <v>855052.32703816064</v>
      </c>
      <c r="K188" s="1">
        <v>855052.32703816064</v>
      </c>
      <c r="L188" s="1">
        <v>855052.32703816064</v>
      </c>
      <c r="M188" s="1">
        <v>520804.59919597057</v>
      </c>
      <c r="N188" s="1">
        <v>520804.59919597057</v>
      </c>
      <c r="O188" s="1">
        <v>434003.83266330883</v>
      </c>
      <c r="P188" s="1">
        <v>434003.83266330883</v>
      </c>
      <c r="Q188" s="1">
        <v>607605.36572863231</v>
      </c>
      <c r="R188" s="1">
        <v>607605.36572863231</v>
      </c>
      <c r="S188" s="1">
        <v>607605.36572863231</v>
      </c>
      <c r="T188" s="1">
        <v>607605.36572863231</v>
      </c>
      <c r="U188" s="1">
        <v>607605.36572863231</v>
      </c>
      <c r="V188" s="1">
        <v>607605.36572863231</v>
      </c>
      <c r="W188" s="4">
        <f t="shared" si="6"/>
        <v>6026823.3717901865</v>
      </c>
      <c r="X188" s="4">
        <f t="shared" si="6"/>
        <v>6026823.3717901865</v>
      </c>
      <c r="Y188" s="5">
        <f t="shared" si="5"/>
        <v>0.58150000000000002</v>
      </c>
    </row>
    <row r="189" spans="1:25" x14ac:dyDescent="0.25">
      <c r="A189" s="1" t="s">
        <v>79</v>
      </c>
      <c r="B189" s="1" t="s">
        <v>50</v>
      </c>
      <c r="C189" s="1" t="s">
        <v>25</v>
      </c>
      <c r="D189" s="1">
        <v>4443432.6845277157</v>
      </c>
      <c r="E189" s="1">
        <v>293266.55717882927</v>
      </c>
      <c r="F189" s="1">
        <v>293266.55717882927</v>
      </c>
      <c r="G189" s="1">
        <v>366583.19647353655</v>
      </c>
      <c r="H189" s="1">
        <v>366583.19647353655</v>
      </c>
      <c r="I189" s="1">
        <v>366583.19647353655</v>
      </c>
      <c r="J189" s="1">
        <v>366583.19647353655</v>
      </c>
      <c r="K189" s="1">
        <v>366583.19647353655</v>
      </c>
      <c r="L189" s="1">
        <v>366583.19647353655</v>
      </c>
      <c r="M189" s="1">
        <v>223282.49239751769</v>
      </c>
      <c r="N189" s="1">
        <v>223282.49239751769</v>
      </c>
      <c r="O189" s="1">
        <v>186068.74366459809</v>
      </c>
      <c r="P189" s="1">
        <v>186068.74366459809</v>
      </c>
      <c r="Q189" s="1">
        <v>260496.24113043732</v>
      </c>
      <c r="R189" s="1">
        <v>260496.24113043732</v>
      </c>
      <c r="S189" s="1">
        <v>260496.24113043732</v>
      </c>
      <c r="T189" s="1">
        <v>260496.24113043732</v>
      </c>
      <c r="U189" s="1">
        <v>260496.24113043732</v>
      </c>
      <c r="V189" s="1">
        <v>260496.24113043732</v>
      </c>
      <c r="W189" s="4">
        <f t="shared" si="6"/>
        <v>2583856.1060528667</v>
      </c>
      <c r="X189" s="4">
        <f t="shared" si="6"/>
        <v>2583856.1060528667</v>
      </c>
      <c r="Y189" s="5">
        <f t="shared" si="5"/>
        <v>0.58150000000000002</v>
      </c>
    </row>
    <row r="190" spans="1:25" x14ac:dyDescent="0.25">
      <c r="A190" s="1" t="s">
        <v>80</v>
      </c>
      <c r="B190" s="1" t="s">
        <v>59</v>
      </c>
      <c r="C190" s="1" t="s">
        <v>26</v>
      </c>
      <c r="D190" s="1">
        <v>59172228</v>
      </c>
      <c r="E190" s="1">
        <v>3905367.0206369702</v>
      </c>
      <c r="F190" s="1">
        <v>3905367.0206369702</v>
      </c>
      <c r="G190" s="1">
        <v>4881708.7757962123</v>
      </c>
      <c r="H190" s="1">
        <v>4881708.7757962123</v>
      </c>
      <c r="I190" s="1">
        <v>4881708.7757962123</v>
      </c>
      <c r="J190" s="1">
        <v>4881708.7757962123</v>
      </c>
      <c r="K190" s="1">
        <v>4881708.7757962123</v>
      </c>
      <c r="L190" s="1">
        <v>4881708.7757962123</v>
      </c>
      <c r="M190" s="1">
        <v>4955674.1121018939</v>
      </c>
      <c r="N190" s="1">
        <v>4955674.1121018939</v>
      </c>
      <c r="O190" s="1">
        <v>4955674.1121018939</v>
      </c>
      <c r="P190" s="1">
        <v>4955674.1121018939</v>
      </c>
      <c r="Q190" s="1">
        <v>4955674.1121018939</v>
      </c>
      <c r="R190" s="1">
        <v>4955674.1121018939</v>
      </c>
      <c r="S190" s="1">
        <v>4955674.1121018939</v>
      </c>
      <c r="T190" s="1">
        <v>4955674.1121018939</v>
      </c>
      <c r="U190" s="1">
        <v>4955674.1121018939</v>
      </c>
      <c r="V190" s="1">
        <v>4955674.1121018939</v>
      </c>
      <c r="W190" s="4">
        <f t="shared" si="6"/>
        <v>43328863.908535078</v>
      </c>
      <c r="X190" s="4">
        <f t="shared" si="6"/>
        <v>43328863.908535078</v>
      </c>
      <c r="Y190" s="5">
        <f t="shared" si="5"/>
        <v>0.73224999924855083</v>
      </c>
    </row>
    <row r="191" spans="1:25" x14ac:dyDescent="0.25">
      <c r="A191" s="1" t="s">
        <v>80</v>
      </c>
      <c r="B191" s="1" t="s">
        <v>33</v>
      </c>
      <c r="C191" s="1" t="s">
        <v>34</v>
      </c>
      <c r="D191" s="1">
        <v>96000000</v>
      </c>
      <c r="E191" s="1">
        <v>0</v>
      </c>
      <c r="F191" s="1">
        <v>0</v>
      </c>
      <c r="G191" s="1">
        <v>19200000</v>
      </c>
      <c r="H191" s="1">
        <v>19200000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28800000</v>
      </c>
      <c r="P191" s="1">
        <v>28800000</v>
      </c>
      <c r="Q191" s="1">
        <v>0</v>
      </c>
      <c r="R191" s="1">
        <v>0</v>
      </c>
      <c r="S191" s="1">
        <v>28800000</v>
      </c>
      <c r="T191" s="1">
        <v>28800000</v>
      </c>
      <c r="U191" s="1">
        <v>19200000</v>
      </c>
      <c r="V191" s="1">
        <v>19200000</v>
      </c>
      <c r="W191" s="4">
        <f t="shared" si="6"/>
        <v>96000000</v>
      </c>
      <c r="X191" s="4">
        <f t="shared" si="6"/>
        <v>96000000</v>
      </c>
      <c r="Y191" s="5">
        <f t="shared" si="5"/>
        <v>1</v>
      </c>
    </row>
    <row r="192" spans="1:25" x14ac:dyDescent="0.25">
      <c r="A192" s="1" t="s">
        <v>80</v>
      </c>
      <c r="B192" s="1" t="s">
        <v>35</v>
      </c>
      <c r="C192" s="1" t="s">
        <v>34</v>
      </c>
      <c r="D192" s="1">
        <v>240000000</v>
      </c>
      <c r="E192" s="1">
        <v>0</v>
      </c>
      <c r="F192" s="1">
        <v>0</v>
      </c>
      <c r="G192" s="1">
        <v>66000000</v>
      </c>
      <c r="H192" s="1">
        <v>66000000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58000000</v>
      </c>
      <c r="P192" s="1">
        <v>58000000</v>
      </c>
      <c r="Q192" s="1">
        <v>0</v>
      </c>
      <c r="R192" s="1">
        <v>0</v>
      </c>
      <c r="S192" s="1">
        <v>58000000</v>
      </c>
      <c r="T192" s="1">
        <v>58000000</v>
      </c>
      <c r="U192" s="1">
        <v>58000000</v>
      </c>
      <c r="V192" s="1">
        <v>58000000</v>
      </c>
      <c r="W192" s="4">
        <f t="shared" si="6"/>
        <v>240000000</v>
      </c>
      <c r="X192" s="4">
        <f t="shared" si="6"/>
        <v>240000000</v>
      </c>
      <c r="Y192" s="5">
        <f t="shared" si="5"/>
        <v>1</v>
      </c>
    </row>
    <row r="193" spans="1:25" x14ac:dyDescent="0.25">
      <c r="A193" s="1" t="s">
        <v>80</v>
      </c>
      <c r="B193" s="1" t="s">
        <v>38</v>
      </c>
      <c r="C193" s="1" t="s">
        <v>39</v>
      </c>
      <c r="D193" s="1">
        <v>8257246.6892131176</v>
      </c>
      <c r="E193" s="1">
        <v>544978.28148806584</v>
      </c>
      <c r="F193" s="1">
        <v>544978.28148806584</v>
      </c>
      <c r="G193" s="1">
        <v>681222.85186008224</v>
      </c>
      <c r="H193" s="1">
        <v>681222.85186008224</v>
      </c>
      <c r="I193" s="1">
        <v>681222.85186008224</v>
      </c>
      <c r="J193" s="1">
        <v>681222.85186008224</v>
      </c>
      <c r="K193" s="1">
        <v>681222.85186008224</v>
      </c>
      <c r="L193" s="1">
        <v>681222.85186008224</v>
      </c>
      <c r="M193" s="1">
        <v>414926.64613295929</v>
      </c>
      <c r="N193" s="1">
        <v>414926.64613295929</v>
      </c>
      <c r="O193" s="1">
        <v>345772.2051107994</v>
      </c>
      <c r="P193" s="1">
        <v>345772.2051107994</v>
      </c>
      <c r="Q193" s="1">
        <v>484081.08715511911</v>
      </c>
      <c r="R193" s="1">
        <v>484081.08715511911</v>
      </c>
      <c r="S193" s="1">
        <v>484081.08715511911</v>
      </c>
      <c r="T193" s="1">
        <v>484081.08715511911</v>
      </c>
      <c r="U193" s="1">
        <v>484081.08715511911</v>
      </c>
      <c r="V193" s="1">
        <v>484081.08715511911</v>
      </c>
      <c r="W193" s="4">
        <f t="shared" si="6"/>
        <v>4801588.949777429</v>
      </c>
      <c r="X193" s="4">
        <f t="shared" si="6"/>
        <v>4801588.949777429</v>
      </c>
      <c r="Y193" s="5">
        <f t="shared" si="5"/>
        <v>0.58150000000000013</v>
      </c>
    </row>
    <row r="194" spans="1:25" x14ac:dyDescent="0.25">
      <c r="A194" s="1" t="s">
        <v>80</v>
      </c>
      <c r="B194" s="1" t="s">
        <v>61</v>
      </c>
      <c r="C194" s="1" t="s">
        <v>34</v>
      </c>
      <c r="D194" s="1">
        <v>147117608</v>
      </c>
      <c r="E194" s="1">
        <v>0</v>
      </c>
      <c r="F194" s="1">
        <v>0</v>
      </c>
      <c r="G194" s="1">
        <v>11769408.63865944</v>
      </c>
      <c r="H194" s="1">
        <v>11769408.63865944</v>
      </c>
      <c r="I194" s="1">
        <v>0</v>
      </c>
      <c r="J194" s="1">
        <v>0</v>
      </c>
      <c r="K194" s="1">
        <v>0</v>
      </c>
      <c r="L194" s="1">
        <v>0</v>
      </c>
      <c r="M194" s="1">
        <v>33837049.840335138</v>
      </c>
      <c r="N194" s="1">
        <v>33837049.840335138</v>
      </c>
      <c r="O194" s="1">
        <v>0</v>
      </c>
      <c r="P194" s="1">
        <v>0</v>
      </c>
      <c r="Q194" s="1">
        <v>0</v>
      </c>
      <c r="R194" s="1">
        <v>0</v>
      </c>
      <c r="S194" s="1">
        <v>50755574.760502711</v>
      </c>
      <c r="T194" s="1">
        <v>50755574.760502711</v>
      </c>
      <c r="U194" s="1">
        <v>0</v>
      </c>
      <c r="V194" s="1">
        <v>0</v>
      </c>
      <c r="W194" s="4">
        <f t="shared" si="6"/>
        <v>96362033.239497304</v>
      </c>
      <c r="X194" s="4">
        <f t="shared" si="6"/>
        <v>96362033.239497304</v>
      </c>
      <c r="Y194" s="5">
        <f t="shared" si="5"/>
        <v>0.65499999999658298</v>
      </c>
    </row>
    <row r="195" spans="1:25" x14ac:dyDescent="0.25">
      <c r="A195" s="1" t="s">
        <v>80</v>
      </c>
      <c r="B195" s="1" t="s">
        <v>62</v>
      </c>
      <c r="C195" s="1" t="s">
        <v>63</v>
      </c>
      <c r="D195" s="1">
        <v>28142857</v>
      </c>
      <c r="E195" s="1">
        <v>14079999.999120001</v>
      </c>
      <c r="F195" s="1">
        <v>14079999.999120001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790714.28579678561</v>
      </c>
      <c r="N195" s="1">
        <v>790714.28579678561</v>
      </c>
      <c r="O195" s="1">
        <v>658928.57149732136</v>
      </c>
      <c r="P195" s="1">
        <v>658928.57149732136</v>
      </c>
      <c r="Q195" s="1">
        <v>922500.00009624986</v>
      </c>
      <c r="R195" s="1">
        <v>922500.00009624986</v>
      </c>
      <c r="S195" s="1">
        <v>922500.00009624986</v>
      </c>
      <c r="T195" s="1">
        <v>922500.00009624986</v>
      </c>
      <c r="U195" s="1">
        <v>922500.00009624986</v>
      </c>
      <c r="V195" s="1">
        <v>922500.00009624986</v>
      </c>
      <c r="W195" s="4">
        <f t="shared" si="6"/>
        <v>18297142.856702857</v>
      </c>
      <c r="X195" s="4">
        <f t="shared" si="6"/>
        <v>18297142.856702857</v>
      </c>
      <c r="Y195" s="5">
        <f t="shared" ref="Y195:Y258" si="7">X195/D195</f>
        <v>0.65015228754859022</v>
      </c>
    </row>
    <row r="196" spans="1:25" x14ac:dyDescent="0.25">
      <c r="A196" s="1" t="s">
        <v>80</v>
      </c>
      <c r="B196" s="1" t="s">
        <v>40</v>
      </c>
      <c r="C196" s="1" t="s">
        <v>27</v>
      </c>
      <c r="D196" s="1">
        <v>161795933</v>
      </c>
      <c r="E196" s="1">
        <v>6881279</v>
      </c>
      <c r="F196" s="1">
        <v>6881279</v>
      </c>
      <c r="G196" s="1">
        <v>7779318</v>
      </c>
      <c r="H196" s="1">
        <v>7779318</v>
      </c>
      <c r="I196" s="1">
        <v>15894416.315048546</v>
      </c>
      <c r="J196" s="1">
        <v>15894416.315048546</v>
      </c>
      <c r="K196" s="1">
        <v>43794718</v>
      </c>
      <c r="L196" s="1">
        <v>43794718</v>
      </c>
      <c r="M196" s="1">
        <v>4237903.2637135908</v>
      </c>
      <c r="N196" s="1">
        <v>4237903.2637135908</v>
      </c>
      <c r="O196" s="1">
        <v>29777137.421237864</v>
      </c>
      <c r="P196" s="1">
        <v>29777137.421237864</v>
      </c>
      <c r="Q196" s="1">
        <v>10035525</v>
      </c>
      <c r="R196" s="1">
        <v>10035525</v>
      </c>
      <c r="S196" s="1">
        <v>9040355</v>
      </c>
      <c r="T196" s="1">
        <v>9040355</v>
      </c>
      <c r="U196" s="1">
        <v>15731683</v>
      </c>
      <c r="V196" s="1">
        <v>15731683</v>
      </c>
      <c r="W196" s="4">
        <f t="shared" si="6"/>
        <v>143172335</v>
      </c>
      <c r="X196" s="4">
        <f t="shared" si="6"/>
        <v>143172335</v>
      </c>
      <c r="Y196" s="5">
        <f t="shared" si="7"/>
        <v>0.88489452327581064</v>
      </c>
    </row>
    <row r="197" spans="1:25" x14ac:dyDescent="0.25">
      <c r="A197" s="1" t="s">
        <v>80</v>
      </c>
      <c r="B197" s="1" t="s">
        <v>40</v>
      </c>
      <c r="C197" s="1" t="s">
        <v>27</v>
      </c>
      <c r="D197" s="1">
        <v>226853992</v>
      </c>
      <c r="E197" s="1">
        <v>20485000</v>
      </c>
      <c r="F197" s="1">
        <v>20485000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76526130</v>
      </c>
      <c r="N197" s="1">
        <v>76526130</v>
      </c>
      <c r="O197" s="1">
        <v>51017420</v>
      </c>
      <c r="P197" s="1">
        <v>51017420</v>
      </c>
      <c r="Q197" s="1">
        <v>78825442</v>
      </c>
      <c r="R197" s="1">
        <v>78825442</v>
      </c>
      <c r="S197" s="1">
        <v>0</v>
      </c>
      <c r="T197" s="1">
        <v>0</v>
      </c>
      <c r="U197" s="1">
        <v>0</v>
      </c>
      <c r="V197" s="1">
        <v>0</v>
      </c>
      <c r="W197" s="4">
        <f t="shared" si="6"/>
        <v>226853992</v>
      </c>
      <c r="X197" s="4">
        <f t="shared" si="6"/>
        <v>226853992</v>
      </c>
      <c r="Y197" s="5">
        <f t="shared" si="7"/>
        <v>1</v>
      </c>
    </row>
    <row r="198" spans="1:25" x14ac:dyDescent="0.25">
      <c r="A198" s="1" t="s">
        <v>80</v>
      </c>
      <c r="B198" s="1" t="s">
        <v>40</v>
      </c>
      <c r="C198" s="1" t="s">
        <v>27</v>
      </c>
      <c r="D198" s="1">
        <v>49880215</v>
      </c>
      <c r="E198" s="1">
        <v>0</v>
      </c>
      <c r="F198" s="1">
        <v>0</v>
      </c>
      <c r="G198" s="1">
        <v>0</v>
      </c>
      <c r="H198" s="1">
        <v>0</v>
      </c>
      <c r="I198" s="1">
        <v>49880215</v>
      </c>
      <c r="J198" s="1">
        <v>49880215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4">
        <f t="shared" si="6"/>
        <v>49880215</v>
      </c>
      <c r="X198" s="4">
        <f t="shared" si="6"/>
        <v>49880215</v>
      </c>
      <c r="Y198" s="5">
        <f t="shared" si="7"/>
        <v>1</v>
      </c>
    </row>
    <row r="199" spans="1:25" x14ac:dyDescent="0.25">
      <c r="A199" s="1" t="s">
        <v>80</v>
      </c>
      <c r="B199" s="1" t="s">
        <v>43</v>
      </c>
      <c r="C199" s="1" t="s">
        <v>31</v>
      </c>
      <c r="D199" s="1">
        <v>7499160.320617863</v>
      </c>
      <c r="E199" s="1">
        <v>435614.21541961166</v>
      </c>
      <c r="F199" s="1">
        <v>435614.21541961166</v>
      </c>
      <c r="G199" s="1">
        <v>544517.76927451452</v>
      </c>
      <c r="H199" s="1">
        <v>544517.76927451452</v>
      </c>
      <c r="I199" s="1">
        <v>544517.76927451452</v>
      </c>
      <c r="J199" s="1">
        <v>544517.76927451452</v>
      </c>
      <c r="K199" s="1">
        <v>544517.76927451452</v>
      </c>
      <c r="L199" s="1">
        <v>544517.76927451452</v>
      </c>
      <c r="M199" s="1">
        <v>404889.56840270071</v>
      </c>
      <c r="N199" s="1">
        <v>404889.56840270071</v>
      </c>
      <c r="O199" s="1">
        <v>337407.97366891726</v>
      </c>
      <c r="P199" s="1">
        <v>337407.97366891726</v>
      </c>
      <c r="Q199" s="1">
        <v>418164.32850847527</v>
      </c>
      <c r="R199" s="1">
        <v>418164.32850847527</v>
      </c>
      <c r="S199" s="1">
        <v>472371.1631364841</v>
      </c>
      <c r="T199" s="1">
        <v>472371.1631364841</v>
      </c>
      <c r="U199" s="1">
        <v>472371.1631364841</v>
      </c>
      <c r="V199" s="1">
        <v>472371.1631364841</v>
      </c>
      <c r="W199" s="4">
        <f t="shared" si="6"/>
        <v>4174371.7200962175</v>
      </c>
      <c r="X199" s="4">
        <f t="shared" si="6"/>
        <v>4174371.7200962175</v>
      </c>
      <c r="Y199" s="5">
        <f t="shared" si="7"/>
        <v>0.55664521648102161</v>
      </c>
    </row>
    <row r="200" spans="1:25" x14ac:dyDescent="0.25">
      <c r="A200" s="1" t="s">
        <v>80</v>
      </c>
      <c r="B200" s="1" t="s">
        <v>64</v>
      </c>
      <c r="C200" s="1" t="s">
        <v>23</v>
      </c>
      <c r="D200" s="1">
        <v>3819367.2775485548</v>
      </c>
      <c r="E200" s="1">
        <v>252078.24031820465</v>
      </c>
      <c r="F200" s="1">
        <v>252078.24031820465</v>
      </c>
      <c r="G200" s="1">
        <v>315097.80039775581</v>
      </c>
      <c r="H200" s="1">
        <v>315097.80039775581</v>
      </c>
      <c r="I200" s="1">
        <v>315097.80039775581</v>
      </c>
      <c r="J200" s="1">
        <v>315097.80039775581</v>
      </c>
      <c r="K200" s="1">
        <v>315097.80039775581</v>
      </c>
      <c r="L200" s="1">
        <v>315097.80039775581</v>
      </c>
      <c r="M200" s="1">
        <v>191923.20569681487</v>
      </c>
      <c r="N200" s="1">
        <v>191923.20569681487</v>
      </c>
      <c r="O200" s="1">
        <v>159936.00474734572</v>
      </c>
      <c r="P200" s="1">
        <v>159936.00474734572</v>
      </c>
      <c r="Q200" s="1">
        <v>223910.40664628401</v>
      </c>
      <c r="R200" s="1">
        <v>223910.40664628401</v>
      </c>
      <c r="S200" s="1">
        <v>223910.40664628401</v>
      </c>
      <c r="T200" s="1">
        <v>223910.40664628401</v>
      </c>
      <c r="U200" s="1">
        <v>223910.40664628401</v>
      </c>
      <c r="V200" s="1">
        <v>223910.40664628401</v>
      </c>
      <c r="W200" s="4">
        <f t="shared" si="6"/>
        <v>2220962.0718944846</v>
      </c>
      <c r="X200" s="4">
        <f t="shared" si="6"/>
        <v>2220962.0718944846</v>
      </c>
      <c r="Y200" s="5">
        <f t="shared" si="7"/>
        <v>0.58150000000000002</v>
      </c>
    </row>
    <row r="201" spans="1:25" x14ac:dyDescent="0.25">
      <c r="A201" s="1" t="s">
        <v>80</v>
      </c>
      <c r="B201" s="1" t="s">
        <v>65</v>
      </c>
      <c r="C201" s="1" t="s">
        <v>31</v>
      </c>
      <c r="D201" s="1">
        <v>5176788.2778887544</v>
      </c>
      <c r="E201" s="1">
        <v>341668.02634065785</v>
      </c>
      <c r="F201" s="1">
        <v>341668.02634065785</v>
      </c>
      <c r="G201" s="1">
        <v>427085.03292582225</v>
      </c>
      <c r="H201" s="1">
        <v>427085.03292582225</v>
      </c>
      <c r="I201" s="1">
        <v>427085.03292582225</v>
      </c>
      <c r="J201" s="1">
        <v>427085.03292582225</v>
      </c>
      <c r="K201" s="1">
        <v>427085.03292582225</v>
      </c>
      <c r="L201" s="1">
        <v>427085.03292582225</v>
      </c>
      <c r="M201" s="1">
        <v>260133.61096390989</v>
      </c>
      <c r="N201" s="1">
        <v>260133.61096390989</v>
      </c>
      <c r="O201" s="1">
        <v>216778.00913659157</v>
      </c>
      <c r="P201" s="1">
        <v>216778.00913659157</v>
      </c>
      <c r="Q201" s="1">
        <v>303489.2127912282</v>
      </c>
      <c r="R201" s="1">
        <v>303489.2127912282</v>
      </c>
      <c r="S201" s="1">
        <v>303489.2127912282</v>
      </c>
      <c r="T201" s="1">
        <v>303489.2127912282</v>
      </c>
      <c r="U201" s="1">
        <v>303489.2127912282</v>
      </c>
      <c r="V201" s="1">
        <v>303489.2127912282</v>
      </c>
      <c r="W201" s="4">
        <f t="shared" si="6"/>
        <v>3010302.3835923108</v>
      </c>
      <c r="X201" s="4">
        <f t="shared" si="6"/>
        <v>3010302.3835923108</v>
      </c>
      <c r="Y201" s="5">
        <f t="shared" si="7"/>
        <v>0.58150000000000002</v>
      </c>
    </row>
    <row r="202" spans="1:25" x14ac:dyDescent="0.25">
      <c r="A202" s="1" t="s">
        <v>80</v>
      </c>
      <c r="B202" s="1" t="s">
        <v>44</v>
      </c>
      <c r="C202" s="1" t="s">
        <v>45</v>
      </c>
      <c r="D202" s="1">
        <v>8257246.6892131176</v>
      </c>
      <c r="E202" s="1">
        <v>544978.28148806584</v>
      </c>
      <c r="F202" s="1">
        <v>544978.28148806584</v>
      </c>
      <c r="G202" s="1">
        <v>681222.85186008224</v>
      </c>
      <c r="H202" s="1">
        <v>681222.85186008224</v>
      </c>
      <c r="I202" s="1">
        <v>681222.85186008224</v>
      </c>
      <c r="J202" s="1">
        <v>681222.85186008224</v>
      </c>
      <c r="K202" s="1">
        <v>681222.85186008224</v>
      </c>
      <c r="L202" s="1">
        <v>681222.85186008224</v>
      </c>
      <c r="M202" s="1">
        <v>414926.64613295929</v>
      </c>
      <c r="N202" s="1">
        <v>414926.64613295929</v>
      </c>
      <c r="O202" s="1">
        <v>345772.2051107994</v>
      </c>
      <c r="P202" s="1">
        <v>345772.2051107994</v>
      </c>
      <c r="Q202" s="1">
        <v>484081.08715511911</v>
      </c>
      <c r="R202" s="1">
        <v>484081.08715511911</v>
      </c>
      <c r="S202" s="1">
        <v>484081.08715511911</v>
      </c>
      <c r="T202" s="1">
        <v>484081.08715511911</v>
      </c>
      <c r="U202" s="1">
        <v>484081.08715511911</v>
      </c>
      <c r="V202" s="1">
        <v>484081.08715511911</v>
      </c>
      <c r="W202" s="4">
        <f t="shared" si="6"/>
        <v>4801588.949777429</v>
      </c>
      <c r="X202" s="4">
        <f t="shared" si="6"/>
        <v>4801588.949777429</v>
      </c>
      <c r="Y202" s="5">
        <f t="shared" si="7"/>
        <v>0.58150000000000013</v>
      </c>
    </row>
    <row r="203" spans="1:25" x14ac:dyDescent="0.25">
      <c r="A203" s="1" t="s">
        <v>80</v>
      </c>
      <c r="B203" s="1" t="s">
        <v>46</v>
      </c>
      <c r="C203" s="1" t="s">
        <v>22</v>
      </c>
      <c r="D203" s="1">
        <v>127456615.32313298</v>
      </c>
      <c r="E203" s="1">
        <v>8420016.4900583122</v>
      </c>
      <c r="F203" s="1">
        <v>8420016.4900583122</v>
      </c>
      <c r="G203" s="1">
        <v>10525020.61257289</v>
      </c>
      <c r="H203" s="1">
        <v>10525020.61257289</v>
      </c>
      <c r="I203" s="1">
        <v>10525020.61257289</v>
      </c>
      <c r="J203" s="1">
        <v>10525020.61257289</v>
      </c>
      <c r="K203" s="1">
        <v>10525020.61257289</v>
      </c>
      <c r="L203" s="1">
        <v>10525020.61257289</v>
      </c>
      <c r="M203" s="1">
        <v>6604104.3880062895</v>
      </c>
      <c r="N203" s="1">
        <v>6604104.3880062895</v>
      </c>
      <c r="O203" s="1">
        <v>5370388.3106127484</v>
      </c>
      <c r="P203" s="1">
        <v>5370388.3106127484</v>
      </c>
      <c r="Q203" s="1">
        <v>7351394.7555790385</v>
      </c>
      <c r="R203" s="1">
        <v>7351394.7555790385</v>
      </c>
      <c r="S203" s="1">
        <v>7434969.2335756188</v>
      </c>
      <c r="T203" s="1">
        <v>7434969.2335756188</v>
      </c>
      <c r="U203" s="1">
        <v>7434969.2335756188</v>
      </c>
      <c r="V203" s="1">
        <v>7434969.2335756188</v>
      </c>
      <c r="W203" s="4">
        <f t="shared" si="6"/>
        <v>74190904.249126315</v>
      </c>
      <c r="X203" s="4">
        <f t="shared" si="6"/>
        <v>74190904.249126315</v>
      </c>
      <c r="Y203" s="5">
        <f t="shared" si="7"/>
        <v>0.58208751315916119</v>
      </c>
    </row>
    <row r="204" spans="1:25" x14ac:dyDescent="0.25">
      <c r="A204" s="1" t="s">
        <v>80</v>
      </c>
      <c r="B204" s="1" t="s">
        <v>66</v>
      </c>
      <c r="C204" s="1" t="s">
        <v>24</v>
      </c>
      <c r="D204" s="1">
        <v>397075012.23577017</v>
      </c>
      <c r="E204" s="1">
        <v>32758688.509451039</v>
      </c>
      <c r="F204" s="1">
        <v>32758688.509451039</v>
      </c>
      <c r="G204" s="1">
        <v>32758688.509451039</v>
      </c>
      <c r="H204" s="1">
        <v>32758688.509451039</v>
      </c>
      <c r="I204" s="1">
        <v>32758688.509451039</v>
      </c>
      <c r="J204" s="1">
        <v>32758688.509451039</v>
      </c>
      <c r="K204" s="1">
        <v>32758688.509451039</v>
      </c>
      <c r="L204" s="1">
        <v>32758688.509451039</v>
      </c>
      <c r="M204" s="1">
        <v>34413167.712195851</v>
      </c>
      <c r="N204" s="1">
        <v>34413167.712195851</v>
      </c>
      <c r="O204" s="1">
        <v>33089584.350000001</v>
      </c>
      <c r="P204" s="1">
        <v>33089584.350000001</v>
      </c>
      <c r="Q204" s="1">
        <v>33089584.350000001</v>
      </c>
      <c r="R204" s="1">
        <v>33089584.350000001</v>
      </c>
      <c r="S204" s="1">
        <v>33089584.149999999</v>
      </c>
      <c r="T204" s="1">
        <v>33089584.149999999</v>
      </c>
      <c r="U204" s="1">
        <v>33089584.350000001</v>
      </c>
      <c r="V204" s="1">
        <v>33089584.350000001</v>
      </c>
      <c r="W204" s="4">
        <f t="shared" si="6"/>
        <v>297806258.94999999</v>
      </c>
      <c r="X204" s="4">
        <f t="shared" si="6"/>
        <v>297806258.94999999</v>
      </c>
      <c r="Y204" s="5">
        <f t="shared" si="7"/>
        <v>0.74999999942875373</v>
      </c>
    </row>
    <row r="205" spans="1:25" x14ac:dyDescent="0.25">
      <c r="A205" s="1" t="s">
        <v>80</v>
      </c>
      <c r="B205" s="1" t="s">
        <v>67</v>
      </c>
      <c r="C205" s="1" t="s">
        <v>68</v>
      </c>
      <c r="D205" s="1">
        <v>5916750.6585043678</v>
      </c>
      <c r="E205" s="1">
        <v>390505.54346128833</v>
      </c>
      <c r="F205" s="1">
        <v>390505.54346128833</v>
      </c>
      <c r="G205" s="1">
        <v>488131.92932661035</v>
      </c>
      <c r="H205" s="1">
        <v>488131.92932661035</v>
      </c>
      <c r="I205" s="1">
        <v>488131.92932661035</v>
      </c>
      <c r="J205" s="1">
        <v>488131.92932661035</v>
      </c>
      <c r="K205" s="1">
        <v>488131.92932661035</v>
      </c>
      <c r="L205" s="1">
        <v>488131.92932661035</v>
      </c>
      <c r="M205" s="1">
        <v>307671.03424222715</v>
      </c>
      <c r="N205" s="1">
        <v>307671.03424222715</v>
      </c>
      <c r="O205" s="1">
        <v>246531.277437682</v>
      </c>
      <c r="P205" s="1">
        <v>246531.277437682</v>
      </c>
      <c r="Q205" s="1">
        <v>345143.78841275477</v>
      </c>
      <c r="R205" s="1">
        <v>345143.78841275477</v>
      </c>
      <c r="S205" s="1">
        <v>345143.78841275477</v>
      </c>
      <c r="T205" s="1">
        <v>345143.78841275477</v>
      </c>
      <c r="U205" s="1">
        <v>345143.78841275477</v>
      </c>
      <c r="V205" s="1">
        <v>345143.78841275477</v>
      </c>
      <c r="W205" s="4">
        <f t="shared" si="6"/>
        <v>3444535.0083592925</v>
      </c>
      <c r="X205" s="4">
        <f t="shared" si="6"/>
        <v>3444535.0083592925</v>
      </c>
      <c r="Y205" s="5">
        <f t="shared" si="7"/>
        <v>0.58216666666666661</v>
      </c>
    </row>
    <row r="206" spans="1:25" x14ac:dyDescent="0.25">
      <c r="A206" s="1" t="s">
        <v>80</v>
      </c>
      <c r="B206" s="1" t="s">
        <v>47</v>
      </c>
      <c r="C206" s="1" t="s">
        <v>34</v>
      </c>
      <c r="D206" s="1">
        <v>11415625.887323946</v>
      </c>
      <c r="E206" s="1">
        <v>0</v>
      </c>
      <c r="F206" s="1">
        <v>0</v>
      </c>
      <c r="G206" s="1">
        <v>751704.92883579014</v>
      </c>
      <c r="H206" s="1">
        <v>751704.92883579014</v>
      </c>
      <c r="I206" s="1">
        <v>0</v>
      </c>
      <c r="J206" s="1">
        <v>0</v>
      </c>
      <c r="K206" s="1">
        <v>0</v>
      </c>
      <c r="L206" s="1">
        <v>0</v>
      </c>
      <c r="M206" s="1">
        <v>5331960.4792440776</v>
      </c>
      <c r="N206" s="1">
        <v>5331960.4792440776</v>
      </c>
      <c r="O206" s="1">
        <v>0</v>
      </c>
      <c r="P206" s="1">
        <v>0</v>
      </c>
      <c r="Q206" s="1">
        <v>0</v>
      </c>
      <c r="R206" s="1">
        <v>0</v>
      </c>
      <c r="S206" s="1">
        <v>5331960.4792440776</v>
      </c>
      <c r="T206" s="1">
        <v>5331960.4792440776</v>
      </c>
      <c r="U206" s="1">
        <v>0</v>
      </c>
      <c r="V206" s="1">
        <v>0</v>
      </c>
      <c r="W206" s="4">
        <f t="shared" si="6"/>
        <v>11415625.887323946</v>
      </c>
      <c r="X206" s="4">
        <f t="shared" si="6"/>
        <v>11415625.887323946</v>
      </c>
      <c r="Y206" s="5">
        <f t="shared" si="7"/>
        <v>1</v>
      </c>
    </row>
    <row r="207" spans="1:25" x14ac:dyDescent="0.25">
      <c r="A207" s="1" t="s">
        <v>80</v>
      </c>
      <c r="B207" s="1" t="s">
        <v>69</v>
      </c>
      <c r="C207" s="1" t="s">
        <v>28</v>
      </c>
      <c r="D207" s="1">
        <v>9669847.1730263494</v>
      </c>
      <c r="E207" s="1">
        <v>638209.91341973911</v>
      </c>
      <c r="F207" s="1">
        <v>638209.91341973911</v>
      </c>
      <c r="G207" s="1">
        <v>797762.39177467383</v>
      </c>
      <c r="H207" s="1">
        <v>797762.39177467383</v>
      </c>
      <c r="I207" s="1">
        <v>797762.39177467383</v>
      </c>
      <c r="J207" s="1">
        <v>797762.39177467383</v>
      </c>
      <c r="K207" s="1">
        <v>797762.39177467383</v>
      </c>
      <c r="L207" s="1">
        <v>797762.39177467383</v>
      </c>
      <c r="M207" s="1">
        <v>485909.820444574</v>
      </c>
      <c r="N207" s="1">
        <v>485909.820444574</v>
      </c>
      <c r="O207" s="1">
        <v>404924.85037047835</v>
      </c>
      <c r="P207" s="1">
        <v>404924.85037047835</v>
      </c>
      <c r="Q207" s="1">
        <v>566894.79051866964</v>
      </c>
      <c r="R207" s="1">
        <v>566894.79051866964</v>
      </c>
      <c r="S207" s="1">
        <v>566894.79051866964</v>
      </c>
      <c r="T207" s="1">
        <v>566894.79051866964</v>
      </c>
      <c r="U207" s="1">
        <v>566894.79051866964</v>
      </c>
      <c r="V207" s="1">
        <v>566894.79051866964</v>
      </c>
      <c r="W207" s="4">
        <f t="shared" si="6"/>
        <v>5623016.1311148219</v>
      </c>
      <c r="X207" s="4">
        <f t="shared" si="6"/>
        <v>5623016.1311148219</v>
      </c>
      <c r="Y207" s="5">
        <f t="shared" si="7"/>
        <v>0.58150000000000002</v>
      </c>
    </row>
    <row r="208" spans="1:25" x14ac:dyDescent="0.25">
      <c r="A208" s="1" t="s">
        <v>80</v>
      </c>
      <c r="B208" s="1" t="s">
        <v>70</v>
      </c>
      <c r="C208" s="1" t="s">
        <v>23</v>
      </c>
      <c r="D208" s="1">
        <v>8268750.0182812503</v>
      </c>
      <c r="E208" s="1">
        <v>545737.50120656262</v>
      </c>
      <c r="F208" s="1">
        <v>545737.50120656262</v>
      </c>
      <c r="G208" s="1">
        <v>682171.87650820322</v>
      </c>
      <c r="H208" s="1">
        <v>682171.87650820322</v>
      </c>
      <c r="I208" s="1">
        <v>682171.87650820322</v>
      </c>
      <c r="J208" s="1">
        <v>682171.87650820322</v>
      </c>
      <c r="K208" s="1">
        <v>682171.87650820322</v>
      </c>
      <c r="L208" s="1">
        <v>682171.87650820322</v>
      </c>
      <c r="M208" s="1">
        <v>415504.68841863284</v>
      </c>
      <c r="N208" s="1">
        <v>415504.68841863284</v>
      </c>
      <c r="O208" s="1">
        <v>346253.90701552737</v>
      </c>
      <c r="P208" s="1">
        <v>346253.90701552737</v>
      </c>
      <c r="Q208" s="1">
        <v>484755.46982173825</v>
      </c>
      <c r="R208" s="1">
        <v>484755.46982173825</v>
      </c>
      <c r="S208" s="1">
        <v>484755.46982173825</v>
      </c>
      <c r="T208" s="1">
        <v>484755.46982173825</v>
      </c>
      <c r="U208" s="1">
        <v>484755.46982173825</v>
      </c>
      <c r="V208" s="1">
        <v>484755.46982173825</v>
      </c>
      <c r="W208" s="4">
        <f t="shared" si="6"/>
        <v>4808278.135630548</v>
      </c>
      <c r="X208" s="4">
        <f t="shared" si="6"/>
        <v>4808278.135630548</v>
      </c>
      <c r="Y208" s="5">
        <f t="shared" si="7"/>
        <v>0.58150000000000013</v>
      </c>
    </row>
    <row r="209" spans="1:25" x14ac:dyDescent="0.25">
      <c r="A209" s="1" t="s">
        <v>80</v>
      </c>
      <c r="B209" s="1" t="s">
        <v>71</v>
      </c>
      <c r="C209" s="1" t="s">
        <v>29</v>
      </c>
      <c r="D209" s="1">
        <v>6565088.3711538436</v>
      </c>
      <c r="E209" s="1">
        <v>433295.83249615366</v>
      </c>
      <c r="F209" s="1">
        <v>433295.83249615366</v>
      </c>
      <c r="G209" s="1">
        <v>541619.79062019207</v>
      </c>
      <c r="H209" s="1">
        <v>541619.79062019207</v>
      </c>
      <c r="I209" s="1">
        <v>541619.79062019207</v>
      </c>
      <c r="J209" s="1">
        <v>541619.79062019207</v>
      </c>
      <c r="K209" s="1">
        <v>541619.79062019207</v>
      </c>
      <c r="L209" s="1">
        <v>541619.79062019207</v>
      </c>
      <c r="M209" s="1">
        <v>329895.69065048062</v>
      </c>
      <c r="N209" s="1">
        <v>329895.69065048062</v>
      </c>
      <c r="O209" s="1">
        <v>274913.07554206718</v>
      </c>
      <c r="P209" s="1">
        <v>274913.07554206718</v>
      </c>
      <c r="Q209" s="1">
        <v>384878.30575889401</v>
      </c>
      <c r="R209" s="1">
        <v>384878.30575889401</v>
      </c>
      <c r="S209" s="1">
        <v>384878.30575889401</v>
      </c>
      <c r="T209" s="1">
        <v>384878.30575889401</v>
      </c>
      <c r="U209" s="1">
        <v>384878.30575889401</v>
      </c>
      <c r="V209" s="1">
        <v>384878.30575889401</v>
      </c>
      <c r="W209" s="4">
        <f t="shared" si="6"/>
        <v>3817598.8878259594</v>
      </c>
      <c r="X209" s="4">
        <f t="shared" si="6"/>
        <v>3817598.8878259594</v>
      </c>
      <c r="Y209" s="5">
        <f t="shared" si="7"/>
        <v>0.58149999999999991</v>
      </c>
    </row>
    <row r="210" spans="1:25" x14ac:dyDescent="0.25">
      <c r="A210" s="1" t="s">
        <v>80</v>
      </c>
      <c r="B210" s="1" t="s">
        <v>72</v>
      </c>
      <c r="C210" s="1" t="s">
        <v>73</v>
      </c>
      <c r="D210" s="1">
        <v>10130369.523859976</v>
      </c>
      <c r="E210" s="1">
        <v>668604.38857475854</v>
      </c>
      <c r="F210" s="1">
        <v>668604.38857475854</v>
      </c>
      <c r="G210" s="1">
        <v>835755.48571844806</v>
      </c>
      <c r="H210" s="1">
        <v>835755.48571844806</v>
      </c>
      <c r="I210" s="1">
        <v>835755.48571844806</v>
      </c>
      <c r="J210" s="1">
        <v>835755.48571844806</v>
      </c>
      <c r="K210" s="1">
        <v>835755.48571844806</v>
      </c>
      <c r="L210" s="1">
        <v>835755.48571844806</v>
      </c>
      <c r="M210" s="1">
        <v>509051.06857396371</v>
      </c>
      <c r="N210" s="1">
        <v>509051.06857396371</v>
      </c>
      <c r="O210" s="1">
        <v>424209.22381163645</v>
      </c>
      <c r="P210" s="1">
        <v>424209.22381163645</v>
      </c>
      <c r="Q210" s="1">
        <v>593892.91333629098</v>
      </c>
      <c r="R210" s="1">
        <v>593892.91333629098</v>
      </c>
      <c r="S210" s="1">
        <v>593892.91333629098</v>
      </c>
      <c r="T210" s="1">
        <v>593892.91333629098</v>
      </c>
      <c r="U210" s="1">
        <v>593892.91333629098</v>
      </c>
      <c r="V210" s="1">
        <v>593892.91333629098</v>
      </c>
      <c r="W210" s="4">
        <f t="shared" ref="W210:X273" si="8">U210+S210+Q210+O210+M210+K210+I210+G210+E210</f>
        <v>5890809.8781245761</v>
      </c>
      <c r="X210" s="4">
        <f t="shared" si="8"/>
        <v>5890809.8781245761</v>
      </c>
      <c r="Y210" s="5">
        <f t="shared" si="7"/>
        <v>0.58150000000000002</v>
      </c>
    </row>
    <row r="211" spans="1:25" x14ac:dyDescent="0.25">
      <c r="A211" s="1" t="s">
        <v>80</v>
      </c>
      <c r="B211" s="1" t="s">
        <v>48</v>
      </c>
      <c r="C211" s="1" t="s">
        <v>49</v>
      </c>
      <c r="D211" s="1">
        <v>6371823.7532031825</v>
      </c>
      <c r="E211" s="1">
        <v>420540.36771141004</v>
      </c>
      <c r="F211" s="1">
        <v>420540.36771141004</v>
      </c>
      <c r="G211" s="1">
        <v>525675.45963926252</v>
      </c>
      <c r="H211" s="1">
        <v>525675.45963926252</v>
      </c>
      <c r="I211" s="1">
        <v>525675.45963926252</v>
      </c>
      <c r="J211" s="1">
        <v>525675.45963926252</v>
      </c>
      <c r="K211" s="1">
        <v>525675.45963926252</v>
      </c>
      <c r="L211" s="1">
        <v>525675.45963926252</v>
      </c>
      <c r="M211" s="1">
        <v>320184.14359845995</v>
      </c>
      <c r="N211" s="1">
        <v>320184.14359845995</v>
      </c>
      <c r="O211" s="1">
        <v>266820.1196653833</v>
      </c>
      <c r="P211" s="1">
        <v>266820.1196653833</v>
      </c>
      <c r="Q211" s="1">
        <v>373548.1675315366</v>
      </c>
      <c r="R211" s="1">
        <v>373548.1675315366</v>
      </c>
      <c r="S211" s="1">
        <v>373548.1675315366</v>
      </c>
      <c r="T211" s="1">
        <v>373548.1675315366</v>
      </c>
      <c r="U211" s="1">
        <v>373548.1675315366</v>
      </c>
      <c r="V211" s="1">
        <v>373548.1675315366</v>
      </c>
      <c r="W211" s="4">
        <f t="shared" si="8"/>
        <v>3705215.5124876504</v>
      </c>
      <c r="X211" s="4">
        <f t="shared" si="8"/>
        <v>3705215.5124876504</v>
      </c>
      <c r="Y211" s="5">
        <f t="shared" si="7"/>
        <v>0.58150000000000002</v>
      </c>
    </row>
    <row r="212" spans="1:25" x14ac:dyDescent="0.25">
      <c r="A212" s="1" t="s">
        <v>80</v>
      </c>
      <c r="B212" s="1" t="s">
        <v>53</v>
      </c>
      <c r="C212" s="1" t="s">
        <v>30</v>
      </c>
      <c r="D212" s="1">
        <v>3286014.9262045384</v>
      </c>
      <c r="E212" s="1">
        <v>216876.98512949955</v>
      </c>
      <c r="F212" s="1">
        <v>216876.98512949955</v>
      </c>
      <c r="G212" s="1">
        <v>271096.23141187441</v>
      </c>
      <c r="H212" s="1">
        <v>271096.23141187441</v>
      </c>
      <c r="I212" s="1">
        <v>271096.23141187441</v>
      </c>
      <c r="J212" s="1">
        <v>271096.23141187441</v>
      </c>
      <c r="K212" s="1">
        <v>271096.23141187441</v>
      </c>
      <c r="L212" s="1">
        <v>271096.23141187441</v>
      </c>
      <c r="M212" s="1">
        <v>165122.25004177805</v>
      </c>
      <c r="N212" s="1">
        <v>165122.25004177805</v>
      </c>
      <c r="O212" s="1">
        <v>137601.87503481505</v>
      </c>
      <c r="P212" s="1">
        <v>137601.87503481505</v>
      </c>
      <c r="Q212" s="1">
        <v>192642.62504874106</v>
      </c>
      <c r="R212" s="1">
        <v>192642.62504874106</v>
      </c>
      <c r="S212" s="1">
        <v>192642.62504874106</v>
      </c>
      <c r="T212" s="1">
        <v>192642.62504874106</v>
      </c>
      <c r="U212" s="1">
        <v>192642.62504874106</v>
      </c>
      <c r="V212" s="1">
        <v>192642.62504874106</v>
      </c>
      <c r="W212" s="4">
        <f t="shared" si="8"/>
        <v>1910817.6795879391</v>
      </c>
      <c r="X212" s="4">
        <f t="shared" si="8"/>
        <v>1910817.6795879391</v>
      </c>
      <c r="Y212" s="5">
        <f t="shared" si="7"/>
        <v>0.58150000000000002</v>
      </c>
    </row>
    <row r="213" spans="1:25" x14ac:dyDescent="0.25">
      <c r="A213" s="1" t="s">
        <v>80</v>
      </c>
      <c r="B213" s="1" t="s">
        <v>74</v>
      </c>
      <c r="C213" s="1" t="s">
        <v>75</v>
      </c>
      <c r="D213" s="1">
        <v>5940301.0640891325</v>
      </c>
      <c r="E213" s="1">
        <v>392059.87022988277</v>
      </c>
      <c r="F213" s="1">
        <v>392059.87022988277</v>
      </c>
      <c r="G213" s="1">
        <v>490074.83778735343</v>
      </c>
      <c r="H213" s="1">
        <v>490074.83778735343</v>
      </c>
      <c r="I213" s="1">
        <v>490074.83778735343</v>
      </c>
      <c r="J213" s="1">
        <v>490074.83778735343</v>
      </c>
      <c r="K213" s="1">
        <v>490074.83778735343</v>
      </c>
      <c r="L213" s="1">
        <v>490074.83778735343</v>
      </c>
      <c r="M213" s="1">
        <v>298500.12847047887</v>
      </c>
      <c r="N213" s="1">
        <v>298500.12847047887</v>
      </c>
      <c r="O213" s="1">
        <v>248750.10705873242</v>
      </c>
      <c r="P213" s="1">
        <v>248750.10705873242</v>
      </c>
      <c r="Q213" s="1">
        <v>348250.14988222538</v>
      </c>
      <c r="R213" s="1">
        <v>348250.14988222538</v>
      </c>
      <c r="S213" s="1">
        <v>348250.14988222538</v>
      </c>
      <c r="T213" s="1">
        <v>348250.14988222538</v>
      </c>
      <c r="U213" s="1">
        <v>348250.14988222538</v>
      </c>
      <c r="V213" s="1">
        <v>348250.14988222538</v>
      </c>
      <c r="W213" s="4">
        <f t="shared" si="8"/>
        <v>3454285.0687678303</v>
      </c>
      <c r="X213" s="4">
        <f t="shared" si="8"/>
        <v>3454285.0687678303</v>
      </c>
      <c r="Y213" s="5">
        <f t="shared" si="7"/>
        <v>0.58149999999999991</v>
      </c>
    </row>
    <row r="214" spans="1:25" x14ac:dyDescent="0.25">
      <c r="A214" s="1" t="s">
        <v>80</v>
      </c>
      <c r="B214" s="1" t="s">
        <v>50</v>
      </c>
      <c r="C214" s="1" t="s">
        <v>25</v>
      </c>
      <c r="D214" s="1">
        <v>6690414.9408633402</v>
      </c>
      <c r="E214" s="1">
        <v>441567.38609698054</v>
      </c>
      <c r="F214" s="1">
        <v>441567.38609698054</v>
      </c>
      <c r="G214" s="1">
        <v>551959.23262122564</v>
      </c>
      <c r="H214" s="1">
        <v>551959.23262122564</v>
      </c>
      <c r="I214" s="1">
        <v>551959.23262122564</v>
      </c>
      <c r="J214" s="1">
        <v>551959.23262122564</v>
      </c>
      <c r="K214" s="1">
        <v>551959.23262122564</v>
      </c>
      <c r="L214" s="1">
        <v>551959.23262122564</v>
      </c>
      <c r="M214" s="1">
        <v>336193.3507783828</v>
      </c>
      <c r="N214" s="1">
        <v>336193.3507783828</v>
      </c>
      <c r="O214" s="1">
        <v>280161.12564865232</v>
      </c>
      <c r="P214" s="1">
        <v>280161.12564865232</v>
      </c>
      <c r="Q214" s="1">
        <v>392225.57590811321</v>
      </c>
      <c r="R214" s="1">
        <v>392225.57590811321</v>
      </c>
      <c r="S214" s="1">
        <v>392225.57590811321</v>
      </c>
      <c r="T214" s="1">
        <v>392225.57590811321</v>
      </c>
      <c r="U214" s="1">
        <v>392225.57590811321</v>
      </c>
      <c r="V214" s="1">
        <v>392225.57590811321</v>
      </c>
      <c r="W214" s="4">
        <f t="shared" si="8"/>
        <v>3890476.2881120318</v>
      </c>
      <c r="X214" s="4">
        <f t="shared" si="8"/>
        <v>3890476.2881120318</v>
      </c>
      <c r="Y214" s="5">
        <f t="shared" si="7"/>
        <v>0.58149999999999991</v>
      </c>
    </row>
    <row r="215" spans="1:25" x14ac:dyDescent="0.25">
      <c r="A215" s="1" t="s">
        <v>81</v>
      </c>
      <c r="B215" s="1" t="s">
        <v>59</v>
      </c>
      <c r="C215" s="1" t="s">
        <v>26</v>
      </c>
      <c r="D215" s="1">
        <v>48168876</v>
      </c>
      <c r="E215" s="1">
        <v>4235145.8427697551</v>
      </c>
      <c r="F215" s="1">
        <v>4235145.8427697551</v>
      </c>
      <c r="G215" s="1">
        <v>5293932.3034621933</v>
      </c>
      <c r="H215" s="1">
        <v>5293932.3034621933</v>
      </c>
      <c r="I215" s="1">
        <v>5293932.3034621933</v>
      </c>
      <c r="J215" s="1">
        <v>5293932.3034621933</v>
      </c>
      <c r="K215" s="1">
        <v>5293932.3034621933</v>
      </c>
      <c r="L215" s="1">
        <v>5293932.3034621933</v>
      </c>
      <c r="M215" s="1">
        <v>3374143.3482689038</v>
      </c>
      <c r="N215" s="1">
        <v>3374143.3482689038</v>
      </c>
      <c r="O215" s="1">
        <v>3374143.3482689038</v>
      </c>
      <c r="P215" s="1">
        <v>3374143.3482689038</v>
      </c>
      <c r="Q215" s="1">
        <v>3374143.3482689038</v>
      </c>
      <c r="R215" s="1">
        <v>3374143.3482689038</v>
      </c>
      <c r="S215" s="1">
        <v>3374143.3482689038</v>
      </c>
      <c r="T215" s="1">
        <v>3374143.3482689038</v>
      </c>
      <c r="U215" s="1">
        <v>3374143.3482689038</v>
      </c>
      <c r="V215" s="1">
        <v>3374143.3482689038</v>
      </c>
      <c r="W215" s="4">
        <f t="shared" si="8"/>
        <v>36987659.494500853</v>
      </c>
      <c r="X215" s="4">
        <f t="shared" si="8"/>
        <v>36987659.494500853</v>
      </c>
      <c r="Y215" s="5">
        <f t="shared" si="7"/>
        <v>0.76787466443063468</v>
      </c>
    </row>
    <row r="216" spans="1:25" x14ac:dyDescent="0.25">
      <c r="A216" s="1" t="s">
        <v>81</v>
      </c>
      <c r="B216" s="1" t="s">
        <v>59</v>
      </c>
      <c r="C216" s="1" t="s">
        <v>26</v>
      </c>
      <c r="D216" s="1">
        <v>16000000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8000000</v>
      </c>
      <c r="N216" s="1">
        <v>8000000</v>
      </c>
      <c r="O216" s="1">
        <v>8000000</v>
      </c>
      <c r="P216" s="1">
        <v>8000000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4">
        <f t="shared" si="8"/>
        <v>16000000</v>
      </c>
      <c r="X216" s="4">
        <f t="shared" si="8"/>
        <v>16000000</v>
      </c>
      <c r="Y216" s="5">
        <f t="shared" si="7"/>
        <v>1</v>
      </c>
    </row>
    <row r="217" spans="1:25" x14ac:dyDescent="0.25">
      <c r="A217" s="1" t="s">
        <v>81</v>
      </c>
      <c r="B217" s="1" t="s">
        <v>33</v>
      </c>
      <c r="C217" s="1" t="s">
        <v>34</v>
      </c>
      <c r="D217" s="1">
        <v>84000000</v>
      </c>
      <c r="E217" s="1">
        <v>0</v>
      </c>
      <c r="F217" s="1">
        <v>0</v>
      </c>
      <c r="G217" s="1">
        <v>16800000</v>
      </c>
      <c r="H217" s="1">
        <v>16800000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25200000</v>
      </c>
      <c r="P217" s="1">
        <v>25200000</v>
      </c>
      <c r="Q217" s="1">
        <v>0</v>
      </c>
      <c r="R217" s="1">
        <v>0</v>
      </c>
      <c r="S217" s="1">
        <v>25200000</v>
      </c>
      <c r="T217" s="1">
        <v>25200000</v>
      </c>
      <c r="U217" s="1">
        <v>16800000</v>
      </c>
      <c r="V217" s="1">
        <v>16800000</v>
      </c>
      <c r="W217" s="4">
        <f t="shared" si="8"/>
        <v>84000000</v>
      </c>
      <c r="X217" s="4">
        <f t="shared" si="8"/>
        <v>84000000</v>
      </c>
      <c r="Y217" s="5">
        <f t="shared" si="7"/>
        <v>1</v>
      </c>
    </row>
    <row r="218" spans="1:25" x14ac:dyDescent="0.25">
      <c r="A218" s="1" t="s">
        <v>81</v>
      </c>
      <c r="B218" s="1" t="s">
        <v>35</v>
      </c>
      <c r="C218" s="1" t="s">
        <v>34</v>
      </c>
      <c r="D218" s="1">
        <v>209999999.99999997</v>
      </c>
      <c r="E218" s="1">
        <v>0</v>
      </c>
      <c r="F218" s="1">
        <v>0</v>
      </c>
      <c r="G218" s="1">
        <v>57750000</v>
      </c>
      <c r="H218" s="1">
        <v>57750000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50749999.999999993</v>
      </c>
      <c r="P218" s="1">
        <v>50749999.999999993</v>
      </c>
      <c r="Q218" s="1">
        <v>0</v>
      </c>
      <c r="R218" s="1">
        <v>0</v>
      </c>
      <c r="S218" s="1">
        <v>50749999.999999993</v>
      </c>
      <c r="T218" s="1">
        <v>50749999.999999993</v>
      </c>
      <c r="U218" s="1">
        <v>50749999.999999993</v>
      </c>
      <c r="V218" s="1">
        <v>50749999.999999993</v>
      </c>
      <c r="W218" s="4">
        <f t="shared" si="8"/>
        <v>209999999.99999997</v>
      </c>
      <c r="X218" s="4">
        <f t="shared" si="8"/>
        <v>209999999.99999997</v>
      </c>
      <c r="Y218" s="5">
        <f t="shared" si="7"/>
        <v>1</v>
      </c>
    </row>
    <row r="219" spans="1:25" x14ac:dyDescent="0.25">
      <c r="A219" s="1" t="s">
        <v>81</v>
      </c>
      <c r="B219" s="1" t="s">
        <v>38</v>
      </c>
      <c r="C219" s="1" t="s">
        <v>39</v>
      </c>
      <c r="D219" s="1">
        <v>8843640.5115986671</v>
      </c>
      <c r="E219" s="1">
        <v>583680.27376551216</v>
      </c>
      <c r="F219" s="1">
        <v>583680.27376551216</v>
      </c>
      <c r="G219" s="1">
        <v>729600.34220689011</v>
      </c>
      <c r="H219" s="1">
        <v>729600.34220689011</v>
      </c>
      <c r="I219" s="1">
        <v>729600.34220689011</v>
      </c>
      <c r="J219" s="1">
        <v>729600.34220689011</v>
      </c>
      <c r="K219" s="1">
        <v>729600.34220689011</v>
      </c>
      <c r="L219" s="1">
        <v>729600.34220689011</v>
      </c>
      <c r="M219" s="1">
        <v>444392.93570783309</v>
      </c>
      <c r="N219" s="1">
        <v>444392.93570783309</v>
      </c>
      <c r="O219" s="1">
        <v>370327.44642319425</v>
      </c>
      <c r="P219" s="1">
        <v>370327.44642319425</v>
      </c>
      <c r="Q219" s="1">
        <v>518458.42499247193</v>
      </c>
      <c r="R219" s="1">
        <v>518458.42499247193</v>
      </c>
      <c r="S219" s="1">
        <v>518458.42499247193</v>
      </c>
      <c r="T219" s="1">
        <v>518458.42499247193</v>
      </c>
      <c r="U219" s="1">
        <v>518458.42499247193</v>
      </c>
      <c r="V219" s="1">
        <v>518458.42499247193</v>
      </c>
      <c r="W219" s="4">
        <f t="shared" si="8"/>
        <v>5142576.9574946258</v>
      </c>
      <c r="X219" s="4">
        <f t="shared" si="8"/>
        <v>5142576.9574946258</v>
      </c>
      <c r="Y219" s="5">
        <f t="shared" si="7"/>
        <v>0.58150000000000013</v>
      </c>
    </row>
    <row r="220" spans="1:25" x14ac:dyDescent="0.25">
      <c r="A220" s="1" t="s">
        <v>81</v>
      </c>
      <c r="B220" s="1" t="s">
        <v>61</v>
      </c>
      <c r="C220" s="1" t="s">
        <v>34</v>
      </c>
      <c r="D220" s="1">
        <v>130705096</v>
      </c>
      <c r="E220" s="1">
        <v>0</v>
      </c>
      <c r="F220" s="1">
        <v>0</v>
      </c>
      <c r="G220" s="1">
        <v>10456407.678808993</v>
      </c>
      <c r="H220" s="1">
        <v>10456407.678808993</v>
      </c>
      <c r="I220" s="1">
        <v>0</v>
      </c>
      <c r="J220" s="1">
        <v>0</v>
      </c>
      <c r="K220" s="1">
        <v>0</v>
      </c>
      <c r="L220" s="1">
        <v>0</v>
      </c>
      <c r="M220" s="1">
        <v>30062172.080297753</v>
      </c>
      <c r="N220" s="1">
        <v>30062172.080297753</v>
      </c>
      <c r="O220" s="1">
        <v>0</v>
      </c>
      <c r="P220" s="1">
        <v>0</v>
      </c>
      <c r="Q220" s="1">
        <v>0</v>
      </c>
      <c r="R220" s="1">
        <v>0</v>
      </c>
      <c r="S220" s="1">
        <v>45093258.12044663</v>
      </c>
      <c r="T220" s="1">
        <v>45093258.12044663</v>
      </c>
      <c r="U220" s="1">
        <v>0</v>
      </c>
      <c r="V220" s="1">
        <v>0</v>
      </c>
      <c r="W220" s="4">
        <f t="shared" si="8"/>
        <v>85611837.879553378</v>
      </c>
      <c r="X220" s="4">
        <f t="shared" si="8"/>
        <v>85611837.879553378</v>
      </c>
      <c r="Y220" s="5">
        <f t="shared" si="7"/>
        <v>0.65499999999658298</v>
      </c>
    </row>
    <row r="221" spans="1:25" x14ac:dyDescent="0.25">
      <c r="A221" s="1" t="s">
        <v>81</v>
      </c>
      <c r="B221" s="1" t="s">
        <v>62</v>
      </c>
      <c r="C221" s="1" t="s">
        <v>63</v>
      </c>
      <c r="D221" s="1">
        <v>18142857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1360714.2857142857</v>
      </c>
      <c r="N221" s="1">
        <v>1360714.2857142857</v>
      </c>
      <c r="O221" s="1">
        <v>1133928.5714285714</v>
      </c>
      <c r="P221" s="1">
        <v>1133928.5714285714</v>
      </c>
      <c r="Q221" s="1">
        <v>1587499.9999999998</v>
      </c>
      <c r="R221" s="1">
        <v>1587499.9999999998</v>
      </c>
      <c r="S221" s="1">
        <v>1587499.9999999998</v>
      </c>
      <c r="T221" s="1">
        <v>1587499.9999999998</v>
      </c>
      <c r="U221" s="1">
        <v>1587499.9999999998</v>
      </c>
      <c r="V221" s="1">
        <v>1587499.9999999998</v>
      </c>
      <c r="W221" s="4">
        <f t="shared" si="8"/>
        <v>7257142.8571428563</v>
      </c>
      <c r="X221" s="4">
        <f t="shared" si="8"/>
        <v>7257142.8571428563</v>
      </c>
      <c r="Y221" s="5">
        <f t="shared" si="7"/>
        <v>0.40000000314960626</v>
      </c>
    </row>
    <row r="222" spans="1:25" x14ac:dyDescent="0.25">
      <c r="A222" s="1" t="s">
        <v>81</v>
      </c>
      <c r="B222" s="1" t="s">
        <v>40</v>
      </c>
      <c r="C222" s="1" t="s">
        <v>27</v>
      </c>
      <c r="D222" s="1">
        <v>172084393.81</v>
      </c>
      <c r="E222" s="1">
        <v>13432454.039999999</v>
      </c>
      <c r="F222" s="1">
        <v>13432454.039999999</v>
      </c>
      <c r="G222" s="1">
        <v>22102987.390000001</v>
      </c>
      <c r="H222" s="1">
        <v>22102987.390000001</v>
      </c>
      <c r="I222" s="1">
        <v>14048820.449999999</v>
      </c>
      <c r="J222" s="1">
        <v>14048820.449999999</v>
      </c>
      <c r="K222" s="1">
        <v>13719483.100537907</v>
      </c>
      <c r="L222" s="1">
        <v>13719483.100537907</v>
      </c>
      <c r="M222" s="1">
        <v>33799378.012096584</v>
      </c>
      <c r="N222" s="1">
        <v>33799378.012096584</v>
      </c>
      <c r="O222" s="1">
        <v>34699599.717365533</v>
      </c>
      <c r="P222" s="1">
        <v>34699599.717365533</v>
      </c>
      <c r="Q222" s="1">
        <v>10906068.841666667</v>
      </c>
      <c r="R222" s="1">
        <v>10906068.841666667</v>
      </c>
      <c r="S222" s="1">
        <v>5274653.7850000001</v>
      </c>
      <c r="T222" s="1">
        <v>5274653.7850000001</v>
      </c>
      <c r="U222" s="1">
        <v>9757820.4516666662</v>
      </c>
      <c r="V222" s="1">
        <v>9757820.4516666662</v>
      </c>
      <c r="W222" s="4">
        <f t="shared" si="8"/>
        <v>157741265.78833336</v>
      </c>
      <c r="X222" s="4">
        <f t="shared" si="8"/>
        <v>157741265.78833336</v>
      </c>
      <c r="Y222" s="5">
        <f t="shared" si="7"/>
        <v>0.91665061715298235</v>
      </c>
    </row>
    <row r="223" spans="1:25" x14ac:dyDescent="0.25">
      <c r="A223" s="1" t="s">
        <v>81</v>
      </c>
      <c r="B223" s="1" t="s">
        <v>40</v>
      </c>
      <c r="C223" s="1" t="s">
        <v>27</v>
      </c>
      <c r="D223" s="1">
        <v>190977089</v>
      </c>
      <c r="E223" s="1">
        <v>0</v>
      </c>
      <c r="F223" s="1">
        <v>0</v>
      </c>
      <c r="G223" s="1">
        <v>26869272.25</v>
      </c>
      <c r="H223" s="1">
        <v>26869272.25</v>
      </c>
      <c r="I223" s="1">
        <v>26869272.25</v>
      </c>
      <c r="J223" s="1">
        <v>26869272.25</v>
      </c>
      <c r="K223" s="1">
        <v>0</v>
      </c>
      <c r="L223" s="1">
        <v>0</v>
      </c>
      <c r="M223" s="1">
        <v>51464454.1875</v>
      </c>
      <c r="N223" s="1">
        <v>51464454.1875</v>
      </c>
      <c r="O223" s="1">
        <v>34309636.125</v>
      </c>
      <c r="P223" s="1">
        <v>34309636.125</v>
      </c>
      <c r="Q223" s="1">
        <v>51464454.1875</v>
      </c>
      <c r="R223" s="1">
        <v>51464454.1875</v>
      </c>
      <c r="S223" s="1">
        <v>0</v>
      </c>
      <c r="T223" s="1">
        <v>0</v>
      </c>
      <c r="U223" s="1">
        <v>0</v>
      </c>
      <c r="V223" s="1">
        <v>0</v>
      </c>
      <c r="W223" s="4">
        <f t="shared" si="8"/>
        <v>190977089</v>
      </c>
      <c r="X223" s="4">
        <f t="shared" si="8"/>
        <v>190977089</v>
      </c>
      <c r="Y223" s="5">
        <f t="shared" si="7"/>
        <v>1</v>
      </c>
    </row>
    <row r="224" spans="1:25" x14ac:dyDescent="0.25">
      <c r="A224" s="1" t="s">
        <v>81</v>
      </c>
      <c r="B224" s="1" t="s">
        <v>40</v>
      </c>
      <c r="C224" s="1" t="s">
        <v>27</v>
      </c>
      <c r="D224" s="1">
        <v>50400000</v>
      </c>
      <c r="E224" s="1">
        <v>0</v>
      </c>
      <c r="F224" s="1">
        <v>0</v>
      </c>
      <c r="G224" s="1">
        <v>12900000</v>
      </c>
      <c r="H224" s="1">
        <v>12900000</v>
      </c>
      <c r="I224" s="1">
        <v>6500000</v>
      </c>
      <c r="J224" s="1">
        <v>6500000</v>
      </c>
      <c r="K224" s="1">
        <v>0</v>
      </c>
      <c r="L224" s="1">
        <v>0</v>
      </c>
      <c r="M224" s="1">
        <v>11625000</v>
      </c>
      <c r="N224" s="1">
        <v>11625000</v>
      </c>
      <c r="O224" s="1">
        <v>7750000</v>
      </c>
      <c r="P224" s="1">
        <v>7750000</v>
      </c>
      <c r="Q224" s="1">
        <v>11625000</v>
      </c>
      <c r="R224" s="1">
        <v>11625000</v>
      </c>
      <c r="S224" s="1">
        <v>0</v>
      </c>
      <c r="T224" s="1">
        <v>0</v>
      </c>
      <c r="U224" s="1">
        <v>0</v>
      </c>
      <c r="V224" s="1">
        <v>0</v>
      </c>
      <c r="W224" s="4">
        <f t="shared" si="8"/>
        <v>50400000</v>
      </c>
      <c r="X224" s="4">
        <f t="shared" si="8"/>
        <v>50400000</v>
      </c>
      <c r="Y224" s="5">
        <f t="shared" si="7"/>
        <v>1</v>
      </c>
    </row>
    <row r="225" spans="1:25" x14ac:dyDescent="0.25">
      <c r="A225" s="1" t="s">
        <v>81</v>
      </c>
      <c r="B225" s="1" t="s">
        <v>43</v>
      </c>
      <c r="C225" s="1" t="s">
        <v>31</v>
      </c>
      <c r="D225" s="1">
        <v>4336745</v>
      </c>
      <c r="E225" s="1">
        <v>251914.58847498187</v>
      </c>
      <c r="F225" s="1">
        <v>251914.58847498187</v>
      </c>
      <c r="G225" s="1">
        <v>314893.23559372732</v>
      </c>
      <c r="H225" s="1">
        <v>314893.23559372732</v>
      </c>
      <c r="I225" s="1">
        <v>314893.23559372732</v>
      </c>
      <c r="J225" s="1">
        <v>314893.23559372732</v>
      </c>
      <c r="K225" s="1">
        <v>314893.23559372732</v>
      </c>
      <c r="L225" s="1">
        <v>314893.23559372732</v>
      </c>
      <c r="M225" s="1">
        <v>234146.60355775742</v>
      </c>
      <c r="N225" s="1">
        <v>234146.60355775742</v>
      </c>
      <c r="O225" s="1">
        <v>195122.16963146452</v>
      </c>
      <c r="P225" s="1">
        <v>195122.16963146452</v>
      </c>
      <c r="Q225" s="1">
        <v>241823.17794921115</v>
      </c>
      <c r="R225" s="1">
        <v>241823.17794921115</v>
      </c>
      <c r="S225" s="1">
        <v>273171.03748405032</v>
      </c>
      <c r="T225" s="1">
        <v>273171.03748405032</v>
      </c>
      <c r="U225" s="1">
        <v>273171.03748405032</v>
      </c>
      <c r="V225" s="1">
        <v>273171.03748405032</v>
      </c>
      <c r="W225" s="4">
        <f t="shared" si="8"/>
        <v>2414028.321362698</v>
      </c>
      <c r="X225" s="4">
        <f t="shared" si="8"/>
        <v>2414028.321362698</v>
      </c>
      <c r="Y225" s="5">
        <f t="shared" si="7"/>
        <v>0.55664520772208137</v>
      </c>
    </row>
    <row r="226" spans="1:25" x14ac:dyDescent="0.25">
      <c r="A226" s="1" t="s">
        <v>81</v>
      </c>
      <c r="B226" s="1" t="s">
        <v>64</v>
      </c>
      <c r="C226" s="1" t="s">
        <v>23</v>
      </c>
      <c r="D226" s="1">
        <v>4617088.0876949253</v>
      </c>
      <c r="E226" s="1">
        <v>304727.8137878651</v>
      </c>
      <c r="F226" s="1">
        <v>304727.8137878651</v>
      </c>
      <c r="G226" s="1">
        <v>380909.76723483135</v>
      </c>
      <c r="H226" s="1">
        <v>380909.76723483135</v>
      </c>
      <c r="I226" s="1">
        <v>380909.76723483135</v>
      </c>
      <c r="J226" s="1">
        <v>380909.76723483135</v>
      </c>
      <c r="K226" s="1">
        <v>380909.76723483135</v>
      </c>
      <c r="L226" s="1">
        <v>380909.76723483135</v>
      </c>
      <c r="M226" s="1">
        <v>232008.67640666998</v>
      </c>
      <c r="N226" s="1">
        <v>232008.67640666998</v>
      </c>
      <c r="O226" s="1">
        <v>193340.56367222499</v>
      </c>
      <c r="P226" s="1">
        <v>193340.56367222499</v>
      </c>
      <c r="Q226" s="1">
        <v>270676.78914111498</v>
      </c>
      <c r="R226" s="1">
        <v>270676.78914111498</v>
      </c>
      <c r="S226" s="1">
        <v>270676.78914111498</v>
      </c>
      <c r="T226" s="1">
        <v>270676.78914111498</v>
      </c>
      <c r="U226" s="1">
        <v>270676.78914111498</v>
      </c>
      <c r="V226" s="1">
        <v>270676.78914111498</v>
      </c>
      <c r="W226" s="4">
        <f t="shared" si="8"/>
        <v>2684836.722994599</v>
      </c>
      <c r="X226" s="4">
        <f t="shared" si="8"/>
        <v>2684836.722994599</v>
      </c>
      <c r="Y226" s="5">
        <f t="shared" si="7"/>
        <v>0.58150000000000002</v>
      </c>
    </row>
    <row r="227" spans="1:25" x14ac:dyDescent="0.25">
      <c r="A227" s="1" t="s">
        <v>81</v>
      </c>
      <c r="B227" s="1" t="s">
        <v>65</v>
      </c>
      <c r="C227" s="1" t="s">
        <v>31</v>
      </c>
      <c r="D227" s="1">
        <v>3860251.5168930986</v>
      </c>
      <c r="E227" s="1">
        <v>254776.60011494454</v>
      </c>
      <c r="F227" s="1">
        <v>254776.60011494454</v>
      </c>
      <c r="G227" s="1">
        <v>318470.75014368066</v>
      </c>
      <c r="H227" s="1">
        <v>318470.75014368066</v>
      </c>
      <c r="I227" s="1">
        <v>318470.75014368066</v>
      </c>
      <c r="J227" s="1">
        <v>318470.75014368066</v>
      </c>
      <c r="K227" s="1">
        <v>318470.75014368066</v>
      </c>
      <c r="L227" s="1">
        <v>318470.75014368066</v>
      </c>
      <c r="M227" s="1">
        <v>193977.63872387822</v>
      </c>
      <c r="N227" s="1">
        <v>193977.63872387822</v>
      </c>
      <c r="O227" s="1">
        <v>161648.03226989851</v>
      </c>
      <c r="P227" s="1">
        <v>161648.03226989851</v>
      </c>
      <c r="Q227" s="1">
        <v>226307.2451778579</v>
      </c>
      <c r="R227" s="1">
        <v>226307.2451778579</v>
      </c>
      <c r="S227" s="1">
        <v>226307.2451778579</v>
      </c>
      <c r="T227" s="1">
        <v>226307.2451778579</v>
      </c>
      <c r="U227" s="1">
        <v>226307.2451778579</v>
      </c>
      <c r="V227" s="1">
        <v>226307.2451778579</v>
      </c>
      <c r="W227" s="4">
        <f t="shared" si="8"/>
        <v>2244736.2570733372</v>
      </c>
      <c r="X227" s="4">
        <f t="shared" si="8"/>
        <v>2244736.2570733372</v>
      </c>
      <c r="Y227" s="5">
        <f t="shared" si="7"/>
        <v>0.58150000000000013</v>
      </c>
    </row>
    <row r="228" spans="1:25" x14ac:dyDescent="0.25">
      <c r="A228" s="1" t="s">
        <v>81</v>
      </c>
      <c r="B228" s="1" t="s">
        <v>44</v>
      </c>
      <c r="C228" s="1" t="s">
        <v>45</v>
      </c>
      <c r="D228" s="1">
        <v>8843640.5115986671</v>
      </c>
      <c r="E228" s="1">
        <v>583680.27376551216</v>
      </c>
      <c r="F228" s="1">
        <v>583680.27376551216</v>
      </c>
      <c r="G228" s="1">
        <v>729600.34220689011</v>
      </c>
      <c r="H228" s="1">
        <v>729600.34220689011</v>
      </c>
      <c r="I228" s="1">
        <v>729600.34220689011</v>
      </c>
      <c r="J228" s="1">
        <v>729600.34220689011</v>
      </c>
      <c r="K228" s="1">
        <v>729600.34220689011</v>
      </c>
      <c r="L228" s="1">
        <v>729600.34220689011</v>
      </c>
      <c r="M228" s="1">
        <v>444392.93570783309</v>
      </c>
      <c r="N228" s="1">
        <v>444392.93570783309</v>
      </c>
      <c r="O228" s="1">
        <v>370327.44642319425</v>
      </c>
      <c r="P228" s="1">
        <v>370327.44642319425</v>
      </c>
      <c r="Q228" s="1">
        <v>518458.42499247193</v>
      </c>
      <c r="R228" s="1">
        <v>518458.42499247193</v>
      </c>
      <c r="S228" s="1">
        <v>518458.42499247193</v>
      </c>
      <c r="T228" s="1">
        <v>518458.42499247193</v>
      </c>
      <c r="U228" s="1">
        <v>518458.42499247193</v>
      </c>
      <c r="V228" s="1">
        <v>518458.42499247193</v>
      </c>
      <c r="W228" s="4">
        <f t="shared" si="8"/>
        <v>5142576.9574946258</v>
      </c>
      <c r="X228" s="4">
        <f t="shared" si="8"/>
        <v>5142576.9574946258</v>
      </c>
      <c r="Y228" s="5">
        <f t="shared" si="7"/>
        <v>0.58150000000000013</v>
      </c>
    </row>
    <row r="229" spans="1:25" x14ac:dyDescent="0.25">
      <c r="A229" s="1" t="s">
        <v>81</v>
      </c>
      <c r="B229" s="1" t="s">
        <v>46</v>
      </c>
      <c r="C229" s="1" t="s">
        <v>22</v>
      </c>
      <c r="D229" s="1">
        <v>106643535.0828632</v>
      </c>
      <c r="E229" s="1">
        <v>7045066.4461732879</v>
      </c>
      <c r="F229" s="1">
        <v>7045066.4461732879</v>
      </c>
      <c r="G229" s="1">
        <v>8806333.0577166099</v>
      </c>
      <c r="H229" s="1">
        <v>8806333.0577166099</v>
      </c>
      <c r="I229" s="1">
        <v>8806333.0577166099</v>
      </c>
      <c r="J229" s="1">
        <v>8806333.0577166099</v>
      </c>
      <c r="K229" s="1">
        <v>8806333.0577166099</v>
      </c>
      <c r="L229" s="1">
        <v>8806333.0577166099</v>
      </c>
      <c r="M229" s="1">
        <v>5525684.4551199563</v>
      </c>
      <c r="N229" s="1">
        <v>5525684.4551199563</v>
      </c>
      <c r="O229" s="1">
        <v>4493428.5502518211</v>
      </c>
      <c r="P229" s="1">
        <v>4493428.5502518211</v>
      </c>
      <c r="Q229" s="1">
        <v>6220872.8851826247</v>
      </c>
      <c r="R229" s="1">
        <v>6220872.8851826247</v>
      </c>
      <c r="S229" s="1">
        <v>6220872.8851826247</v>
      </c>
      <c r="T229" s="1">
        <v>6220872.8851826247</v>
      </c>
      <c r="U229" s="1">
        <v>6220872.8851826247</v>
      </c>
      <c r="V229" s="1">
        <v>6220872.8851826247</v>
      </c>
      <c r="W229" s="4">
        <f t="shared" si="8"/>
        <v>62145797.280242763</v>
      </c>
      <c r="X229" s="4">
        <f t="shared" si="8"/>
        <v>62145797.280242763</v>
      </c>
      <c r="Y229" s="5">
        <f t="shared" si="7"/>
        <v>0.58274322238056719</v>
      </c>
    </row>
    <row r="230" spans="1:25" x14ac:dyDescent="0.25">
      <c r="A230" s="1" t="s">
        <v>81</v>
      </c>
      <c r="B230" s="1" t="s">
        <v>66</v>
      </c>
      <c r="C230" s="1" t="s">
        <v>24</v>
      </c>
      <c r="D230" s="1">
        <v>347015009.53974646</v>
      </c>
      <c r="E230" s="1">
        <v>28628738.287029084</v>
      </c>
      <c r="F230" s="1">
        <v>28628738.287029084</v>
      </c>
      <c r="G230" s="1">
        <v>28628738.287029084</v>
      </c>
      <c r="H230" s="1">
        <v>28628738.287029084</v>
      </c>
      <c r="I230" s="1">
        <v>28628738.287029084</v>
      </c>
      <c r="J230" s="1">
        <v>28628738.287029084</v>
      </c>
      <c r="K230" s="1">
        <v>28628738.287029084</v>
      </c>
      <c r="L230" s="1">
        <v>28628738.287029084</v>
      </c>
      <c r="M230" s="1">
        <v>30074634.351883665</v>
      </c>
      <c r="N230" s="1">
        <v>30074634.351883665</v>
      </c>
      <c r="O230" s="1">
        <v>28917917.5</v>
      </c>
      <c r="P230" s="1">
        <v>28917917.5</v>
      </c>
      <c r="Q230" s="1">
        <v>28917917.5</v>
      </c>
      <c r="R230" s="1">
        <v>28917917.5</v>
      </c>
      <c r="S230" s="1">
        <v>28917917.5</v>
      </c>
      <c r="T230" s="1">
        <v>28917917.5</v>
      </c>
      <c r="U230" s="1">
        <v>28917917.5</v>
      </c>
      <c r="V230" s="1">
        <v>28917917.5</v>
      </c>
      <c r="W230" s="4">
        <f t="shared" si="8"/>
        <v>260261257.5</v>
      </c>
      <c r="X230" s="4">
        <f t="shared" si="8"/>
        <v>260261257.5</v>
      </c>
      <c r="Y230" s="5">
        <f t="shared" si="7"/>
        <v>0.75000000099474129</v>
      </c>
    </row>
    <row r="231" spans="1:25" x14ac:dyDescent="0.25">
      <c r="A231" s="1" t="s">
        <v>81</v>
      </c>
      <c r="B231" s="1" t="s">
        <v>67</v>
      </c>
      <c r="C231" s="1" t="s">
        <v>68</v>
      </c>
      <c r="D231" s="1">
        <v>5916750.6585043678</v>
      </c>
      <c r="E231" s="1">
        <v>390505.54346128833</v>
      </c>
      <c r="F231" s="1">
        <v>390505.54346128833</v>
      </c>
      <c r="G231" s="1">
        <v>488131.92932661035</v>
      </c>
      <c r="H231" s="1">
        <v>488131.92932661035</v>
      </c>
      <c r="I231" s="1">
        <v>488131.92932661035</v>
      </c>
      <c r="J231" s="1">
        <v>488131.92932661035</v>
      </c>
      <c r="K231" s="1">
        <v>488131.92932661035</v>
      </c>
      <c r="L231" s="1">
        <v>488131.92932661035</v>
      </c>
      <c r="M231" s="1">
        <v>307671.03424222715</v>
      </c>
      <c r="N231" s="1">
        <v>307671.03424222715</v>
      </c>
      <c r="O231" s="1">
        <v>246531.277437682</v>
      </c>
      <c r="P231" s="1">
        <v>246531.277437682</v>
      </c>
      <c r="Q231" s="1">
        <v>345143.78841275477</v>
      </c>
      <c r="R231" s="1">
        <v>345143.78841275477</v>
      </c>
      <c r="S231" s="1">
        <v>345143.78841275477</v>
      </c>
      <c r="T231" s="1">
        <v>345143.78841275477</v>
      </c>
      <c r="U231" s="1">
        <v>345143.78841275477</v>
      </c>
      <c r="V231" s="1">
        <v>345143.78841275477</v>
      </c>
      <c r="W231" s="4">
        <f t="shared" si="8"/>
        <v>3444535.0083592925</v>
      </c>
      <c r="X231" s="4">
        <f t="shared" si="8"/>
        <v>3444535.0083592925</v>
      </c>
      <c r="Y231" s="5">
        <f t="shared" si="7"/>
        <v>0.58216666666666661</v>
      </c>
    </row>
    <row r="232" spans="1:25" x14ac:dyDescent="0.25">
      <c r="A232" s="1" t="s">
        <v>81</v>
      </c>
      <c r="B232" s="1" t="s">
        <v>69</v>
      </c>
      <c r="C232" s="1" t="s">
        <v>28</v>
      </c>
      <c r="D232" s="1">
        <v>8615870.6825547982</v>
      </c>
      <c r="E232" s="1">
        <v>568647.46504861675</v>
      </c>
      <c r="F232" s="1">
        <v>568647.46504861675</v>
      </c>
      <c r="G232" s="1">
        <v>710809.33131077094</v>
      </c>
      <c r="H232" s="1">
        <v>710809.33131077094</v>
      </c>
      <c r="I232" s="1">
        <v>710809.33131077094</v>
      </c>
      <c r="J232" s="1">
        <v>710809.33131077094</v>
      </c>
      <c r="K232" s="1">
        <v>710809.33131077094</v>
      </c>
      <c r="L232" s="1">
        <v>710809.33131077094</v>
      </c>
      <c r="M232" s="1">
        <v>432947.50179837859</v>
      </c>
      <c r="N232" s="1">
        <v>432947.50179837859</v>
      </c>
      <c r="O232" s="1">
        <v>360789.58483198215</v>
      </c>
      <c r="P232" s="1">
        <v>360789.58483198215</v>
      </c>
      <c r="Q232" s="1">
        <v>505105.41876477498</v>
      </c>
      <c r="R232" s="1">
        <v>505105.41876477498</v>
      </c>
      <c r="S232" s="1">
        <v>505105.41876477498</v>
      </c>
      <c r="T232" s="1">
        <v>505105.41876477498</v>
      </c>
      <c r="U232" s="1">
        <v>505105.41876477498</v>
      </c>
      <c r="V232" s="1">
        <v>505105.41876477498</v>
      </c>
      <c r="W232" s="4">
        <f t="shared" si="8"/>
        <v>5010128.8019056153</v>
      </c>
      <c r="X232" s="4">
        <f t="shared" si="8"/>
        <v>5010128.8019056153</v>
      </c>
      <c r="Y232" s="5">
        <f t="shared" si="7"/>
        <v>0.58150000000000002</v>
      </c>
    </row>
    <row r="233" spans="1:25" x14ac:dyDescent="0.25">
      <c r="A233" s="1" t="s">
        <v>81</v>
      </c>
      <c r="B233" s="1" t="s">
        <v>70</v>
      </c>
      <c r="C233" s="1" t="s">
        <v>23</v>
      </c>
      <c r="D233" s="1">
        <v>8268750.0182812503</v>
      </c>
      <c r="E233" s="1">
        <v>545737.50120656262</v>
      </c>
      <c r="F233" s="1">
        <v>545737.50120656262</v>
      </c>
      <c r="G233" s="1">
        <v>682171.87650820322</v>
      </c>
      <c r="H233" s="1">
        <v>682171.87650820322</v>
      </c>
      <c r="I233" s="1">
        <v>682171.87650820322</v>
      </c>
      <c r="J233" s="1">
        <v>682171.87650820322</v>
      </c>
      <c r="K233" s="1">
        <v>682171.87650820322</v>
      </c>
      <c r="L233" s="1">
        <v>682171.87650820322</v>
      </c>
      <c r="M233" s="1">
        <v>415504.68841863284</v>
      </c>
      <c r="N233" s="1">
        <v>415504.68841863284</v>
      </c>
      <c r="O233" s="1">
        <v>346253.90701552737</v>
      </c>
      <c r="P233" s="1">
        <v>346253.90701552737</v>
      </c>
      <c r="Q233" s="1">
        <v>484755.46982173825</v>
      </c>
      <c r="R233" s="1">
        <v>484755.46982173825</v>
      </c>
      <c r="S233" s="1">
        <v>484755.46982173825</v>
      </c>
      <c r="T233" s="1">
        <v>484755.46982173825</v>
      </c>
      <c r="U233" s="1">
        <v>484755.46982173825</v>
      </c>
      <c r="V233" s="1">
        <v>484755.46982173825</v>
      </c>
      <c r="W233" s="4">
        <f t="shared" si="8"/>
        <v>4808278.135630548</v>
      </c>
      <c r="X233" s="4">
        <f t="shared" si="8"/>
        <v>4808278.135630548</v>
      </c>
      <c r="Y233" s="5">
        <f t="shared" si="7"/>
        <v>0.58150000000000013</v>
      </c>
    </row>
    <row r="234" spans="1:25" x14ac:dyDescent="0.25">
      <c r="A234" s="1" t="s">
        <v>81</v>
      </c>
      <c r="B234" s="1" t="s">
        <v>71</v>
      </c>
      <c r="C234" s="1" t="s">
        <v>29</v>
      </c>
      <c r="D234" s="1">
        <v>7094565.5711538428</v>
      </c>
      <c r="E234" s="1">
        <v>468241.32769615366</v>
      </c>
      <c r="F234" s="1">
        <v>468241.32769615366</v>
      </c>
      <c r="G234" s="1">
        <v>585301.65962019202</v>
      </c>
      <c r="H234" s="1">
        <v>585301.65962019202</v>
      </c>
      <c r="I234" s="1">
        <v>585301.65962019202</v>
      </c>
      <c r="J234" s="1">
        <v>585301.65962019202</v>
      </c>
      <c r="K234" s="1">
        <v>585301.65962019202</v>
      </c>
      <c r="L234" s="1">
        <v>585301.65962019202</v>
      </c>
      <c r="M234" s="1">
        <v>356501.91995048057</v>
      </c>
      <c r="N234" s="1">
        <v>356501.91995048057</v>
      </c>
      <c r="O234" s="1">
        <v>297084.93329206714</v>
      </c>
      <c r="P234" s="1">
        <v>297084.93329206714</v>
      </c>
      <c r="Q234" s="1">
        <v>415918.906608894</v>
      </c>
      <c r="R234" s="1">
        <v>415918.906608894</v>
      </c>
      <c r="S234" s="1">
        <v>415918.906608894</v>
      </c>
      <c r="T234" s="1">
        <v>415918.906608894</v>
      </c>
      <c r="U234" s="1">
        <v>415918.906608894</v>
      </c>
      <c r="V234" s="1">
        <v>415918.906608894</v>
      </c>
      <c r="W234" s="4">
        <f t="shared" si="8"/>
        <v>4125489.8796259593</v>
      </c>
      <c r="X234" s="4">
        <f t="shared" si="8"/>
        <v>4125489.8796259593</v>
      </c>
      <c r="Y234" s="5">
        <f t="shared" si="7"/>
        <v>0.58149999999999991</v>
      </c>
    </row>
    <row r="235" spans="1:25" x14ac:dyDescent="0.25">
      <c r="A235" s="1" t="s">
        <v>81</v>
      </c>
      <c r="B235" s="1" t="s">
        <v>72</v>
      </c>
      <c r="C235" s="1" t="s">
        <v>73</v>
      </c>
      <c r="D235" s="1">
        <v>9201439.4880805071</v>
      </c>
      <c r="E235" s="1">
        <v>607295.00621331355</v>
      </c>
      <c r="F235" s="1">
        <v>607295.00621331355</v>
      </c>
      <c r="G235" s="1">
        <v>759118.75776664191</v>
      </c>
      <c r="H235" s="1">
        <v>759118.75776664191</v>
      </c>
      <c r="I235" s="1">
        <v>759118.75776664191</v>
      </c>
      <c r="J235" s="1">
        <v>759118.75776664191</v>
      </c>
      <c r="K235" s="1">
        <v>759118.75776664191</v>
      </c>
      <c r="L235" s="1">
        <v>759118.75776664191</v>
      </c>
      <c r="M235" s="1">
        <v>462372.33427604544</v>
      </c>
      <c r="N235" s="1">
        <v>462372.33427604544</v>
      </c>
      <c r="O235" s="1">
        <v>385310.27856337122</v>
      </c>
      <c r="P235" s="1">
        <v>385310.27856337122</v>
      </c>
      <c r="Q235" s="1">
        <v>539434.38998871972</v>
      </c>
      <c r="R235" s="1">
        <v>539434.38998871972</v>
      </c>
      <c r="S235" s="1">
        <v>539434.38998871972</v>
      </c>
      <c r="T235" s="1">
        <v>539434.38998871972</v>
      </c>
      <c r="U235" s="1">
        <v>539434.38998871972</v>
      </c>
      <c r="V235" s="1">
        <v>539434.38998871972</v>
      </c>
      <c r="W235" s="4">
        <f t="shared" si="8"/>
        <v>5350637.0623188149</v>
      </c>
      <c r="X235" s="4">
        <f t="shared" si="8"/>
        <v>5350637.0623188149</v>
      </c>
      <c r="Y235" s="5">
        <f t="shared" si="7"/>
        <v>0.58150000000000002</v>
      </c>
    </row>
    <row r="236" spans="1:25" x14ac:dyDescent="0.25">
      <c r="A236" s="1" t="s">
        <v>81</v>
      </c>
      <c r="B236" s="1" t="s">
        <v>48</v>
      </c>
      <c r="C236" s="1" t="s">
        <v>49</v>
      </c>
      <c r="D236" s="1">
        <v>5917601.3300194787</v>
      </c>
      <c r="E236" s="1">
        <v>390561.68778128567</v>
      </c>
      <c r="F236" s="1">
        <v>390561.68778128567</v>
      </c>
      <c r="G236" s="1">
        <v>488202.10972660704</v>
      </c>
      <c r="H236" s="1">
        <v>488202.10972660704</v>
      </c>
      <c r="I236" s="1">
        <v>488202.10972660704</v>
      </c>
      <c r="J236" s="1">
        <v>488202.10972660704</v>
      </c>
      <c r="K236" s="1">
        <v>488202.10972660704</v>
      </c>
      <c r="L236" s="1">
        <v>488202.10972660704</v>
      </c>
      <c r="M236" s="1">
        <v>297359.46683347883</v>
      </c>
      <c r="N236" s="1">
        <v>297359.46683347883</v>
      </c>
      <c r="O236" s="1">
        <v>247799.5556945657</v>
      </c>
      <c r="P236" s="1">
        <v>247799.5556945657</v>
      </c>
      <c r="Q236" s="1">
        <v>346919.37797239196</v>
      </c>
      <c r="R236" s="1">
        <v>346919.37797239196</v>
      </c>
      <c r="S236" s="1">
        <v>346919.37797239196</v>
      </c>
      <c r="T236" s="1">
        <v>346919.37797239196</v>
      </c>
      <c r="U236" s="1">
        <v>346919.37797239196</v>
      </c>
      <c r="V236" s="1">
        <v>346919.37797239196</v>
      </c>
      <c r="W236" s="4">
        <f t="shared" si="8"/>
        <v>3441085.1734063267</v>
      </c>
      <c r="X236" s="4">
        <f t="shared" si="8"/>
        <v>3441085.1734063267</v>
      </c>
      <c r="Y236" s="5">
        <f t="shared" si="7"/>
        <v>0.58150000000000002</v>
      </c>
    </row>
    <row r="237" spans="1:25" x14ac:dyDescent="0.25">
      <c r="A237" s="1" t="s">
        <v>81</v>
      </c>
      <c r="B237" s="1" t="s">
        <v>53</v>
      </c>
      <c r="C237" s="1" t="s">
        <v>30</v>
      </c>
      <c r="D237" s="1">
        <v>3286014.9262045384</v>
      </c>
      <c r="E237" s="1">
        <v>216876.98512949955</v>
      </c>
      <c r="F237" s="1">
        <v>216876.98512949955</v>
      </c>
      <c r="G237" s="1">
        <v>271096.23141187441</v>
      </c>
      <c r="H237" s="1">
        <v>271096.23141187441</v>
      </c>
      <c r="I237" s="1">
        <v>271096.23141187441</v>
      </c>
      <c r="J237" s="1">
        <v>271096.23141187441</v>
      </c>
      <c r="K237" s="1">
        <v>271096.23141187441</v>
      </c>
      <c r="L237" s="1">
        <v>271096.23141187441</v>
      </c>
      <c r="M237" s="1">
        <v>165122.25004177805</v>
      </c>
      <c r="N237" s="1">
        <v>165122.25004177805</v>
      </c>
      <c r="O237" s="1">
        <v>137601.87503481505</v>
      </c>
      <c r="P237" s="1">
        <v>137601.87503481505</v>
      </c>
      <c r="Q237" s="1">
        <v>192642.62504874106</v>
      </c>
      <c r="R237" s="1">
        <v>192642.62504874106</v>
      </c>
      <c r="S237" s="1">
        <v>192642.62504874106</v>
      </c>
      <c r="T237" s="1">
        <v>192642.62504874106</v>
      </c>
      <c r="U237" s="1">
        <v>192642.62504874106</v>
      </c>
      <c r="V237" s="1">
        <v>192642.62504874106</v>
      </c>
      <c r="W237" s="4">
        <f t="shared" si="8"/>
        <v>1910817.6795879391</v>
      </c>
      <c r="X237" s="4">
        <f t="shared" si="8"/>
        <v>1910817.6795879391</v>
      </c>
      <c r="Y237" s="5">
        <f t="shared" si="7"/>
        <v>0.58150000000000002</v>
      </c>
    </row>
    <row r="238" spans="1:25" x14ac:dyDescent="0.25">
      <c r="A238" s="1" t="s">
        <v>81</v>
      </c>
      <c r="B238" s="1" t="s">
        <v>74</v>
      </c>
      <c r="C238" s="1" t="s">
        <v>75</v>
      </c>
      <c r="D238" s="1">
        <v>4455225.798066834</v>
      </c>
      <c r="E238" s="1">
        <v>294044.90267241106</v>
      </c>
      <c r="F238" s="1">
        <v>294044.90267241106</v>
      </c>
      <c r="G238" s="1">
        <v>367556.12834051379</v>
      </c>
      <c r="H238" s="1">
        <v>367556.12834051379</v>
      </c>
      <c r="I238" s="1">
        <v>367556.12834051379</v>
      </c>
      <c r="J238" s="1">
        <v>367556.12834051379</v>
      </c>
      <c r="K238" s="1">
        <v>367556.12834051379</v>
      </c>
      <c r="L238" s="1">
        <v>367556.12834051379</v>
      </c>
      <c r="M238" s="1">
        <v>223875.09635285841</v>
      </c>
      <c r="N238" s="1">
        <v>223875.09635285841</v>
      </c>
      <c r="O238" s="1">
        <v>186562.58029404868</v>
      </c>
      <c r="P238" s="1">
        <v>186562.58029404868</v>
      </c>
      <c r="Q238" s="1">
        <v>261187.61241166812</v>
      </c>
      <c r="R238" s="1">
        <v>261187.61241166812</v>
      </c>
      <c r="S238" s="1">
        <v>261187.61241166812</v>
      </c>
      <c r="T238" s="1">
        <v>261187.61241166812</v>
      </c>
      <c r="U238" s="1">
        <v>261187.61241166812</v>
      </c>
      <c r="V238" s="1">
        <v>261187.61241166812</v>
      </c>
      <c r="W238" s="4">
        <f t="shared" si="8"/>
        <v>2590713.8015758642</v>
      </c>
      <c r="X238" s="4">
        <f t="shared" si="8"/>
        <v>2590713.8015758642</v>
      </c>
      <c r="Y238" s="5">
        <f t="shared" si="7"/>
        <v>0.58150000000000002</v>
      </c>
    </row>
    <row r="239" spans="1:25" x14ac:dyDescent="0.25">
      <c r="A239" s="1" t="s">
        <v>81</v>
      </c>
      <c r="B239" s="1" t="s">
        <v>50</v>
      </c>
      <c r="C239" s="1" t="s">
        <v>25</v>
      </c>
      <c r="D239" s="1">
        <v>6213481.3965204507</v>
      </c>
      <c r="E239" s="1">
        <v>410089.77217034978</v>
      </c>
      <c r="F239" s="1">
        <v>410089.77217034978</v>
      </c>
      <c r="G239" s="1">
        <v>512612.21521293721</v>
      </c>
      <c r="H239" s="1">
        <v>512612.21521293721</v>
      </c>
      <c r="I239" s="1">
        <v>512612.21521293721</v>
      </c>
      <c r="J239" s="1">
        <v>512612.21521293721</v>
      </c>
      <c r="K239" s="1">
        <v>512612.21521293721</v>
      </c>
      <c r="L239" s="1">
        <v>512612.21521293721</v>
      </c>
      <c r="M239" s="1">
        <v>312227.44017515262</v>
      </c>
      <c r="N239" s="1">
        <v>312227.44017515262</v>
      </c>
      <c r="O239" s="1">
        <v>260189.53347929387</v>
      </c>
      <c r="P239" s="1">
        <v>260189.53347929387</v>
      </c>
      <c r="Q239" s="1">
        <v>364265.34687101137</v>
      </c>
      <c r="R239" s="1">
        <v>364265.34687101137</v>
      </c>
      <c r="S239" s="1">
        <v>364265.34687101137</v>
      </c>
      <c r="T239" s="1">
        <v>364265.34687101137</v>
      </c>
      <c r="U239" s="1">
        <v>364265.34687101137</v>
      </c>
      <c r="V239" s="1">
        <v>364265.34687101137</v>
      </c>
      <c r="W239" s="4">
        <f t="shared" si="8"/>
        <v>3613139.4320766423</v>
      </c>
      <c r="X239" s="4">
        <f t="shared" si="8"/>
        <v>3613139.4320766423</v>
      </c>
      <c r="Y239" s="5">
        <f t="shared" si="7"/>
        <v>0.58150000000000002</v>
      </c>
    </row>
    <row r="240" spans="1:25" x14ac:dyDescent="0.25">
      <c r="A240" s="1" t="s">
        <v>82</v>
      </c>
      <c r="B240" s="1" t="s">
        <v>59</v>
      </c>
      <c r="C240" s="1" t="s">
        <v>26</v>
      </c>
      <c r="D240" s="1">
        <v>41167334</v>
      </c>
      <c r="E240" s="1">
        <v>3650695.5538384984</v>
      </c>
      <c r="F240" s="1">
        <v>3650695.5538384984</v>
      </c>
      <c r="G240" s="1">
        <v>4563369.4422981227</v>
      </c>
      <c r="H240" s="1">
        <v>4563369.4422981227</v>
      </c>
      <c r="I240" s="1">
        <v>4563369.4422981227</v>
      </c>
      <c r="J240" s="1">
        <v>4563369.4422981227</v>
      </c>
      <c r="K240" s="1">
        <v>4563369.4422981227</v>
      </c>
      <c r="L240" s="1">
        <v>4563369.4422981227</v>
      </c>
      <c r="M240" s="1">
        <v>2864232.0288509391</v>
      </c>
      <c r="N240" s="1">
        <v>2864232.0288509391</v>
      </c>
      <c r="O240" s="1">
        <v>2864232.0288509391</v>
      </c>
      <c r="P240" s="1">
        <v>2864232.0288509391</v>
      </c>
      <c r="Q240" s="1">
        <v>2864232.0288509391</v>
      </c>
      <c r="R240" s="1">
        <v>2864232.0288509391</v>
      </c>
      <c r="S240" s="1">
        <v>2864232.0288509391</v>
      </c>
      <c r="T240" s="1">
        <v>2864232.0288509391</v>
      </c>
      <c r="U240" s="1">
        <v>2864232.0288509391</v>
      </c>
      <c r="V240" s="1">
        <v>2864232.0288509391</v>
      </c>
      <c r="W240" s="4">
        <f t="shared" si="8"/>
        <v>31661964.02498756</v>
      </c>
      <c r="X240" s="4">
        <f t="shared" si="8"/>
        <v>31661964.02498756</v>
      </c>
      <c r="Y240" s="5">
        <f t="shared" si="7"/>
        <v>0.76910406743821591</v>
      </c>
    </row>
    <row r="241" spans="1:25" x14ac:dyDescent="0.25">
      <c r="A241" s="1" t="s">
        <v>82</v>
      </c>
      <c r="B241" s="1" t="s">
        <v>59</v>
      </c>
      <c r="C241" s="1" t="s">
        <v>26</v>
      </c>
      <c r="D241" s="1">
        <v>14146235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7073117.5</v>
      </c>
      <c r="N241" s="1">
        <v>7073117.5</v>
      </c>
      <c r="O241" s="1">
        <v>7073117.5</v>
      </c>
      <c r="P241" s="1">
        <v>7073117.5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4">
        <f t="shared" si="8"/>
        <v>14146235</v>
      </c>
      <c r="X241" s="4">
        <f t="shared" si="8"/>
        <v>14146235</v>
      </c>
      <c r="Y241" s="5">
        <f t="shared" si="7"/>
        <v>1</v>
      </c>
    </row>
    <row r="242" spans="1:25" x14ac:dyDescent="0.25">
      <c r="A242" s="1" t="s">
        <v>82</v>
      </c>
      <c r="B242" s="1" t="s">
        <v>33</v>
      </c>
      <c r="C242" s="1" t="s">
        <v>34</v>
      </c>
      <c r="D242" s="1">
        <v>60000000</v>
      </c>
      <c r="E242" s="1">
        <v>0</v>
      </c>
      <c r="F242" s="1">
        <v>0</v>
      </c>
      <c r="G242" s="1">
        <v>12000000</v>
      </c>
      <c r="H242" s="1">
        <v>12000000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18000000</v>
      </c>
      <c r="P242" s="1">
        <v>18000000</v>
      </c>
      <c r="Q242" s="1">
        <v>0</v>
      </c>
      <c r="R242" s="1">
        <v>0</v>
      </c>
      <c r="S242" s="1">
        <v>18000000</v>
      </c>
      <c r="T242" s="1">
        <v>18000000</v>
      </c>
      <c r="U242" s="1">
        <v>12000000</v>
      </c>
      <c r="V242" s="1">
        <v>12000000</v>
      </c>
      <c r="W242" s="4">
        <f t="shared" si="8"/>
        <v>60000000</v>
      </c>
      <c r="X242" s="4">
        <f t="shared" si="8"/>
        <v>60000000</v>
      </c>
      <c r="Y242" s="5">
        <f t="shared" si="7"/>
        <v>1</v>
      </c>
    </row>
    <row r="243" spans="1:25" x14ac:dyDescent="0.25">
      <c r="A243" s="1" t="s">
        <v>82</v>
      </c>
      <c r="B243" s="1" t="s">
        <v>35</v>
      </c>
      <c r="C243" s="1" t="s">
        <v>34</v>
      </c>
      <c r="D243" s="1">
        <v>150000000</v>
      </c>
      <c r="E243" s="1">
        <v>0</v>
      </c>
      <c r="F243" s="1">
        <v>0</v>
      </c>
      <c r="G243" s="1">
        <v>41250000</v>
      </c>
      <c r="H243" s="1">
        <v>41250000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36250000</v>
      </c>
      <c r="P243" s="1">
        <v>36250000</v>
      </c>
      <c r="Q243" s="1">
        <v>0</v>
      </c>
      <c r="R243" s="1">
        <v>0</v>
      </c>
      <c r="S243" s="1">
        <v>36250000</v>
      </c>
      <c r="T243" s="1">
        <v>36250000</v>
      </c>
      <c r="U243" s="1">
        <v>36250000</v>
      </c>
      <c r="V243" s="1">
        <v>36250000</v>
      </c>
      <c r="W243" s="4">
        <f t="shared" si="8"/>
        <v>150000000</v>
      </c>
      <c r="X243" s="4">
        <f t="shared" si="8"/>
        <v>150000000</v>
      </c>
      <c r="Y243" s="5">
        <f t="shared" si="7"/>
        <v>1</v>
      </c>
    </row>
    <row r="244" spans="1:25" x14ac:dyDescent="0.25">
      <c r="A244" s="1" t="s">
        <v>82</v>
      </c>
      <c r="B244" s="1" t="s">
        <v>38</v>
      </c>
      <c r="C244" s="1" t="s">
        <v>39</v>
      </c>
      <c r="D244" s="1">
        <v>6650151.224864806</v>
      </c>
      <c r="E244" s="1">
        <v>438909.98084107722</v>
      </c>
      <c r="F244" s="1">
        <v>438909.98084107722</v>
      </c>
      <c r="G244" s="1">
        <v>548637.47605134652</v>
      </c>
      <c r="H244" s="1">
        <v>548637.47605134652</v>
      </c>
      <c r="I244" s="1">
        <v>548637.47605134652</v>
      </c>
      <c r="J244" s="1">
        <v>548637.47605134652</v>
      </c>
      <c r="K244" s="1">
        <v>548637.47605134652</v>
      </c>
      <c r="L244" s="1">
        <v>548637.47605134652</v>
      </c>
      <c r="M244" s="1">
        <v>334170.09904945653</v>
      </c>
      <c r="N244" s="1">
        <v>334170.09904945653</v>
      </c>
      <c r="O244" s="1">
        <v>278475.08254121378</v>
      </c>
      <c r="P244" s="1">
        <v>278475.08254121378</v>
      </c>
      <c r="Q244" s="1">
        <v>389865.11555769929</v>
      </c>
      <c r="R244" s="1">
        <v>389865.11555769929</v>
      </c>
      <c r="S244" s="1">
        <v>389865.11555769929</v>
      </c>
      <c r="T244" s="1">
        <v>389865.11555769929</v>
      </c>
      <c r="U244" s="1">
        <v>389865.11555769929</v>
      </c>
      <c r="V244" s="1">
        <v>389865.11555769929</v>
      </c>
      <c r="W244" s="4">
        <f t="shared" si="8"/>
        <v>3867062.9372588848</v>
      </c>
      <c r="X244" s="4">
        <f t="shared" si="8"/>
        <v>3867062.9372588848</v>
      </c>
      <c r="Y244" s="5">
        <f t="shared" si="7"/>
        <v>0.58150000000000002</v>
      </c>
    </row>
    <row r="245" spans="1:25" x14ac:dyDescent="0.25">
      <c r="A245" s="1" t="s">
        <v>82</v>
      </c>
      <c r="B245" s="1" t="s">
        <v>61</v>
      </c>
      <c r="C245" s="1" t="s">
        <v>34</v>
      </c>
      <c r="D245" s="1">
        <v>91481905</v>
      </c>
      <c r="E245" s="1">
        <v>0</v>
      </c>
      <c r="F245" s="1">
        <v>0</v>
      </c>
      <c r="G245" s="1">
        <v>7318552.3991664015</v>
      </c>
      <c r="H245" s="1">
        <v>7318552.3991664015</v>
      </c>
      <c r="I245" s="1">
        <v>0</v>
      </c>
      <c r="J245" s="1">
        <v>0</v>
      </c>
      <c r="K245" s="1">
        <v>0</v>
      </c>
      <c r="L245" s="1">
        <v>0</v>
      </c>
      <c r="M245" s="1">
        <v>21040838.150208399</v>
      </c>
      <c r="N245" s="1">
        <v>21040838.150208399</v>
      </c>
      <c r="O245" s="1">
        <v>0</v>
      </c>
      <c r="P245" s="1">
        <v>0</v>
      </c>
      <c r="Q245" s="1">
        <v>0</v>
      </c>
      <c r="R245" s="1">
        <v>0</v>
      </c>
      <c r="S245" s="1">
        <v>31561257.225312598</v>
      </c>
      <c r="T245" s="1">
        <v>31561257.225312598</v>
      </c>
      <c r="U245" s="1">
        <v>0</v>
      </c>
      <c r="V245" s="1">
        <v>0</v>
      </c>
      <c r="W245" s="4">
        <f t="shared" si="8"/>
        <v>59920647.774687394</v>
      </c>
      <c r="X245" s="4">
        <f t="shared" si="8"/>
        <v>59920647.774687394</v>
      </c>
      <c r="Y245" s="5">
        <f t="shared" si="7"/>
        <v>0.65499999999658287</v>
      </c>
    </row>
    <row r="246" spans="1:25" x14ac:dyDescent="0.25">
      <c r="A246" s="1" t="s">
        <v>82</v>
      </c>
      <c r="B246" s="1" t="s">
        <v>62</v>
      </c>
      <c r="C246" s="1" t="s">
        <v>63</v>
      </c>
      <c r="D246" s="1">
        <v>50642857</v>
      </c>
      <c r="E246" s="1">
        <v>14079999.999120001</v>
      </c>
      <c r="F246" s="1">
        <v>14079999.999120001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2478214.2857967857</v>
      </c>
      <c r="N246" s="1">
        <v>2478214.2857967857</v>
      </c>
      <c r="O246" s="1">
        <v>2065178.5714973214</v>
      </c>
      <c r="P246" s="1">
        <v>2065178.5714973214</v>
      </c>
      <c r="Q246" s="1">
        <v>2891250.0000962499</v>
      </c>
      <c r="R246" s="1">
        <v>2891250.0000962499</v>
      </c>
      <c r="S246" s="1">
        <v>2891250.0000962499</v>
      </c>
      <c r="T246" s="1">
        <v>2891250.0000962499</v>
      </c>
      <c r="U246" s="1">
        <v>2891250.0000962499</v>
      </c>
      <c r="V246" s="1">
        <v>2891250.0000962499</v>
      </c>
      <c r="W246" s="4">
        <f t="shared" si="8"/>
        <v>27297142.856702857</v>
      </c>
      <c r="X246" s="4">
        <f t="shared" si="8"/>
        <v>27297142.856702857</v>
      </c>
      <c r="Y246" s="5">
        <f t="shared" si="7"/>
        <v>0.53901269544691877</v>
      </c>
    </row>
    <row r="247" spans="1:25" x14ac:dyDescent="0.25">
      <c r="A247" s="1" t="s">
        <v>82</v>
      </c>
      <c r="B247" s="1" t="s">
        <v>40</v>
      </c>
      <c r="C247" s="1" t="s">
        <v>27</v>
      </c>
      <c r="D247" s="1">
        <v>77055615.000000015</v>
      </c>
      <c r="E247" s="1">
        <v>6118067.9166666996</v>
      </c>
      <c r="F247" s="1">
        <v>6118067.9166666996</v>
      </c>
      <c r="G247" s="1">
        <v>6912664.4350689445</v>
      </c>
      <c r="H247" s="1">
        <v>6912664.4350689445</v>
      </c>
      <c r="I247" s="1">
        <v>5703102.0833333302</v>
      </c>
      <c r="J247" s="1">
        <v>5703102.0833333302</v>
      </c>
      <c r="K247" s="1">
        <v>5862202.75</v>
      </c>
      <c r="L247" s="1">
        <v>5862202.75</v>
      </c>
      <c r="M247" s="1">
        <v>9399825.7361982688</v>
      </c>
      <c r="N247" s="1">
        <v>9399825.7361982688</v>
      </c>
      <c r="O247" s="1">
        <v>19158830.578732759</v>
      </c>
      <c r="P247" s="1">
        <v>19158830.578732759</v>
      </c>
      <c r="Q247" s="1">
        <v>9140462.416666666</v>
      </c>
      <c r="R247" s="1">
        <v>9140462.416666666</v>
      </c>
      <c r="S247" s="1">
        <v>5748849.916666667</v>
      </c>
      <c r="T247" s="1">
        <v>5748849.916666667</v>
      </c>
      <c r="U247" s="1">
        <v>1494753.9166666665</v>
      </c>
      <c r="V247" s="1">
        <v>1494753.9166666665</v>
      </c>
      <c r="W247" s="4">
        <f t="shared" si="8"/>
        <v>69538759.75</v>
      </c>
      <c r="X247" s="4">
        <f t="shared" si="8"/>
        <v>69538759.75</v>
      </c>
      <c r="Y247" s="5">
        <f t="shared" si="7"/>
        <v>0.90244896170123345</v>
      </c>
    </row>
    <row r="248" spans="1:25" x14ac:dyDescent="0.25">
      <c r="A248" s="1" t="s">
        <v>82</v>
      </c>
      <c r="B248" s="1" t="s">
        <v>40</v>
      </c>
      <c r="C248" s="1" t="s">
        <v>27</v>
      </c>
      <c r="D248" s="1">
        <v>30242862</v>
      </c>
      <c r="E248" s="1">
        <v>10121431</v>
      </c>
      <c r="F248" s="1">
        <v>10121431</v>
      </c>
      <c r="G248" s="1">
        <v>10121431</v>
      </c>
      <c r="H248" s="1">
        <v>10121431</v>
      </c>
      <c r="I248" s="1">
        <v>0</v>
      </c>
      <c r="J248" s="1">
        <v>0</v>
      </c>
      <c r="K248" s="1">
        <v>0</v>
      </c>
      <c r="L248" s="1">
        <v>0</v>
      </c>
      <c r="M248" s="1">
        <v>3750000</v>
      </c>
      <c r="N248" s="1">
        <v>3750000</v>
      </c>
      <c r="O248" s="1">
        <v>2500000</v>
      </c>
      <c r="P248" s="1">
        <v>2500000</v>
      </c>
      <c r="Q248" s="1">
        <v>3750000</v>
      </c>
      <c r="R248" s="1">
        <v>3750000</v>
      </c>
      <c r="S248" s="1">
        <v>0</v>
      </c>
      <c r="T248" s="1">
        <v>0</v>
      </c>
      <c r="U248" s="1">
        <v>0</v>
      </c>
      <c r="V248" s="1">
        <v>0</v>
      </c>
      <c r="W248" s="4">
        <f t="shared" si="8"/>
        <v>30242862</v>
      </c>
      <c r="X248" s="4">
        <f t="shared" si="8"/>
        <v>30242862</v>
      </c>
      <c r="Y248" s="5">
        <f t="shared" si="7"/>
        <v>1</v>
      </c>
    </row>
    <row r="249" spans="1:25" x14ac:dyDescent="0.25">
      <c r="A249" s="1" t="s">
        <v>82</v>
      </c>
      <c r="B249" s="1" t="s">
        <v>40</v>
      </c>
      <c r="C249" s="1" t="s">
        <v>27</v>
      </c>
      <c r="D249" s="1">
        <v>166188730</v>
      </c>
      <c r="E249" s="1">
        <v>0</v>
      </c>
      <c r="F249" s="1">
        <v>0</v>
      </c>
      <c r="G249" s="1">
        <v>19075523</v>
      </c>
      <c r="H249" s="1">
        <v>19075523</v>
      </c>
      <c r="I249" s="1">
        <v>26336356</v>
      </c>
      <c r="J249" s="1">
        <v>26336356</v>
      </c>
      <c r="K249" s="1">
        <v>0</v>
      </c>
      <c r="L249" s="1">
        <v>0</v>
      </c>
      <c r="M249" s="1">
        <v>35415185.625</v>
      </c>
      <c r="N249" s="1">
        <v>35415185.625</v>
      </c>
      <c r="O249" s="1">
        <v>49946479.75</v>
      </c>
      <c r="P249" s="1">
        <v>49946479.75</v>
      </c>
      <c r="Q249" s="1">
        <v>35415185.625</v>
      </c>
      <c r="R249" s="1">
        <v>35415185.625</v>
      </c>
      <c r="S249" s="1">
        <v>0</v>
      </c>
      <c r="T249" s="1">
        <v>0</v>
      </c>
      <c r="U249" s="1">
        <v>0</v>
      </c>
      <c r="V249" s="1">
        <v>0</v>
      </c>
      <c r="W249" s="4">
        <f t="shared" si="8"/>
        <v>166188730</v>
      </c>
      <c r="X249" s="4">
        <f t="shared" si="8"/>
        <v>166188730</v>
      </c>
      <c r="Y249" s="5">
        <f t="shared" si="7"/>
        <v>1</v>
      </c>
    </row>
    <row r="250" spans="1:25" x14ac:dyDescent="0.25">
      <c r="A250" s="1" t="s">
        <v>82</v>
      </c>
      <c r="B250" s="1" t="s">
        <v>43</v>
      </c>
      <c r="C250" s="1" t="s">
        <v>31</v>
      </c>
      <c r="D250" s="1">
        <v>6690520</v>
      </c>
      <c r="E250" s="1">
        <v>388641.6299916667</v>
      </c>
      <c r="F250" s="1">
        <v>388641.6299916667</v>
      </c>
      <c r="G250" s="1">
        <v>485802.03748958337</v>
      </c>
      <c r="H250" s="1">
        <v>485802.03748958337</v>
      </c>
      <c r="I250" s="1">
        <v>485802.03748958337</v>
      </c>
      <c r="J250" s="1">
        <v>485802.03748958337</v>
      </c>
      <c r="K250" s="1">
        <v>485802.03748958337</v>
      </c>
      <c r="L250" s="1">
        <v>485802.03748958337</v>
      </c>
      <c r="M250" s="1">
        <v>361230.04314510629</v>
      </c>
      <c r="N250" s="1">
        <v>361230.04314510629</v>
      </c>
      <c r="O250" s="1">
        <v>301025.03595425526</v>
      </c>
      <c r="P250" s="1">
        <v>301025.03595425526</v>
      </c>
      <c r="Q250" s="1">
        <v>373072.94267746399</v>
      </c>
      <c r="R250" s="1">
        <v>373072.94267746399</v>
      </c>
      <c r="S250" s="1">
        <v>421435.05033595732</v>
      </c>
      <c r="T250" s="1">
        <v>421435.05033595732</v>
      </c>
      <c r="U250" s="1">
        <v>421435.05033595732</v>
      </c>
      <c r="V250" s="1">
        <v>421435.05033595732</v>
      </c>
      <c r="W250" s="4">
        <f t="shared" si="8"/>
        <v>3724245.8649091567</v>
      </c>
      <c r="X250" s="4">
        <f t="shared" si="8"/>
        <v>3724245.8649091567</v>
      </c>
      <c r="Y250" s="5">
        <f t="shared" si="7"/>
        <v>0.55664520319932631</v>
      </c>
    </row>
    <row r="251" spans="1:25" x14ac:dyDescent="0.25">
      <c r="A251" s="1" t="s">
        <v>82</v>
      </c>
      <c r="B251" s="1" t="s">
        <v>64</v>
      </c>
      <c r="C251" s="1" t="s">
        <v>23</v>
      </c>
      <c r="D251" s="1">
        <v>10211019.44190781</v>
      </c>
      <c r="E251" s="1">
        <v>673927.28316591552</v>
      </c>
      <c r="F251" s="1">
        <v>673927.28316591552</v>
      </c>
      <c r="G251" s="1">
        <v>842409.10395739437</v>
      </c>
      <c r="H251" s="1">
        <v>842409.10395739437</v>
      </c>
      <c r="I251" s="1">
        <v>842409.10395739437</v>
      </c>
      <c r="J251" s="1">
        <v>842409.10395739437</v>
      </c>
      <c r="K251" s="1">
        <v>842409.10395739437</v>
      </c>
      <c r="L251" s="1">
        <v>842409.10395739437</v>
      </c>
      <c r="M251" s="1">
        <v>513103.72695586743</v>
      </c>
      <c r="N251" s="1">
        <v>513103.72695586743</v>
      </c>
      <c r="O251" s="1">
        <v>427586.43912988954</v>
      </c>
      <c r="P251" s="1">
        <v>427586.43912988954</v>
      </c>
      <c r="Q251" s="1">
        <v>598621.01478184527</v>
      </c>
      <c r="R251" s="1">
        <v>598621.01478184527</v>
      </c>
      <c r="S251" s="1">
        <v>598621.01478184527</v>
      </c>
      <c r="T251" s="1">
        <v>598621.01478184527</v>
      </c>
      <c r="U251" s="1">
        <v>598621.01478184527</v>
      </c>
      <c r="V251" s="1">
        <v>598621.01478184527</v>
      </c>
      <c r="W251" s="4">
        <f t="shared" si="8"/>
        <v>5937707.8054693909</v>
      </c>
      <c r="X251" s="4">
        <f t="shared" si="8"/>
        <v>5937707.8054693909</v>
      </c>
      <c r="Y251" s="5">
        <f t="shared" si="7"/>
        <v>0.58149999999999991</v>
      </c>
    </row>
    <row r="252" spans="1:25" x14ac:dyDescent="0.25">
      <c r="A252" s="1" t="s">
        <v>82</v>
      </c>
      <c r="B252" s="1" t="s">
        <v>65</v>
      </c>
      <c r="C252" s="1" t="s">
        <v>31</v>
      </c>
      <c r="D252" s="1">
        <v>6647534.394945533</v>
      </c>
      <c r="E252" s="1">
        <v>438737.27006640518</v>
      </c>
      <c r="F252" s="1">
        <v>438737.27006640518</v>
      </c>
      <c r="G252" s="1">
        <v>548421.58758300648</v>
      </c>
      <c r="H252" s="1">
        <v>548421.58758300648</v>
      </c>
      <c r="I252" s="1">
        <v>548421.58758300648</v>
      </c>
      <c r="J252" s="1">
        <v>548421.58758300648</v>
      </c>
      <c r="K252" s="1">
        <v>548421.58758300648</v>
      </c>
      <c r="L252" s="1">
        <v>548421.58758300648</v>
      </c>
      <c r="M252" s="1">
        <v>334038.603346013</v>
      </c>
      <c r="N252" s="1">
        <v>334038.603346013</v>
      </c>
      <c r="O252" s="1">
        <v>278365.50278834417</v>
      </c>
      <c r="P252" s="1">
        <v>278365.50278834417</v>
      </c>
      <c r="Q252" s="1">
        <v>389711.70390368183</v>
      </c>
      <c r="R252" s="1">
        <v>389711.70390368183</v>
      </c>
      <c r="S252" s="1">
        <v>389711.70390368183</v>
      </c>
      <c r="T252" s="1">
        <v>389711.70390368183</v>
      </c>
      <c r="U252" s="1">
        <v>389711.70390368183</v>
      </c>
      <c r="V252" s="1">
        <v>389711.70390368183</v>
      </c>
      <c r="W252" s="4">
        <f t="shared" si="8"/>
        <v>3865541.2506608269</v>
      </c>
      <c r="X252" s="4">
        <f t="shared" si="8"/>
        <v>3865541.2506608269</v>
      </c>
      <c r="Y252" s="5">
        <f t="shared" si="7"/>
        <v>0.58149999999999991</v>
      </c>
    </row>
    <row r="253" spans="1:25" x14ac:dyDescent="0.25">
      <c r="A253" s="1" t="s">
        <v>82</v>
      </c>
      <c r="B253" s="1" t="s">
        <v>44</v>
      </c>
      <c r="C253" s="1" t="s">
        <v>45</v>
      </c>
      <c r="D253" s="1">
        <v>6650151.224864806</v>
      </c>
      <c r="E253" s="1">
        <v>438909.98084107722</v>
      </c>
      <c r="F253" s="1">
        <v>438909.98084107722</v>
      </c>
      <c r="G253" s="1">
        <v>548637.47605134652</v>
      </c>
      <c r="H253" s="1">
        <v>548637.47605134652</v>
      </c>
      <c r="I253" s="1">
        <v>548637.47605134652</v>
      </c>
      <c r="J253" s="1">
        <v>548637.47605134652</v>
      </c>
      <c r="K253" s="1">
        <v>548637.47605134652</v>
      </c>
      <c r="L253" s="1">
        <v>548637.47605134652</v>
      </c>
      <c r="M253" s="1">
        <v>334170.09904945653</v>
      </c>
      <c r="N253" s="1">
        <v>334170.09904945653</v>
      </c>
      <c r="O253" s="1">
        <v>278475.08254121378</v>
      </c>
      <c r="P253" s="1">
        <v>278475.08254121378</v>
      </c>
      <c r="Q253" s="1">
        <v>389865.11555769929</v>
      </c>
      <c r="R253" s="1">
        <v>389865.11555769929</v>
      </c>
      <c r="S253" s="1">
        <v>389865.11555769929</v>
      </c>
      <c r="T253" s="1">
        <v>389865.11555769929</v>
      </c>
      <c r="U253" s="1">
        <v>389865.11555769929</v>
      </c>
      <c r="V253" s="1">
        <v>389865.11555769929</v>
      </c>
      <c r="W253" s="4">
        <f t="shared" si="8"/>
        <v>3867062.9372588848</v>
      </c>
      <c r="X253" s="4">
        <f t="shared" si="8"/>
        <v>3867062.9372588848</v>
      </c>
      <c r="Y253" s="5">
        <f t="shared" si="7"/>
        <v>0.58150000000000002</v>
      </c>
    </row>
    <row r="254" spans="1:25" x14ac:dyDescent="0.25">
      <c r="A254" s="1" t="s">
        <v>82</v>
      </c>
      <c r="B254" s="1" t="s">
        <v>46</v>
      </c>
      <c r="C254" s="1" t="s">
        <v>22</v>
      </c>
      <c r="D254" s="1">
        <v>67851364.098084599</v>
      </c>
      <c r="E254" s="1">
        <v>4482384.8737110784</v>
      </c>
      <c r="F254" s="1">
        <v>4482384.8737110784</v>
      </c>
      <c r="G254" s="1">
        <v>5602981.0921388473</v>
      </c>
      <c r="H254" s="1">
        <v>5602981.0921388473</v>
      </c>
      <c r="I254" s="1">
        <v>5602981.0921388473</v>
      </c>
      <c r="J254" s="1">
        <v>5602981.0921388473</v>
      </c>
      <c r="K254" s="1">
        <v>5602981.0921388473</v>
      </c>
      <c r="L254" s="1">
        <v>5602981.0921388473</v>
      </c>
      <c r="M254" s="1">
        <v>3515686.4179731994</v>
      </c>
      <c r="N254" s="1">
        <v>3515686.4179731994</v>
      </c>
      <c r="O254" s="1">
        <v>2858919.2619596231</v>
      </c>
      <c r="P254" s="1">
        <v>2858919.2619596231</v>
      </c>
      <c r="Q254" s="1">
        <v>3957996.2424581675</v>
      </c>
      <c r="R254" s="1">
        <v>3957996.2424581675</v>
      </c>
      <c r="S254" s="1">
        <v>3957996.2424581675</v>
      </c>
      <c r="T254" s="1">
        <v>3957996.2424581675</v>
      </c>
      <c r="U254" s="1">
        <v>3957996.2424581675</v>
      </c>
      <c r="V254" s="1">
        <v>3957996.2424581675</v>
      </c>
      <c r="W254" s="4">
        <f t="shared" si="8"/>
        <v>39539922.557434946</v>
      </c>
      <c r="X254" s="4">
        <f t="shared" si="8"/>
        <v>39539922.557434946</v>
      </c>
      <c r="Y254" s="5">
        <f t="shared" si="7"/>
        <v>0.58274322238056719</v>
      </c>
    </row>
    <row r="255" spans="1:25" x14ac:dyDescent="0.25">
      <c r="A255" s="1" t="s">
        <v>82</v>
      </c>
      <c r="B255" s="1" t="s">
        <v>66</v>
      </c>
      <c r="C255" s="1" t="s">
        <v>24</v>
      </c>
      <c r="D255" s="1">
        <v>199372191.62053916</v>
      </c>
      <c r="E255" s="1">
        <v>16448205.808694482</v>
      </c>
      <c r="F255" s="1">
        <v>16448205.808694482</v>
      </c>
      <c r="G255" s="1">
        <v>16448205.808694482</v>
      </c>
      <c r="H255" s="1">
        <v>16448205.808694482</v>
      </c>
      <c r="I255" s="1">
        <v>16448205.808694482</v>
      </c>
      <c r="J255" s="1">
        <v>16448205.808694482</v>
      </c>
      <c r="K255" s="1">
        <v>16448205.808694482</v>
      </c>
      <c r="L255" s="1">
        <v>16448205.808694482</v>
      </c>
      <c r="M255" s="1">
        <v>20346067.615222082</v>
      </c>
      <c r="N255" s="1">
        <v>20346067.615222082</v>
      </c>
      <c r="O255" s="1">
        <v>16564757.17</v>
      </c>
      <c r="P255" s="1">
        <v>16564757.17</v>
      </c>
      <c r="Q255" s="1">
        <v>16009757.17</v>
      </c>
      <c r="R255" s="1">
        <v>16009757.17</v>
      </c>
      <c r="S255" s="1">
        <v>16914757.170000002</v>
      </c>
      <c r="T255" s="1">
        <v>16914757.170000002</v>
      </c>
      <c r="U255" s="1">
        <v>15854757.17</v>
      </c>
      <c r="V255" s="1">
        <v>15854757.17</v>
      </c>
      <c r="W255" s="4">
        <f t="shared" si="8"/>
        <v>151482919.53000003</v>
      </c>
      <c r="X255" s="4">
        <f t="shared" si="8"/>
        <v>151482919.53000003</v>
      </c>
      <c r="Y255" s="5">
        <f t="shared" si="7"/>
        <v>0.75979964055525984</v>
      </c>
    </row>
    <row r="256" spans="1:25" x14ac:dyDescent="0.25">
      <c r="A256" s="1" t="s">
        <v>82</v>
      </c>
      <c r="B256" s="1" t="s">
        <v>67</v>
      </c>
      <c r="C256" s="1" t="s">
        <v>68</v>
      </c>
      <c r="D256" s="1">
        <v>5916750.6585043678</v>
      </c>
      <c r="E256" s="1">
        <v>390505.54346128833</v>
      </c>
      <c r="F256" s="1">
        <v>390505.54346128833</v>
      </c>
      <c r="G256" s="1">
        <v>488131.92932661035</v>
      </c>
      <c r="H256" s="1">
        <v>488131.92932661035</v>
      </c>
      <c r="I256" s="1">
        <v>488131.92932661035</v>
      </c>
      <c r="J256" s="1">
        <v>488131.92932661035</v>
      </c>
      <c r="K256" s="1">
        <v>488131.92932661035</v>
      </c>
      <c r="L256" s="1">
        <v>488131.92932661035</v>
      </c>
      <c r="M256" s="1">
        <v>307671.03424222715</v>
      </c>
      <c r="N256" s="1">
        <v>307671.03424222715</v>
      </c>
      <c r="O256" s="1">
        <v>246531.277437682</v>
      </c>
      <c r="P256" s="1">
        <v>246531.277437682</v>
      </c>
      <c r="Q256" s="1">
        <v>345143.78841275477</v>
      </c>
      <c r="R256" s="1">
        <v>345143.78841275477</v>
      </c>
      <c r="S256" s="1">
        <v>345143.78841275477</v>
      </c>
      <c r="T256" s="1">
        <v>345143.78841275477</v>
      </c>
      <c r="U256" s="1">
        <v>345143.78841275477</v>
      </c>
      <c r="V256" s="1">
        <v>345143.78841275477</v>
      </c>
      <c r="W256" s="4">
        <f t="shared" si="8"/>
        <v>3444535.0083592925</v>
      </c>
      <c r="X256" s="4">
        <f t="shared" si="8"/>
        <v>3444535.0083592925</v>
      </c>
      <c r="Y256" s="5">
        <f t="shared" si="7"/>
        <v>0.58216666666666661</v>
      </c>
    </row>
    <row r="257" spans="1:25" x14ac:dyDescent="0.25">
      <c r="A257" s="1" t="s">
        <v>82</v>
      </c>
      <c r="B257" s="1" t="s">
        <v>47</v>
      </c>
      <c r="C257" s="1" t="s">
        <v>34</v>
      </c>
      <c r="D257" s="1">
        <v>11415625.887323946</v>
      </c>
      <c r="E257" s="1">
        <v>0</v>
      </c>
      <c r="F257" s="1">
        <v>0</v>
      </c>
      <c r="G257" s="1">
        <v>751704.92883579014</v>
      </c>
      <c r="H257" s="1">
        <v>751704.92883579014</v>
      </c>
      <c r="I257" s="1">
        <v>0</v>
      </c>
      <c r="J257" s="1">
        <v>0</v>
      </c>
      <c r="K257" s="1">
        <v>0</v>
      </c>
      <c r="L257" s="1">
        <v>0</v>
      </c>
      <c r="M257" s="1">
        <v>5331960.4792440776</v>
      </c>
      <c r="N257" s="1">
        <v>5331960.4792440776</v>
      </c>
      <c r="O257" s="1">
        <v>0</v>
      </c>
      <c r="P257" s="1">
        <v>0</v>
      </c>
      <c r="Q257" s="1">
        <v>0</v>
      </c>
      <c r="R257" s="1">
        <v>0</v>
      </c>
      <c r="S257" s="1">
        <v>5331960.4792440776</v>
      </c>
      <c r="T257" s="1">
        <v>5331960.4792440776</v>
      </c>
      <c r="U257" s="1">
        <v>0</v>
      </c>
      <c r="V257" s="1">
        <v>0</v>
      </c>
      <c r="W257" s="4">
        <f t="shared" si="8"/>
        <v>11415625.887323946</v>
      </c>
      <c r="X257" s="4">
        <f t="shared" si="8"/>
        <v>11415625.887323946</v>
      </c>
      <c r="Y257" s="5">
        <f t="shared" si="7"/>
        <v>1</v>
      </c>
    </row>
    <row r="258" spans="1:25" x14ac:dyDescent="0.25">
      <c r="A258" s="1" t="s">
        <v>82</v>
      </c>
      <c r="B258" s="1" t="s">
        <v>69</v>
      </c>
      <c r="C258" s="1" t="s">
        <v>28</v>
      </c>
      <c r="D258" s="1">
        <v>6860672.531266991</v>
      </c>
      <c r="E258" s="1">
        <v>452804.38706362149</v>
      </c>
      <c r="F258" s="1">
        <v>452804.38706362149</v>
      </c>
      <c r="G258" s="1">
        <v>566005.48382952681</v>
      </c>
      <c r="H258" s="1">
        <v>566005.48382952681</v>
      </c>
      <c r="I258" s="1">
        <v>566005.48382952681</v>
      </c>
      <c r="J258" s="1">
        <v>566005.48382952681</v>
      </c>
      <c r="K258" s="1">
        <v>566005.48382952681</v>
      </c>
      <c r="L258" s="1">
        <v>566005.48382952681</v>
      </c>
      <c r="M258" s="1">
        <v>344748.7946961663</v>
      </c>
      <c r="N258" s="1">
        <v>344748.7946961663</v>
      </c>
      <c r="O258" s="1">
        <v>287290.66224680527</v>
      </c>
      <c r="P258" s="1">
        <v>287290.66224680527</v>
      </c>
      <c r="Q258" s="1">
        <v>402206.92714552733</v>
      </c>
      <c r="R258" s="1">
        <v>402206.92714552733</v>
      </c>
      <c r="S258" s="1">
        <v>402206.92714552733</v>
      </c>
      <c r="T258" s="1">
        <v>402206.92714552733</v>
      </c>
      <c r="U258" s="1">
        <v>402206.92714552733</v>
      </c>
      <c r="V258" s="1">
        <v>402206.92714552733</v>
      </c>
      <c r="W258" s="4">
        <f t="shared" si="8"/>
        <v>3989481.0769317551</v>
      </c>
      <c r="X258" s="4">
        <f t="shared" si="8"/>
        <v>3989481.0769317551</v>
      </c>
      <c r="Y258" s="5">
        <f t="shared" si="7"/>
        <v>0.58150000000000002</v>
      </c>
    </row>
    <row r="259" spans="1:25" x14ac:dyDescent="0.25">
      <c r="A259" s="1" t="s">
        <v>82</v>
      </c>
      <c r="B259" s="1" t="s">
        <v>70</v>
      </c>
      <c r="C259" s="1" t="s">
        <v>23</v>
      </c>
      <c r="D259" s="1">
        <v>8268750.0182812503</v>
      </c>
      <c r="E259" s="1">
        <v>545737.50120656262</v>
      </c>
      <c r="F259" s="1">
        <v>545737.50120656262</v>
      </c>
      <c r="G259" s="1">
        <v>682171.87650820322</v>
      </c>
      <c r="H259" s="1">
        <v>682171.87650820322</v>
      </c>
      <c r="I259" s="1">
        <v>682171.87650820322</v>
      </c>
      <c r="J259" s="1">
        <v>682171.87650820322</v>
      </c>
      <c r="K259" s="1">
        <v>682171.87650820322</v>
      </c>
      <c r="L259" s="1">
        <v>682171.87650820322</v>
      </c>
      <c r="M259" s="1">
        <v>415504.68841863284</v>
      </c>
      <c r="N259" s="1">
        <v>415504.68841863284</v>
      </c>
      <c r="O259" s="1">
        <v>346253.90701552737</v>
      </c>
      <c r="P259" s="1">
        <v>346253.90701552737</v>
      </c>
      <c r="Q259" s="1">
        <v>484755.46982173825</v>
      </c>
      <c r="R259" s="1">
        <v>484755.46982173825</v>
      </c>
      <c r="S259" s="1">
        <v>484755.46982173825</v>
      </c>
      <c r="T259" s="1">
        <v>484755.46982173825</v>
      </c>
      <c r="U259" s="1">
        <v>484755.46982173825</v>
      </c>
      <c r="V259" s="1">
        <v>484755.46982173825</v>
      </c>
      <c r="W259" s="4">
        <f t="shared" si="8"/>
        <v>4808278.135630548</v>
      </c>
      <c r="X259" s="4">
        <f t="shared" si="8"/>
        <v>4808278.135630548</v>
      </c>
      <c r="Y259" s="5">
        <f t="shared" ref="Y259:Y322" si="9">X259/D259</f>
        <v>0.58150000000000013</v>
      </c>
    </row>
    <row r="260" spans="1:25" x14ac:dyDescent="0.25">
      <c r="A260" s="1" t="s">
        <v>82</v>
      </c>
      <c r="B260" s="1" t="s">
        <v>71</v>
      </c>
      <c r="C260" s="1" t="s">
        <v>29</v>
      </c>
      <c r="D260" s="1">
        <v>7979681.9711538432</v>
      </c>
      <c r="E260" s="1">
        <v>526659.01009615371</v>
      </c>
      <c r="F260" s="1">
        <v>526659.01009615371</v>
      </c>
      <c r="G260" s="1">
        <v>658323.76262019214</v>
      </c>
      <c r="H260" s="1">
        <v>658323.76262019214</v>
      </c>
      <c r="I260" s="1">
        <v>658323.76262019214</v>
      </c>
      <c r="J260" s="1">
        <v>658323.76262019214</v>
      </c>
      <c r="K260" s="1">
        <v>658323.76262019214</v>
      </c>
      <c r="L260" s="1">
        <v>658323.76262019214</v>
      </c>
      <c r="M260" s="1">
        <v>400979.01905048057</v>
      </c>
      <c r="N260" s="1">
        <v>400979.01905048057</v>
      </c>
      <c r="O260" s="1">
        <v>334149.18254206714</v>
      </c>
      <c r="P260" s="1">
        <v>334149.18254206714</v>
      </c>
      <c r="Q260" s="1">
        <v>467808.85555889393</v>
      </c>
      <c r="R260" s="1">
        <v>467808.85555889393</v>
      </c>
      <c r="S260" s="1">
        <v>467808.85555889393</v>
      </c>
      <c r="T260" s="1">
        <v>467808.85555889393</v>
      </c>
      <c r="U260" s="1">
        <v>467808.85555889393</v>
      </c>
      <c r="V260" s="1">
        <v>467808.85555889393</v>
      </c>
      <c r="W260" s="4">
        <f t="shared" si="8"/>
        <v>4640185.066225959</v>
      </c>
      <c r="X260" s="4">
        <f t="shared" si="8"/>
        <v>4640185.066225959</v>
      </c>
      <c r="Y260" s="5">
        <f t="shared" si="9"/>
        <v>0.58149999999999991</v>
      </c>
    </row>
    <row r="261" spans="1:25" x14ac:dyDescent="0.25">
      <c r="A261" s="1" t="s">
        <v>82</v>
      </c>
      <c r="B261" s="1" t="s">
        <v>72</v>
      </c>
      <c r="C261" s="1" t="s">
        <v>73</v>
      </c>
      <c r="D261" s="1">
        <v>5647093.6859779982</v>
      </c>
      <c r="E261" s="1">
        <v>372708.18327454792</v>
      </c>
      <c r="F261" s="1">
        <v>372708.18327454792</v>
      </c>
      <c r="G261" s="1">
        <v>465885.22909318487</v>
      </c>
      <c r="H261" s="1">
        <v>465885.22909318487</v>
      </c>
      <c r="I261" s="1">
        <v>465885.22909318487</v>
      </c>
      <c r="J261" s="1">
        <v>465885.22909318487</v>
      </c>
      <c r="K261" s="1">
        <v>465885.22909318487</v>
      </c>
      <c r="L261" s="1">
        <v>465885.22909318487</v>
      </c>
      <c r="M261" s="1">
        <v>283766.45772039436</v>
      </c>
      <c r="N261" s="1">
        <v>283766.45772039436</v>
      </c>
      <c r="O261" s="1">
        <v>236472.04810032865</v>
      </c>
      <c r="P261" s="1">
        <v>236472.04810032865</v>
      </c>
      <c r="Q261" s="1">
        <v>331060.86734046007</v>
      </c>
      <c r="R261" s="1">
        <v>331060.86734046007</v>
      </c>
      <c r="S261" s="1">
        <v>331060.86734046007</v>
      </c>
      <c r="T261" s="1">
        <v>331060.86734046007</v>
      </c>
      <c r="U261" s="1">
        <v>331060.86734046007</v>
      </c>
      <c r="V261" s="1">
        <v>331060.86734046007</v>
      </c>
      <c r="W261" s="4">
        <f t="shared" si="8"/>
        <v>3283784.9783962057</v>
      </c>
      <c r="X261" s="4">
        <f t="shared" si="8"/>
        <v>3283784.9783962057</v>
      </c>
      <c r="Y261" s="5">
        <f t="shared" si="9"/>
        <v>0.58149999999999991</v>
      </c>
    </row>
    <row r="262" spans="1:25" x14ac:dyDescent="0.25">
      <c r="A262" s="1" t="s">
        <v>82</v>
      </c>
      <c r="B262" s="1" t="s">
        <v>48</v>
      </c>
      <c r="C262" s="1" t="s">
        <v>49</v>
      </c>
      <c r="D262" s="1">
        <v>4524966.6985654952</v>
      </c>
      <c r="E262" s="1">
        <v>298647.80210532271</v>
      </c>
      <c r="F262" s="1">
        <v>298647.80210532271</v>
      </c>
      <c r="G262" s="1">
        <v>373309.75263165339</v>
      </c>
      <c r="H262" s="1">
        <v>373309.75263165339</v>
      </c>
      <c r="I262" s="1">
        <v>373309.75263165339</v>
      </c>
      <c r="J262" s="1">
        <v>373309.75263165339</v>
      </c>
      <c r="K262" s="1">
        <v>373309.75263165339</v>
      </c>
      <c r="L262" s="1">
        <v>373309.75263165339</v>
      </c>
      <c r="M262" s="1">
        <v>227379.57660291606</v>
      </c>
      <c r="N262" s="1">
        <v>227379.57660291606</v>
      </c>
      <c r="O262" s="1">
        <v>189482.98050243006</v>
      </c>
      <c r="P262" s="1">
        <v>189482.98050243006</v>
      </c>
      <c r="Q262" s="1">
        <v>265276.17270340206</v>
      </c>
      <c r="R262" s="1">
        <v>265276.17270340206</v>
      </c>
      <c r="S262" s="1">
        <v>265276.17270340206</v>
      </c>
      <c r="T262" s="1">
        <v>265276.17270340206</v>
      </c>
      <c r="U262" s="1">
        <v>265276.17270340206</v>
      </c>
      <c r="V262" s="1">
        <v>265276.17270340206</v>
      </c>
      <c r="W262" s="4">
        <f t="shared" si="8"/>
        <v>2631268.1352158347</v>
      </c>
      <c r="X262" s="4">
        <f t="shared" si="8"/>
        <v>2631268.1352158347</v>
      </c>
      <c r="Y262" s="5">
        <f t="shared" si="9"/>
        <v>0.58149999999999979</v>
      </c>
    </row>
    <row r="263" spans="1:25" x14ac:dyDescent="0.25">
      <c r="A263" s="1" t="s">
        <v>82</v>
      </c>
      <c r="B263" s="1" t="s">
        <v>53</v>
      </c>
      <c r="C263" s="1" t="s">
        <v>30</v>
      </c>
      <c r="D263" s="1">
        <v>3286014.9262045384</v>
      </c>
      <c r="E263" s="1">
        <v>216876.98512949955</v>
      </c>
      <c r="F263" s="1">
        <v>216876.98512949955</v>
      </c>
      <c r="G263" s="1">
        <v>271096.23141187441</v>
      </c>
      <c r="H263" s="1">
        <v>271096.23141187441</v>
      </c>
      <c r="I263" s="1">
        <v>271096.23141187441</v>
      </c>
      <c r="J263" s="1">
        <v>271096.23141187441</v>
      </c>
      <c r="K263" s="1">
        <v>271096.23141187441</v>
      </c>
      <c r="L263" s="1">
        <v>271096.23141187441</v>
      </c>
      <c r="M263" s="1">
        <v>165122.25004177805</v>
      </c>
      <c r="N263" s="1">
        <v>165122.25004177805</v>
      </c>
      <c r="O263" s="1">
        <v>137601.87503481505</v>
      </c>
      <c r="P263" s="1">
        <v>137601.87503481505</v>
      </c>
      <c r="Q263" s="1">
        <v>192642.62504874106</v>
      </c>
      <c r="R263" s="1">
        <v>192642.62504874106</v>
      </c>
      <c r="S263" s="1">
        <v>192642.62504874106</v>
      </c>
      <c r="T263" s="1">
        <v>192642.62504874106</v>
      </c>
      <c r="U263" s="1">
        <v>192642.62504874106</v>
      </c>
      <c r="V263" s="1">
        <v>192642.62504874106</v>
      </c>
      <c r="W263" s="4">
        <f t="shared" si="8"/>
        <v>1910817.6795879391</v>
      </c>
      <c r="X263" s="4">
        <f t="shared" si="8"/>
        <v>1910817.6795879391</v>
      </c>
      <c r="Y263" s="5">
        <f t="shared" si="9"/>
        <v>0.58150000000000002</v>
      </c>
    </row>
    <row r="264" spans="1:25" x14ac:dyDescent="0.25">
      <c r="A264" s="1" t="s">
        <v>82</v>
      </c>
      <c r="B264" s="1" t="s">
        <v>74</v>
      </c>
      <c r="C264" s="1" t="s">
        <v>75</v>
      </c>
      <c r="D264" s="1">
        <v>9633295.262211876</v>
      </c>
      <c r="E264" s="1">
        <v>635797.4873059839</v>
      </c>
      <c r="F264" s="1">
        <v>635797.4873059839</v>
      </c>
      <c r="G264" s="1">
        <v>794746.85913247976</v>
      </c>
      <c r="H264" s="1">
        <v>794746.85913247976</v>
      </c>
      <c r="I264" s="1">
        <v>794746.85913247976</v>
      </c>
      <c r="J264" s="1">
        <v>794746.85913247976</v>
      </c>
      <c r="K264" s="1">
        <v>794746.85913247976</v>
      </c>
      <c r="L264" s="1">
        <v>794746.85913247976</v>
      </c>
      <c r="M264" s="1">
        <v>484073.0869261467</v>
      </c>
      <c r="N264" s="1">
        <v>484073.0869261467</v>
      </c>
      <c r="O264" s="1">
        <v>403394.23910512228</v>
      </c>
      <c r="P264" s="1">
        <v>403394.23910512228</v>
      </c>
      <c r="Q264" s="1">
        <v>564751.93474717112</v>
      </c>
      <c r="R264" s="1">
        <v>564751.93474717112</v>
      </c>
      <c r="S264" s="1">
        <v>564751.93474717112</v>
      </c>
      <c r="T264" s="1">
        <v>564751.93474717112</v>
      </c>
      <c r="U264" s="1">
        <v>564751.93474717112</v>
      </c>
      <c r="V264" s="1">
        <v>564751.93474717112</v>
      </c>
      <c r="W264" s="4">
        <f t="shared" si="8"/>
        <v>5601761.1949762059</v>
      </c>
      <c r="X264" s="4">
        <f t="shared" si="8"/>
        <v>5601761.1949762059</v>
      </c>
      <c r="Y264" s="5">
        <f t="shared" si="9"/>
        <v>0.58150000000000002</v>
      </c>
    </row>
    <row r="265" spans="1:25" x14ac:dyDescent="0.25">
      <c r="A265" s="1" t="s">
        <v>82</v>
      </c>
      <c r="B265" s="1" t="s">
        <v>50</v>
      </c>
      <c r="C265" s="1" t="s">
        <v>25</v>
      </c>
      <c r="D265" s="1">
        <v>4751215.0334937703</v>
      </c>
      <c r="E265" s="1">
        <v>313580.19221058884</v>
      </c>
      <c r="F265" s="1">
        <v>313580.19221058884</v>
      </c>
      <c r="G265" s="1">
        <v>391975.24026323605</v>
      </c>
      <c r="H265" s="1">
        <v>391975.24026323605</v>
      </c>
      <c r="I265" s="1">
        <v>391975.24026323605</v>
      </c>
      <c r="J265" s="1">
        <v>391975.24026323605</v>
      </c>
      <c r="K265" s="1">
        <v>391975.24026323605</v>
      </c>
      <c r="L265" s="1">
        <v>391975.24026323605</v>
      </c>
      <c r="M265" s="1">
        <v>238748.55543306196</v>
      </c>
      <c r="N265" s="1">
        <v>238748.55543306196</v>
      </c>
      <c r="O265" s="1">
        <v>198957.12952755165</v>
      </c>
      <c r="P265" s="1">
        <v>198957.12952755165</v>
      </c>
      <c r="Q265" s="1">
        <v>278539.98133857228</v>
      </c>
      <c r="R265" s="1">
        <v>278539.98133857228</v>
      </c>
      <c r="S265" s="1">
        <v>278539.98133857228</v>
      </c>
      <c r="T265" s="1">
        <v>278539.98133857228</v>
      </c>
      <c r="U265" s="1">
        <v>278539.98133857228</v>
      </c>
      <c r="V265" s="1">
        <v>278539.98133857228</v>
      </c>
      <c r="W265" s="4">
        <f t="shared" si="8"/>
        <v>2762831.541976627</v>
      </c>
      <c r="X265" s="4">
        <f t="shared" si="8"/>
        <v>2762831.541976627</v>
      </c>
      <c r="Y265" s="5">
        <f t="shared" si="9"/>
        <v>0.58149999999999991</v>
      </c>
    </row>
    <row r="266" spans="1:25" x14ac:dyDescent="0.25">
      <c r="A266" s="1" t="s">
        <v>83</v>
      </c>
      <c r="B266" s="1" t="s">
        <v>59</v>
      </c>
      <c r="C266" s="1" t="s">
        <v>26</v>
      </c>
      <c r="D266" s="1">
        <v>48554208</v>
      </c>
      <c r="E266" s="1">
        <v>4227577.7120255642</v>
      </c>
      <c r="F266" s="1">
        <v>4227577.7120255642</v>
      </c>
      <c r="G266" s="1">
        <v>5284472.1400319552</v>
      </c>
      <c r="H266" s="1">
        <v>5284472.1400319552</v>
      </c>
      <c r="I266" s="1">
        <v>5284472.1400319552</v>
      </c>
      <c r="J266" s="1">
        <v>5284472.1400319552</v>
      </c>
      <c r="K266" s="1">
        <v>5284472.1400319552</v>
      </c>
      <c r="L266" s="1">
        <v>5284472.1400319552</v>
      </c>
      <c r="M266" s="1">
        <v>3427039.9299840219</v>
      </c>
      <c r="N266" s="1">
        <v>3427039.9299840219</v>
      </c>
      <c r="O266" s="1">
        <v>3427039.9299840219</v>
      </c>
      <c r="P266" s="1">
        <v>3427039.9299840219</v>
      </c>
      <c r="Q266" s="1">
        <v>3427039.9299840219</v>
      </c>
      <c r="R266" s="1">
        <v>3427039.9299840219</v>
      </c>
      <c r="S266" s="1">
        <v>3427039.9299840219</v>
      </c>
      <c r="T266" s="1">
        <v>3427039.9299840219</v>
      </c>
      <c r="U266" s="1">
        <v>3427039.9299840219</v>
      </c>
      <c r="V266" s="1">
        <v>3427039.9299840219</v>
      </c>
      <c r="W266" s="4">
        <f t="shared" si="8"/>
        <v>37216193.782041542</v>
      </c>
      <c r="X266" s="4">
        <f t="shared" si="8"/>
        <v>37216193.782041542</v>
      </c>
      <c r="Y266" s="5">
        <f t="shared" si="9"/>
        <v>0.7664875057181767</v>
      </c>
    </row>
    <row r="267" spans="1:25" x14ac:dyDescent="0.25">
      <c r="A267" s="1" t="s">
        <v>83</v>
      </c>
      <c r="B267" s="1" t="s">
        <v>59</v>
      </c>
      <c r="C267" s="1" t="s">
        <v>26</v>
      </c>
      <c r="D267" s="1">
        <v>15500000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7750000</v>
      </c>
      <c r="N267" s="1">
        <v>7750000</v>
      </c>
      <c r="O267" s="1">
        <v>7750000</v>
      </c>
      <c r="P267" s="1">
        <v>7750000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4">
        <f t="shared" si="8"/>
        <v>15500000</v>
      </c>
      <c r="X267" s="4">
        <f t="shared" si="8"/>
        <v>15500000</v>
      </c>
      <c r="Y267" s="5">
        <f t="shared" si="9"/>
        <v>1</v>
      </c>
    </row>
    <row r="268" spans="1:25" x14ac:dyDescent="0.25">
      <c r="A268" s="1" t="s">
        <v>83</v>
      </c>
      <c r="B268" s="1" t="s">
        <v>33</v>
      </c>
      <c r="C268" s="1" t="s">
        <v>34</v>
      </c>
      <c r="D268" s="1">
        <v>108000000</v>
      </c>
      <c r="E268" s="1">
        <v>0</v>
      </c>
      <c r="F268" s="1">
        <v>0</v>
      </c>
      <c r="G268" s="1">
        <v>21600000</v>
      </c>
      <c r="H268" s="1">
        <v>21600000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32400000</v>
      </c>
      <c r="P268" s="1">
        <v>32400000</v>
      </c>
      <c r="Q268" s="1">
        <v>0</v>
      </c>
      <c r="R268" s="1">
        <v>0</v>
      </c>
      <c r="S268" s="1">
        <v>32400000</v>
      </c>
      <c r="T268" s="1">
        <v>32400000</v>
      </c>
      <c r="U268" s="1">
        <v>21600000</v>
      </c>
      <c r="V268" s="1">
        <v>21600000</v>
      </c>
      <c r="W268" s="4">
        <f t="shared" si="8"/>
        <v>108000000</v>
      </c>
      <c r="X268" s="4">
        <f t="shared" si="8"/>
        <v>108000000</v>
      </c>
      <c r="Y268" s="5">
        <f t="shared" si="9"/>
        <v>1</v>
      </c>
    </row>
    <row r="269" spans="1:25" x14ac:dyDescent="0.25">
      <c r="A269" s="1" t="s">
        <v>83</v>
      </c>
      <c r="B269" s="1" t="s">
        <v>35</v>
      </c>
      <c r="C269" s="1" t="s">
        <v>34</v>
      </c>
      <c r="D269" s="1">
        <v>270000000</v>
      </c>
      <c r="E269" s="1">
        <v>0</v>
      </c>
      <c r="F269" s="1">
        <v>0</v>
      </c>
      <c r="G269" s="1">
        <v>74250000</v>
      </c>
      <c r="H269" s="1">
        <v>74250000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65250000</v>
      </c>
      <c r="P269" s="1">
        <v>65250000</v>
      </c>
      <c r="Q269" s="1">
        <v>0</v>
      </c>
      <c r="R269" s="1">
        <v>0</v>
      </c>
      <c r="S269" s="1">
        <v>65250000</v>
      </c>
      <c r="T269" s="1">
        <v>65250000</v>
      </c>
      <c r="U269" s="1">
        <v>65250000</v>
      </c>
      <c r="V269" s="1">
        <v>65250000</v>
      </c>
      <c r="W269" s="4">
        <f t="shared" si="8"/>
        <v>270000000</v>
      </c>
      <c r="X269" s="4">
        <f t="shared" si="8"/>
        <v>270000000</v>
      </c>
      <c r="Y269" s="5">
        <f t="shared" si="9"/>
        <v>1</v>
      </c>
    </row>
    <row r="270" spans="1:25" x14ac:dyDescent="0.25">
      <c r="A270" s="1" t="s">
        <v>83</v>
      </c>
      <c r="B270" s="1" t="s">
        <v>38</v>
      </c>
      <c r="C270" s="1" t="s">
        <v>39</v>
      </c>
      <c r="D270" s="1">
        <v>8897291.83899194</v>
      </c>
      <c r="E270" s="1">
        <v>587221.26137346809</v>
      </c>
      <c r="F270" s="1">
        <v>587221.26137346809</v>
      </c>
      <c r="G270" s="1">
        <v>734026.57671683503</v>
      </c>
      <c r="H270" s="1">
        <v>734026.57671683503</v>
      </c>
      <c r="I270" s="1">
        <v>734026.57671683503</v>
      </c>
      <c r="J270" s="1">
        <v>734026.57671683503</v>
      </c>
      <c r="K270" s="1">
        <v>734026.57671683503</v>
      </c>
      <c r="L270" s="1">
        <v>734026.57671683503</v>
      </c>
      <c r="M270" s="1">
        <v>447088.9149093451</v>
      </c>
      <c r="N270" s="1">
        <v>447088.9149093451</v>
      </c>
      <c r="O270" s="1">
        <v>372574.09575778758</v>
      </c>
      <c r="P270" s="1">
        <v>372574.09575778758</v>
      </c>
      <c r="Q270" s="1">
        <v>521603.73406090256</v>
      </c>
      <c r="R270" s="1">
        <v>521603.73406090256</v>
      </c>
      <c r="S270" s="1">
        <v>521603.73406090256</v>
      </c>
      <c r="T270" s="1">
        <v>521603.73406090256</v>
      </c>
      <c r="U270" s="1">
        <v>521603.73406090256</v>
      </c>
      <c r="V270" s="1">
        <v>521603.73406090256</v>
      </c>
      <c r="W270" s="4">
        <f t="shared" si="8"/>
        <v>5173775.2043738132</v>
      </c>
      <c r="X270" s="4">
        <f t="shared" si="8"/>
        <v>5173775.2043738132</v>
      </c>
      <c r="Y270" s="5">
        <f t="shared" si="9"/>
        <v>0.58150000000000002</v>
      </c>
    </row>
    <row r="271" spans="1:25" x14ac:dyDescent="0.25">
      <c r="A271" s="1" t="s">
        <v>83</v>
      </c>
      <c r="B271" s="1" t="s">
        <v>61</v>
      </c>
      <c r="C271" s="1" t="s">
        <v>34</v>
      </c>
      <c r="D271" s="1">
        <v>131254040</v>
      </c>
      <c r="E271" s="1">
        <v>0</v>
      </c>
      <c r="F271" s="1">
        <v>0</v>
      </c>
      <c r="G271" s="1">
        <v>10500323.198803991</v>
      </c>
      <c r="H271" s="1">
        <v>10500323.198803991</v>
      </c>
      <c r="I271" s="1">
        <v>0</v>
      </c>
      <c r="J271" s="1">
        <v>0</v>
      </c>
      <c r="K271" s="1">
        <v>0</v>
      </c>
      <c r="L271" s="1">
        <v>0</v>
      </c>
      <c r="M271" s="1">
        <v>30188429.200299002</v>
      </c>
      <c r="N271" s="1">
        <v>30188429.200299002</v>
      </c>
      <c r="O271" s="1">
        <v>0</v>
      </c>
      <c r="P271" s="1">
        <v>0</v>
      </c>
      <c r="Q271" s="1">
        <v>0</v>
      </c>
      <c r="R271" s="1">
        <v>0</v>
      </c>
      <c r="S271" s="1">
        <v>45282643.800448507</v>
      </c>
      <c r="T271" s="1">
        <v>45282643.800448507</v>
      </c>
      <c r="U271" s="1">
        <v>0</v>
      </c>
      <c r="V271" s="1">
        <v>0</v>
      </c>
      <c r="W271" s="4">
        <f t="shared" si="8"/>
        <v>85971396.199551493</v>
      </c>
      <c r="X271" s="4">
        <f t="shared" si="8"/>
        <v>85971396.199551493</v>
      </c>
      <c r="Y271" s="5">
        <f t="shared" si="9"/>
        <v>0.65499999999658287</v>
      </c>
    </row>
    <row r="272" spans="1:25" x14ac:dyDescent="0.25">
      <c r="A272" s="1" t="s">
        <v>83</v>
      </c>
      <c r="B272" s="1" t="s">
        <v>62</v>
      </c>
      <c r="C272" s="1" t="s">
        <v>63</v>
      </c>
      <c r="D272" s="1">
        <v>35642857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2673214.2857142854</v>
      </c>
      <c r="N272" s="1">
        <v>2673214.2857142854</v>
      </c>
      <c r="O272" s="1">
        <v>2227678.5714285714</v>
      </c>
      <c r="P272" s="1">
        <v>2227678.5714285714</v>
      </c>
      <c r="Q272" s="1">
        <v>3118749.9999999995</v>
      </c>
      <c r="R272" s="1">
        <v>3118749.9999999995</v>
      </c>
      <c r="S272" s="1">
        <v>3118749.9999999995</v>
      </c>
      <c r="T272" s="1">
        <v>3118749.9999999995</v>
      </c>
      <c r="U272" s="1">
        <v>3118749.9999999995</v>
      </c>
      <c r="V272" s="1">
        <v>3118749.9999999995</v>
      </c>
      <c r="W272" s="4">
        <f t="shared" si="8"/>
        <v>14257142.857142854</v>
      </c>
      <c r="X272" s="4">
        <f t="shared" si="8"/>
        <v>14257142.857142854</v>
      </c>
      <c r="Y272" s="5">
        <f t="shared" si="9"/>
        <v>0.40000000160320637</v>
      </c>
    </row>
    <row r="273" spans="1:25" x14ac:dyDescent="0.25">
      <c r="A273" s="1" t="s">
        <v>83</v>
      </c>
      <c r="B273" s="1" t="s">
        <v>40</v>
      </c>
      <c r="C273" s="1" t="s">
        <v>27</v>
      </c>
      <c r="D273" s="1">
        <v>216074365</v>
      </c>
      <c r="E273" s="1">
        <v>14277276</v>
      </c>
      <c r="F273" s="1">
        <v>14277276</v>
      </c>
      <c r="G273" s="1">
        <v>18504921</v>
      </c>
      <c r="H273" s="1">
        <v>18504921</v>
      </c>
      <c r="I273" s="1">
        <v>20569932</v>
      </c>
      <c r="J273" s="1">
        <v>20569932</v>
      </c>
      <c r="K273" s="1">
        <v>12994219</v>
      </c>
      <c r="L273" s="1">
        <v>12994219</v>
      </c>
      <c r="M273" s="1">
        <v>18000000</v>
      </c>
      <c r="N273" s="1">
        <v>18000000</v>
      </c>
      <c r="O273" s="1">
        <v>47491168</v>
      </c>
      <c r="P273" s="1">
        <v>47491168</v>
      </c>
      <c r="Q273" s="1">
        <v>12994467</v>
      </c>
      <c r="R273" s="1">
        <v>12994467</v>
      </c>
      <c r="S273" s="1">
        <v>13812232</v>
      </c>
      <c r="T273" s="1">
        <v>13812232</v>
      </c>
      <c r="U273" s="1">
        <v>19054232</v>
      </c>
      <c r="V273" s="1">
        <v>19054232</v>
      </c>
      <c r="W273" s="4">
        <f t="shared" si="8"/>
        <v>177698447</v>
      </c>
      <c r="X273" s="4">
        <f t="shared" si="8"/>
        <v>177698447</v>
      </c>
      <c r="Y273" s="5">
        <f t="shared" si="9"/>
        <v>0.82239485928837508</v>
      </c>
    </row>
    <row r="274" spans="1:25" x14ac:dyDescent="0.25">
      <c r="A274" s="1" t="s">
        <v>83</v>
      </c>
      <c r="B274" s="1" t="s">
        <v>40</v>
      </c>
      <c r="C274" s="1" t="s">
        <v>27</v>
      </c>
      <c r="D274" s="1">
        <v>295628996</v>
      </c>
      <c r="E274" s="1">
        <v>0</v>
      </c>
      <c r="F274" s="1">
        <v>0</v>
      </c>
      <c r="G274" s="1">
        <v>8023333</v>
      </c>
      <c r="H274" s="1">
        <v>8023333</v>
      </c>
      <c r="I274" s="1">
        <v>33760282</v>
      </c>
      <c r="J274" s="1">
        <v>33760282</v>
      </c>
      <c r="K274" s="1">
        <v>43590682</v>
      </c>
      <c r="L274" s="1">
        <v>43590682</v>
      </c>
      <c r="M274" s="1">
        <v>33750000</v>
      </c>
      <c r="N274" s="1">
        <v>33750000</v>
      </c>
      <c r="O274" s="1">
        <v>142754699</v>
      </c>
      <c r="P274" s="1">
        <v>142754699</v>
      </c>
      <c r="Q274" s="1">
        <v>33750000</v>
      </c>
      <c r="R274" s="1">
        <v>33750000</v>
      </c>
      <c r="S274" s="1">
        <v>0</v>
      </c>
      <c r="T274" s="1">
        <v>0</v>
      </c>
      <c r="U274" s="1">
        <v>0</v>
      </c>
      <c r="V274" s="1">
        <v>0</v>
      </c>
      <c r="W274" s="4">
        <f t="shared" ref="W274:X337" si="10">U274+S274+Q274+O274+M274+K274+I274+G274+E274</f>
        <v>295628996</v>
      </c>
      <c r="X274" s="4">
        <f t="shared" si="10"/>
        <v>295628996</v>
      </c>
      <c r="Y274" s="5">
        <f t="shared" si="9"/>
        <v>1</v>
      </c>
    </row>
    <row r="275" spans="1:25" x14ac:dyDescent="0.25">
      <c r="A275" s="1" t="s">
        <v>83</v>
      </c>
      <c r="B275" s="1" t="s">
        <v>40</v>
      </c>
      <c r="C275" s="1" t="s">
        <v>27</v>
      </c>
      <c r="D275" s="1">
        <v>58327300</v>
      </c>
      <c r="E275" s="1">
        <v>0</v>
      </c>
      <c r="F275" s="1">
        <v>0</v>
      </c>
      <c r="G275" s="1">
        <v>0</v>
      </c>
      <c r="H275" s="1">
        <v>0</v>
      </c>
      <c r="I275" s="1">
        <v>36389473.180725455</v>
      </c>
      <c r="J275" s="1">
        <v>36389473.180725455</v>
      </c>
      <c r="K275" s="1">
        <v>0</v>
      </c>
      <c r="L275" s="1">
        <v>0</v>
      </c>
      <c r="M275" s="1">
        <v>8226685.0572279543</v>
      </c>
      <c r="N275" s="1">
        <v>8226685.0572279543</v>
      </c>
      <c r="O275" s="1">
        <v>5484456.7048186362</v>
      </c>
      <c r="P275" s="1">
        <v>5484456.7048186362</v>
      </c>
      <c r="Q275" s="1">
        <v>8226685.0572279543</v>
      </c>
      <c r="R275" s="1">
        <v>8226685.0572279543</v>
      </c>
      <c r="S275" s="1">
        <v>0</v>
      </c>
      <c r="T275" s="1">
        <v>0</v>
      </c>
      <c r="U275" s="1">
        <v>0</v>
      </c>
      <c r="V275" s="1">
        <v>0</v>
      </c>
      <c r="W275" s="4">
        <f t="shared" si="10"/>
        <v>58327300</v>
      </c>
      <c r="X275" s="4">
        <f t="shared" si="10"/>
        <v>58327300</v>
      </c>
      <c r="Y275" s="5">
        <f t="shared" si="9"/>
        <v>1</v>
      </c>
    </row>
    <row r="276" spans="1:25" x14ac:dyDescent="0.25">
      <c r="A276" s="1" t="s">
        <v>83</v>
      </c>
      <c r="B276" s="1" t="s">
        <v>43</v>
      </c>
      <c r="C276" s="1" t="s">
        <v>31</v>
      </c>
      <c r="D276" s="1">
        <v>7238584</v>
      </c>
      <c r="E276" s="1">
        <v>420477.783146339</v>
      </c>
      <c r="F276" s="1">
        <v>420477.783146339</v>
      </c>
      <c r="G276" s="1">
        <v>525597.22893292375</v>
      </c>
      <c r="H276" s="1">
        <v>525597.22893292375</v>
      </c>
      <c r="I276" s="1">
        <v>525597.22893292375</v>
      </c>
      <c r="J276" s="1">
        <v>525597.22893292375</v>
      </c>
      <c r="K276" s="1">
        <v>525597.22893292375</v>
      </c>
      <c r="L276" s="1">
        <v>525597.22893292375</v>
      </c>
      <c r="M276" s="1">
        <v>390820.73567560845</v>
      </c>
      <c r="N276" s="1">
        <v>390820.73567560845</v>
      </c>
      <c r="O276" s="1">
        <v>325683.94639634038</v>
      </c>
      <c r="P276" s="1">
        <v>325683.94639634038</v>
      </c>
      <c r="Q276" s="1">
        <v>403633.88430367806</v>
      </c>
      <c r="R276" s="1">
        <v>403633.88430367806</v>
      </c>
      <c r="S276" s="1">
        <v>455957.52495487651</v>
      </c>
      <c r="T276" s="1">
        <v>455957.52495487651</v>
      </c>
      <c r="U276" s="1">
        <v>455957.52495487651</v>
      </c>
      <c r="V276" s="1">
        <v>455957.52495487651</v>
      </c>
      <c r="W276" s="4">
        <f t="shared" si="10"/>
        <v>4029323.0862304899</v>
      </c>
      <c r="X276" s="4">
        <f t="shared" si="10"/>
        <v>4029323.0862304899</v>
      </c>
      <c r="Y276" s="5">
        <f t="shared" si="9"/>
        <v>0.55664520660815564</v>
      </c>
    </row>
    <row r="277" spans="1:25" x14ac:dyDescent="0.25">
      <c r="A277" s="1" t="s">
        <v>83</v>
      </c>
      <c r="B277" s="1" t="s">
        <v>64</v>
      </c>
      <c r="C277" s="1" t="s">
        <v>23</v>
      </c>
      <c r="D277" s="1">
        <v>4962338.9068766609</v>
      </c>
      <c r="E277" s="1">
        <v>327514.36785385967</v>
      </c>
      <c r="F277" s="1">
        <v>327514.36785385967</v>
      </c>
      <c r="G277" s="1">
        <v>409392.95981732453</v>
      </c>
      <c r="H277" s="1">
        <v>409392.95981732453</v>
      </c>
      <c r="I277" s="1">
        <v>409392.95981732453</v>
      </c>
      <c r="J277" s="1">
        <v>409392.95981732453</v>
      </c>
      <c r="K277" s="1">
        <v>409392.95981732453</v>
      </c>
      <c r="L277" s="1">
        <v>409392.95981732453</v>
      </c>
      <c r="M277" s="1">
        <v>249357.53007055219</v>
      </c>
      <c r="N277" s="1">
        <v>249357.53007055219</v>
      </c>
      <c r="O277" s="1">
        <v>207797.94172546017</v>
      </c>
      <c r="P277" s="1">
        <v>207797.94172546017</v>
      </c>
      <c r="Q277" s="1">
        <v>290917.11841564422</v>
      </c>
      <c r="R277" s="1">
        <v>290917.11841564422</v>
      </c>
      <c r="S277" s="1">
        <v>290917.11841564422</v>
      </c>
      <c r="T277" s="1">
        <v>290917.11841564422</v>
      </c>
      <c r="U277" s="1">
        <v>290917.11841564422</v>
      </c>
      <c r="V277" s="1">
        <v>290917.11841564422</v>
      </c>
      <c r="W277" s="4">
        <f t="shared" si="10"/>
        <v>2885600.0743487785</v>
      </c>
      <c r="X277" s="4">
        <f t="shared" si="10"/>
        <v>2885600.0743487785</v>
      </c>
      <c r="Y277" s="5">
        <f t="shared" si="9"/>
        <v>0.58150000000000002</v>
      </c>
    </row>
    <row r="278" spans="1:25" x14ac:dyDescent="0.25">
      <c r="A278" s="1" t="s">
        <v>83</v>
      </c>
      <c r="B278" s="1" t="s">
        <v>65</v>
      </c>
      <c r="C278" s="1" t="s">
        <v>31</v>
      </c>
      <c r="D278" s="1">
        <v>6359225.4595848825</v>
      </c>
      <c r="E278" s="1">
        <v>419708.8803326023</v>
      </c>
      <c r="F278" s="1">
        <v>419708.8803326023</v>
      </c>
      <c r="G278" s="1">
        <v>524636.10041575285</v>
      </c>
      <c r="H278" s="1">
        <v>524636.10041575285</v>
      </c>
      <c r="I278" s="1">
        <v>524636.10041575285</v>
      </c>
      <c r="J278" s="1">
        <v>524636.10041575285</v>
      </c>
      <c r="K278" s="1">
        <v>524636.10041575285</v>
      </c>
      <c r="L278" s="1">
        <v>524636.10041575285</v>
      </c>
      <c r="M278" s="1">
        <v>319551.07934414037</v>
      </c>
      <c r="N278" s="1">
        <v>319551.07934414037</v>
      </c>
      <c r="O278" s="1">
        <v>266292.56612011697</v>
      </c>
      <c r="P278" s="1">
        <v>266292.56612011697</v>
      </c>
      <c r="Q278" s="1">
        <v>372809.59256816376</v>
      </c>
      <c r="R278" s="1">
        <v>372809.59256816376</v>
      </c>
      <c r="S278" s="1">
        <v>372809.59256816376</v>
      </c>
      <c r="T278" s="1">
        <v>372809.59256816376</v>
      </c>
      <c r="U278" s="1">
        <v>372809.59256816376</v>
      </c>
      <c r="V278" s="1">
        <v>372809.59256816376</v>
      </c>
      <c r="W278" s="4">
        <f t="shared" si="10"/>
        <v>3697889.604748609</v>
      </c>
      <c r="X278" s="4">
        <f t="shared" si="10"/>
        <v>3697889.604748609</v>
      </c>
      <c r="Y278" s="5">
        <f t="shared" si="9"/>
        <v>0.58150000000000002</v>
      </c>
    </row>
    <row r="279" spans="1:25" x14ac:dyDescent="0.25">
      <c r="A279" s="1" t="s">
        <v>83</v>
      </c>
      <c r="B279" s="1" t="s">
        <v>44</v>
      </c>
      <c r="C279" s="1" t="s">
        <v>45</v>
      </c>
      <c r="D279" s="1">
        <v>8897291.83899194</v>
      </c>
      <c r="E279" s="1">
        <v>587221.26137346809</v>
      </c>
      <c r="F279" s="1">
        <v>587221.26137346809</v>
      </c>
      <c r="G279" s="1">
        <v>734026.57671683503</v>
      </c>
      <c r="H279" s="1">
        <v>734026.57671683503</v>
      </c>
      <c r="I279" s="1">
        <v>734026.57671683503</v>
      </c>
      <c r="J279" s="1">
        <v>734026.57671683503</v>
      </c>
      <c r="K279" s="1">
        <v>734026.57671683503</v>
      </c>
      <c r="L279" s="1">
        <v>734026.57671683503</v>
      </c>
      <c r="M279" s="1">
        <v>447088.9149093451</v>
      </c>
      <c r="N279" s="1">
        <v>447088.9149093451</v>
      </c>
      <c r="O279" s="1">
        <v>372574.09575778758</v>
      </c>
      <c r="P279" s="1">
        <v>372574.09575778758</v>
      </c>
      <c r="Q279" s="1">
        <v>521603.73406090256</v>
      </c>
      <c r="R279" s="1">
        <v>521603.73406090256</v>
      </c>
      <c r="S279" s="1">
        <v>521603.73406090256</v>
      </c>
      <c r="T279" s="1">
        <v>521603.73406090256</v>
      </c>
      <c r="U279" s="1">
        <v>521603.73406090256</v>
      </c>
      <c r="V279" s="1">
        <v>521603.73406090256</v>
      </c>
      <c r="W279" s="4">
        <f t="shared" si="10"/>
        <v>5173775.2043738132</v>
      </c>
      <c r="X279" s="4">
        <f t="shared" si="10"/>
        <v>5173775.2043738132</v>
      </c>
      <c r="Y279" s="5">
        <f t="shared" si="9"/>
        <v>0.58150000000000002</v>
      </c>
    </row>
    <row r="280" spans="1:25" x14ac:dyDescent="0.25">
      <c r="A280" s="1" t="s">
        <v>83</v>
      </c>
      <c r="B280" s="1" t="s">
        <v>46</v>
      </c>
      <c r="C280" s="1" t="s">
        <v>22</v>
      </c>
      <c r="D280" s="1">
        <v>117423700.98308355</v>
      </c>
      <c r="E280" s="1">
        <v>7757223.8686444405</v>
      </c>
      <c r="F280" s="1">
        <v>7757223.8686444405</v>
      </c>
      <c r="G280" s="1">
        <v>9696529.8358055502</v>
      </c>
      <c r="H280" s="1">
        <v>9696529.8358055502</v>
      </c>
      <c r="I280" s="1">
        <v>9696529.8358055502</v>
      </c>
      <c r="J280" s="1">
        <v>9696529.8358055502</v>
      </c>
      <c r="K280" s="1">
        <v>9696529.8358055502</v>
      </c>
      <c r="L280" s="1">
        <v>9696529.8358055502</v>
      </c>
      <c r="M280" s="1">
        <v>6084253.6650788849</v>
      </c>
      <c r="N280" s="1">
        <v>6084253.6650788849</v>
      </c>
      <c r="O280" s="1">
        <v>4947651.1638857629</v>
      </c>
      <c r="P280" s="1">
        <v>4947651.1638857629</v>
      </c>
      <c r="Q280" s="1">
        <v>6849715.8965695146</v>
      </c>
      <c r="R280" s="1">
        <v>6849715.8965695146</v>
      </c>
      <c r="S280" s="1">
        <v>6849715.8965695146</v>
      </c>
      <c r="T280" s="1">
        <v>6849715.8965695146</v>
      </c>
      <c r="U280" s="1">
        <v>6772720.0930232676</v>
      </c>
      <c r="V280" s="1">
        <v>6772720.0930232676</v>
      </c>
      <c r="W280" s="4">
        <f t="shared" si="10"/>
        <v>68350870.091188043</v>
      </c>
      <c r="X280" s="4">
        <f t="shared" si="10"/>
        <v>68350870.091188043</v>
      </c>
      <c r="Y280" s="5">
        <f t="shared" si="9"/>
        <v>0.58208751315916107</v>
      </c>
    </row>
    <row r="281" spans="1:25" x14ac:dyDescent="0.25">
      <c r="A281" s="1" t="s">
        <v>83</v>
      </c>
      <c r="B281" s="1" t="s">
        <v>66</v>
      </c>
      <c r="C281" s="1" t="s">
        <v>24</v>
      </c>
      <c r="D281" s="1">
        <v>368538499.46810776</v>
      </c>
      <c r="E281" s="1">
        <v>30404426.206118893</v>
      </c>
      <c r="F281" s="1">
        <v>30404426.206118893</v>
      </c>
      <c r="G281" s="1">
        <v>30404426.206118893</v>
      </c>
      <c r="H281" s="1">
        <v>30404426.206118893</v>
      </c>
      <c r="I281" s="1">
        <v>30404426.206118893</v>
      </c>
      <c r="J281" s="1">
        <v>30404426.206118893</v>
      </c>
      <c r="K281" s="1">
        <v>30404426.206118893</v>
      </c>
      <c r="L281" s="1">
        <v>30404426.206118893</v>
      </c>
      <c r="M281" s="1">
        <v>30420794.175524428</v>
      </c>
      <c r="N281" s="1">
        <v>30420794.175524428</v>
      </c>
      <c r="O281" s="1">
        <v>30500000</v>
      </c>
      <c r="P281" s="1">
        <v>30500000</v>
      </c>
      <c r="Q281" s="1">
        <v>33000000</v>
      </c>
      <c r="R281" s="1">
        <v>33000000</v>
      </c>
      <c r="S281" s="1">
        <v>31300000</v>
      </c>
      <c r="T281" s="1">
        <v>31300000</v>
      </c>
      <c r="U281" s="1">
        <v>30100000</v>
      </c>
      <c r="V281" s="1">
        <v>30100000</v>
      </c>
      <c r="W281" s="4">
        <f t="shared" si="10"/>
        <v>276938498.99999994</v>
      </c>
      <c r="X281" s="4">
        <f t="shared" si="10"/>
        <v>276938498.99999994</v>
      </c>
      <c r="Y281" s="5">
        <f t="shared" si="9"/>
        <v>0.7514506609206113</v>
      </c>
    </row>
    <row r="282" spans="1:25" x14ac:dyDescent="0.25">
      <c r="A282" s="1" t="s">
        <v>83</v>
      </c>
      <c r="B282" s="1" t="s">
        <v>67</v>
      </c>
      <c r="C282" s="1" t="s">
        <v>68</v>
      </c>
      <c r="D282" s="1">
        <v>5916750.6585043678</v>
      </c>
      <c r="E282" s="1">
        <v>390505.54346128833</v>
      </c>
      <c r="F282" s="1">
        <v>390505.54346128833</v>
      </c>
      <c r="G282" s="1">
        <v>488131.92932661035</v>
      </c>
      <c r="H282" s="1">
        <v>488131.92932661035</v>
      </c>
      <c r="I282" s="1">
        <v>488131.92932661035</v>
      </c>
      <c r="J282" s="1">
        <v>488131.92932661035</v>
      </c>
      <c r="K282" s="1">
        <v>488131.92932661035</v>
      </c>
      <c r="L282" s="1">
        <v>488131.92932661035</v>
      </c>
      <c r="M282" s="1">
        <v>307671.03424222715</v>
      </c>
      <c r="N282" s="1">
        <v>307671.03424222715</v>
      </c>
      <c r="O282" s="1">
        <v>246531.277437682</v>
      </c>
      <c r="P282" s="1">
        <v>246531.277437682</v>
      </c>
      <c r="Q282" s="1">
        <v>345143.78841275477</v>
      </c>
      <c r="R282" s="1">
        <v>345143.78841275477</v>
      </c>
      <c r="S282" s="1">
        <v>345143.78841275477</v>
      </c>
      <c r="T282" s="1">
        <v>345143.78841275477</v>
      </c>
      <c r="U282" s="1">
        <v>345143.78841275477</v>
      </c>
      <c r="V282" s="1">
        <v>345143.78841275477</v>
      </c>
      <c r="W282" s="4">
        <f t="shared" si="10"/>
        <v>3444535.0083592925</v>
      </c>
      <c r="X282" s="4">
        <f t="shared" si="10"/>
        <v>3444535.0083592925</v>
      </c>
      <c r="Y282" s="5">
        <f t="shared" si="9"/>
        <v>0.58216666666666661</v>
      </c>
    </row>
    <row r="283" spans="1:25" x14ac:dyDescent="0.25">
      <c r="A283" s="1" t="s">
        <v>83</v>
      </c>
      <c r="B283" s="1" t="s">
        <v>69</v>
      </c>
      <c r="C283" s="1" t="s">
        <v>28</v>
      </c>
      <c r="D283" s="1">
        <v>13810256.81519242</v>
      </c>
      <c r="E283" s="1">
        <v>911476.94980269973</v>
      </c>
      <c r="F283" s="1">
        <v>911476.94980269973</v>
      </c>
      <c r="G283" s="1">
        <v>1139346.1872533746</v>
      </c>
      <c r="H283" s="1">
        <v>1139346.1872533746</v>
      </c>
      <c r="I283" s="1">
        <v>1139346.1872533746</v>
      </c>
      <c r="J283" s="1">
        <v>1139346.1872533746</v>
      </c>
      <c r="K283" s="1">
        <v>1139346.1872533746</v>
      </c>
      <c r="L283" s="1">
        <v>1139346.1872533746</v>
      </c>
      <c r="M283" s="1">
        <v>693965.40496341907</v>
      </c>
      <c r="N283" s="1">
        <v>693965.40496341907</v>
      </c>
      <c r="O283" s="1">
        <v>578304.5041361826</v>
      </c>
      <c r="P283" s="1">
        <v>578304.5041361826</v>
      </c>
      <c r="Q283" s="1">
        <v>809626.30579065555</v>
      </c>
      <c r="R283" s="1">
        <v>809626.30579065555</v>
      </c>
      <c r="S283" s="1">
        <v>809626.30579065555</v>
      </c>
      <c r="T283" s="1">
        <v>809626.30579065555</v>
      </c>
      <c r="U283" s="1">
        <v>809626.30579065555</v>
      </c>
      <c r="V283" s="1">
        <v>809626.30579065555</v>
      </c>
      <c r="W283" s="4">
        <f t="shared" si="10"/>
        <v>8030664.3380343914</v>
      </c>
      <c r="X283" s="4">
        <f t="shared" si="10"/>
        <v>8030664.3380343914</v>
      </c>
      <c r="Y283" s="5">
        <f t="shared" si="9"/>
        <v>0.58149999999999991</v>
      </c>
    </row>
    <row r="284" spans="1:25" x14ac:dyDescent="0.25">
      <c r="A284" s="1" t="s">
        <v>83</v>
      </c>
      <c r="B284" s="1" t="s">
        <v>70</v>
      </c>
      <c r="C284" s="1" t="s">
        <v>23</v>
      </c>
      <c r="D284" s="1">
        <v>8268750.0182812503</v>
      </c>
      <c r="E284" s="1">
        <v>545737.50120656262</v>
      </c>
      <c r="F284" s="1">
        <v>545737.50120656262</v>
      </c>
      <c r="G284" s="1">
        <v>682171.87650820322</v>
      </c>
      <c r="H284" s="1">
        <v>682171.87650820322</v>
      </c>
      <c r="I284" s="1">
        <v>682171.87650820322</v>
      </c>
      <c r="J284" s="1">
        <v>682171.87650820322</v>
      </c>
      <c r="K284" s="1">
        <v>682171.87650820322</v>
      </c>
      <c r="L284" s="1">
        <v>682171.87650820322</v>
      </c>
      <c r="M284" s="1">
        <v>415504.68841863284</v>
      </c>
      <c r="N284" s="1">
        <v>415504.68841863284</v>
      </c>
      <c r="O284" s="1">
        <v>346253.90701552737</v>
      </c>
      <c r="P284" s="1">
        <v>346253.90701552737</v>
      </c>
      <c r="Q284" s="1">
        <v>484755.46982173825</v>
      </c>
      <c r="R284" s="1">
        <v>484755.46982173825</v>
      </c>
      <c r="S284" s="1">
        <v>484755.46982173825</v>
      </c>
      <c r="T284" s="1">
        <v>484755.46982173825</v>
      </c>
      <c r="U284" s="1">
        <v>484755.46982173825</v>
      </c>
      <c r="V284" s="1">
        <v>484755.46982173825</v>
      </c>
      <c r="W284" s="4">
        <f t="shared" si="10"/>
        <v>4808278.135630548</v>
      </c>
      <c r="X284" s="4">
        <f t="shared" si="10"/>
        <v>4808278.135630548</v>
      </c>
      <c r="Y284" s="5">
        <f t="shared" si="9"/>
        <v>0.58150000000000013</v>
      </c>
    </row>
    <row r="285" spans="1:25" x14ac:dyDescent="0.25">
      <c r="A285" s="1" t="s">
        <v>83</v>
      </c>
      <c r="B285" s="1" t="s">
        <v>71</v>
      </c>
      <c r="C285" s="1" t="s">
        <v>29</v>
      </c>
      <c r="D285" s="1">
        <v>9528677.6711538434</v>
      </c>
      <c r="E285" s="1">
        <v>628892.72629615373</v>
      </c>
      <c r="F285" s="1">
        <v>628892.72629615373</v>
      </c>
      <c r="G285" s="1">
        <v>786115.90787019208</v>
      </c>
      <c r="H285" s="1">
        <v>786115.90787019208</v>
      </c>
      <c r="I285" s="1">
        <v>786115.90787019208</v>
      </c>
      <c r="J285" s="1">
        <v>786115.90787019208</v>
      </c>
      <c r="K285" s="1">
        <v>786115.90787019208</v>
      </c>
      <c r="L285" s="1">
        <v>786115.90787019208</v>
      </c>
      <c r="M285" s="1">
        <v>478816.05297548062</v>
      </c>
      <c r="N285" s="1">
        <v>478816.05297548062</v>
      </c>
      <c r="O285" s="1">
        <v>399013.37747956719</v>
      </c>
      <c r="P285" s="1">
        <v>399013.37747956719</v>
      </c>
      <c r="Q285" s="1">
        <v>558618.72847139405</v>
      </c>
      <c r="R285" s="1">
        <v>558618.72847139405</v>
      </c>
      <c r="S285" s="1">
        <v>558618.72847139405</v>
      </c>
      <c r="T285" s="1">
        <v>558618.72847139405</v>
      </c>
      <c r="U285" s="1">
        <v>558618.72847139405</v>
      </c>
      <c r="V285" s="1">
        <v>558618.72847139405</v>
      </c>
      <c r="W285" s="4">
        <f t="shared" si="10"/>
        <v>5540926.0657759598</v>
      </c>
      <c r="X285" s="4">
        <f t="shared" si="10"/>
        <v>5540926.0657759598</v>
      </c>
      <c r="Y285" s="5">
        <f t="shared" si="9"/>
        <v>0.58150000000000002</v>
      </c>
    </row>
    <row r="286" spans="1:25" x14ac:dyDescent="0.25">
      <c r="A286" s="1" t="s">
        <v>83</v>
      </c>
      <c r="B286" s="1" t="s">
        <v>72</v>
      </c>
      <c r="C286" s="1" t="s">
        <v>73</v>
      </c>
      <c r="D286" s="1">
        <v>10707870.041863145</v>
      </c>
      <c r="E286" s="1">
        <v>706719.42276296765</v>
      </c>
      <c r="F286" s="1">
        <v>706719.42276296765</v>
      </c>
      <c r="G286" s="1">
        <v>883399.27845370956</v>
      </c>
      <c r="H286" s="1">
        <v>883399.27845370956</v>
      </c>
      <c r="I286" s="1">
        <v>883399.27845370956</v>
      </c>
      <c r="J286" s="1">
        <v>883399.27845370956</v>
      </c>
      <c r="K286" s="1">
        <v>883399.27845370956</v>
      </c>
      <c r="L286" s="1">
        <v>883399.27845370956</v>
      </c>
      <c r="M286" s="1">
        <v>538070.46960362303</v>
      </c>
      <c r="N286" s="1">
        <v>538070.46960362303</v>
      </c>
      <c r="O286" s="1">
        <v>448392.05800301919</v>
      </c>
      <c r="P286" s="1">
        <v>448392.05800301919</v>
      </c>
      <c r="Q286" s="1">
        <v>627748.88120422687</v>
      </c>
      <c r="R286" s="1">
        <v>627748.88120422687</v>
      </c>
      <c r="S286" s="1">
        <v>627748.88120422687</v>
      </c>
      <c r="T286" s="1">
        <v>627748.88120422687</v>
      </c>
      <c r="U286" s="1">
        <v>627748.88120422687</v>
      </c>
      <c r="V286" s="1">
        <v>627748.88120422687</v>
      </c>
      <c r="W286" s="4">
        <f t="shared" si="10"/>
        <v>6226626.4293434191</v>
      </c>
      <c r="X286" s="4">
        <f t="shared" si="10"/>
        <v>6226626.4293434191</v>
      </c>
      <c r="Y286" s="5">
        <f t="shared" si="9"/>
        <v>0.58150000000000002</v>
      </c>
    </row>
    <row r="287" spans="1:25" x14ac:dyDescent="0.25">
      <c r="A287" s="1" t="s">
        <v>83</v>
      </c>
      <c r="B287" s="1" t="s">
        <v>48</v>
      </c>
      <c r="C287" s="1" t="s">
        <v>49</v>
      </c>
      <c r="D287" s="1">
        <v>6670399.4196915133</v>
      </c>
      <c r="E287" s="1">
        <v>440246.36169963994</v>
      </c>
      <c r="F287" s="1">
        <v>440246.36169963994</v>
      </c>
      <c r="G287" s="1">
        <v>550307.95212454989</v>
      </c>
      <c r="H287" s="1">
        <v>550307.95212454989</v>
      </c>
      <c r="I287" s="1">
        <v>550307.95212454989</v>
      </c>
      <c r="J287" s="1">
        <v>550307.95212454989</v>
      </c>
      <c r="K287" s="1">
        <v>550307.95212454989</v>
      </c>
      <c r="L287" s="1">
        <v>550307.95212454989</v>
      </c>
      <c r="M287" s="1">
        <v>335187.57083949848</v>
      </c>
      <c r="N287" s="1">
        <v>335187.57083949848</v>
      </c>
      <c r="O287" s="1">
        <v>279322.97569958208</v>
      </c>
      <c r="P287" s="1">
        <v>279322.97569958208</v>
      </c>
      <c r="Q287" s="1">
        <v>391052.16597941489</v>
      </c>
      <c r="R287" s="1">
        <v>391052.16597941489</v>
      </c>
      <c r="S287" s="1">
        <v>391052.16597941489</v>
      </c>
      <c r="T287" s="1">
        <v>391052.16597941489</v>
      </c>
      <c r="U287" s="1">
        <v>391052.16597941489</v>
      </c>
      <c r="V287" s="1">
        <v>391052.16597941489</v>
      </c>
      <c r="W287" s="4">
        <f t="shared" si="10"/>
        <v>3878837.2625506148</v>
      </c>
      <c r="X287" s="4">
        <f t="shared" si="10"/>
        <v>3878837.2625506148</v>
      </c>
      <c r="Y287" s="5">
        <f t="shared" si="9"/>
        <v>0.58150000000000002</v>
      </c>
    </row>
    <row r="288" spans="1:25" x14ac:dyDescent="0.25">
      <c r="A288" s="1" t="s">
        <v>83</v>
      </c>
      <c r="B288" s="1" t="s">
        <v>53</v>
      </c>
      <c r="C288" s="1" t="s">
        <v>30</v>
      </c>
      <c r="D288" s="1">
        <v>9688786.1158917695</v>
      </c>
      <c r="E288" s="1">
        <v>639459.88364885689</v>
      </c>
      <c r="F288" s="1">
        <v>639459.88364885689</v>
      </c>
      <c r="G288" s="1">
        <v>799324.85456107103</v>
      </c>
      <c r="H288" s="1">
        <v>799324.85456107103</v>
      </c>
      <c r="I288" s="1">
        <v>799324.85456107103</v>
      </c>
      <c r="J288" s="1">
        <v>799324.85456107103</v>
      </c>
      <c r="K288" s="1">
        <v>799324.85456107103</v>
      </c>
      <c r="L288" s="1">
        <v>799324.85456107103</v>
      </c>
      <c r="M288" s="1">
        <v>486861.50232356141</v>
      </c>
      <c r="N288" s="1">
        <v>486861.50232356141</v>
      </c>
      <c r="O288" s="1">
        <v>405717.91860296787</v>
      </c>
      <c r="P288" s="1">
        <v>405717.91860296787</v>
      </c>
      <c r="Q288" s="1">
        <v>568005.08604415494</v>
      </c>
      <c r="R288" s="1">
        <v>568005.08604415494</v>
      </c>
      <c r="S288" s="1">
        <v>568005.08604415494</v>
      </c>
      <c r="T288" s="1">
        <v>568005.08604415494</v>
      </c>
      <c r="U288" s="1">
        <v>568005.08604415494</v>
      </c>
      <c r="V288" s="1">
        <v>568005.08604415494</v>
      </c>
      <c r="W288" s="4">
        <f t="shared" si="10"/>
        <v>5634029.1263910634</v>
      </c>
      <c r="X288" s="4">
        <f t="shared" si="10"/>
        <v>5634029.1263910634</v>
      </c>
      <c r="Y288" s="5">
        <f t="shared" si="9"/>
        <v>0.58149999999999991</v>
      </c>
    </row>
    <row r="289" spans="1:25" x14ac:dyDescent="0.25">
      <c r="A289" s="1" t="s">
        <v>83</v>
      </c>
      <c r="B289" s="1" t="s">
        <v>74</v>
      </c>
      <c r="C289" s="1" t="s">
        <v>75</v>
      </c>
      <c r="D289" s="1">
        <v>4455225.798066834</v>
      </c>
      <c r="E289" s="1">
        <v>294044.90267241106</v>
      </c>
      <c r="F289" s="1">
        <v>294044.90267241106</v>
      </c>
      <c r="G289" s="1">
        <v>367556.12834051379</v>
      </c>
      <c r="H289" s="1">
        <v>367556.12834051379</v>
      </c>
      <c r="I289" s="1">
        <v>367556.12834051379</v>
      </c>
      <c r="J289" s="1">
        <v>367556.12834051379</v>
      </c>
      <c r="K289" s="1">
        <v>367556.12834051379</v>
      </c>
      <c r="L289" s="1">
        <v>367556.12834051379</v>
      </c>
      <c r="M289" s="1">
        <v>223875.09635285841</v>
      </c>
      <c r="N289" s="1">
        <v>223875.09635285841</v>
      </c>
      <c r="O289" s="1">
        <v>186562.58029404868</v>
      </c>
      <c r="P289" s="1">
        <v>186562.58029404868</v>
      </c>
      <c r="Q289" s="1">
        <v>261187.61241166812</v>
      </c>
      <c r="R289" s="1">
        <v>261187.61241166812</v>
      </c>
      <c r="S289" s="1">
        <v>261187.61241166812</v>
      </c>
      <c r="T289" s="1">
        <v>261187.61241166812</v>
      </c>
      <c r="U289" s="1">
        <v>261187.61241166812</v>
      </c>
      <c r="V289" s="1">
        <v>261187.61241166812</v>
      </c>
      <c r="W289" s="4">
        <f t="shared" si="10"/>
        <v>2590713.8015758642</v>
      </c>
      <c r="X289" s="4">
        <f t="shared" si="10"/>
        <v>2590713.8015758642</v>
      </c>
      <c r="Y289" s="5">
        <f t="shared" si="9"/>
        <v>0.58150000000000002</v>
      </c>
    </row>
    <row r="290" spans="1:25" x14ac:dyDescent="0.25">
      <c r="A290" s="1" t="s">
        <v>83</v>
      </c>
      <c r="B290" s="1" t="s">
        <v>50</v>
      </c>
      <c r="C290" s="1" t="s">
        <v>25</v>
      </c>
      <c r="D290" s="1">
        <v>7003919.3906760886</v>
      </c>
      <c r="E290" s="1">
        <v>462258.67978462187</v>
      </c>
      <c r="F290" s="1">
        <v>462258.67978462187</v>
      </c>
      <c r="G290" s="1">
        <v>577823.34973077732</v>
      </c>
      <c r="H290" s="1">
        <v>577823.34973077732</v>
      </c>
      <c r="I290" s="1">
        <v>577823.34973077732</v>
      </c>
      <c r="J290" s="1">
        <v>577823.34973077732</v>
      </c>
      <c r="K290" s="1">
        <v>577823.34973077732</v>
      </c>
      <c r="L290" s="1">
        <v>577823.34973077732</v>
      </c>
      <c r="M290" s="1">
        <v>351946.94938147342</v>
      </c>
      <c r="N290" s="1">
        <v>351946.94938147342</v>
      </c>
      <c r="O290" s="1">
        <v>293289.12448456121</v>
      </c>
      <c r="P290" s="1">
        <v>293289.12448456121</v>
      </c>
      <c r="Q290" s="1">
        <v>410604.77427838568</v>
      </c>
      <c r="R290" s="1">
        <v>410604.77427838568</v>
      </c>
      <c r="S290" s="1">
        <v>410604.77427838568</v>
      </c>
      <c r="T290" s="1">
        <v>410604.77427838568</v>
      </c>
      <c r="U290" s="1">
        <v>410604.77427838568</v>
      </c>
      <c r="V290" s="1">
        <v>410604.77427838568</v>
      </c>
      <c r="W290" s="4">
        <f t="shared" si="10"/>
        <v>4072779.1256781463</v>
      </c>
      <c r="X290" s="4">
        <f t="shared" si="10"/>
        <v>4072779.1256781463</v>
      </c>
      <c r="Y290" s="5">
        <f t="shared" si="9"/>
        <v>0.58150000000000013</v>
      </c>
    </row>
    <row r="291" spans="1:25" x14ac:dyDescent="0.25">
      <c r="A291" s="1" t="s">
        <v>84</v>
      </c>
      <c r="B291" s="1" t="s">
        <v>59</v>
      </c>
      <c r="C291" s="1" t="s">
        <v>26</v>
      </c>
      <c r="D291" s="1">
        <v>17931058</v>
      </c>
      <c r="E291" s="1">
        <v>1579449.8571184753</v>
      </c>
      <c r="F291" s="1">
        <v>1579449.8571184753</v>
      </c>
      <c r="G291" s="1">
        <v>1974312.3213980941</v>
      </c>
      <c r="H291" s="1">
        <v>1974312.3213980941</v>
      </c>
      <c r="I291" s="1">
        <v>1974312.3213980941</v>
      </c>
      <c r="J291" s="1">
        <v>1974312.3213980941</v>
      </c>
      <c r="K291" s="1">
        <v>1974312.3213980941</v>
      </c>
      <c r="L291" s="1">
        <v>1974312.3213980941</v>
      </c>
      <c r="M291" s="1">
        <v>1254226.0893009529</v>
      </c>
      <c r="N291" s="1">
        <v>1254226.0893009529</v>
      </c>
      <c r="O291" s="1">
        <v>1254226.0893009529</v>
      </c>
      <c r="P291" s="1">
        <v>1254226.0893009529</v>
      </c>
      <c r="Q291" s="1">
        <v>1254226.0893009529</v>
      </c>
      <c r="R291" s="1">
        <v>1254226.0893009529</v>
      </c>
      <c r="S291" s="1">
        <v>1254226.0893009529</v>
      </c>
      <c r="T291" s="1">
        <v>1254226.0893009529</v>
      </c>
      <c r="U291" s="1">
        <v>1254226.0893009529</v>
      </c>
      <c r="V291" s="1">
        <v>1254226.0893009529</v>
      </c>
      <c r="W291" s="4">
        <f t="shared" si="10"/>
        <v>13773517.267817523</v>
      </c>
      <c r="X291" s="4">
        <f t="shared" si="10"/>
        <v>13773517.267817523</v>
      </c>
      <c r="Y291" s="5">
        <f t="shared" si="9"/>
        <v>0.76813745557108359</v>
      </c>
    </row>
    <row r="292" spans="1:25" x14ac:dyDescent="0.25">
      <c r="A292" s="1" t="s">
        <v>84</v>
      </c>
      <c r="B292" s="1" t="s">
        <v>59</v>
      </c>
      <c r="C292" s="1" t="s">
        <v>26</v>
      </c>
      <c r="D292" s="1">
        <v>6000000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3000000</v>
      </c>
      <c r="N292" s="1">
        <v>3000000</v>
      </c>
      <c r="O292" s="1">
        <v>3000000</v>
      </c>
      <c r="P292" s="1">
        <v>3000000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4">
        <f t="shared" si="10"/>
        <v>6000000</v>
      </c>
      <c r="X292" s="4">
        <f t="shared" si="10"/>
        <v>6000000</v>
      </c>
      <c r="Y292" s="5">
        <f t="shared" si="9"/>
        <v>1</v>
      </c>
    </row>
    <row r="293" spans="1:25" x14ac:dyDescent="0.25">
      <c r="A293" s="1" t="s">
        <v>84</v>
      </c>
      <c r="B293" s="1" t="s">
        <v>33</v>
      </c>
      <c r="C293" s="1" t="s">
        <v>34</v>
      </c>
      <c r="D293" s="1">
        <v>12000000</v>
      </c>
      <c r="E293" s="1">
        <v>0</v>
      </c>
      <c r="F293" s="1">
        <v>0</v>
      </c>
      <c r="G293" s="1">
        <v>2400000</v>
      </c>
      <c r="H293" s="1">
        <v>2400000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3600000</v>
      </c>
      <c r="P293" s="1">
        <v>3600000</v>
      </c>
      <c r="Q293" s="1">
        <v>0</v>
      </c>
      <c r="R293" s="1">
        <v>0</v>
      </c>
      <c r="S293" s="1">
        <v>3600000</v>
      </c>
      <c r="T293" s="1">
        <v>3600000</v>
      </c>
      <c r="U293" s="1">
        <v>2400000</v>
      </c>
      <c r="V293" s="1">
        <v>2400000</v>
      </c>
      <c r="W293" s="4">
        <f t="shared" si="10"/>
        <v>12000000</v>
      </c>
      <c r="X293" s="4">
        <f t="shared" si="10"/>
        <v>12000000</v>
      </c>
      <c r="Y293" s="5">
        <f t="shared" si="9"/>
        <v>1</v>
      </c>
    </row>
    <row r="294" spans="1:25" x14ac:dyDescent="0.25">
      <c r="A294" s="1" t="s">
        <v>84</v>
      </c>
      <c r="B294" s="1" t="s">
        <v>35</v>
      </c>
      <c r="C294" s="1" t="s">
        <v>34</v>
      </c>
      <c r="D294" s="1">
        <v>30000000</v>
      </c>
      <c r="E294" s="1">
        <v>0</v>
      </c>
      <c r="F294" s="1">
        <v>0</v>
      </c>
      <c r="G294" s="1">
        <v>8250000</v>
      </c>
      <c r="H294" s="1">
        <v>8250000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7250000</v>
      </c>
      <c r="P294" s="1">
        <v>7250000</v>
      </c>
      <c r="Q294" s="1">
        <v>0</v>
      </c>
      <c r="R294" s="1">
        <v>0</v>
      </c>
      <c r="S294" s="1">
        <v>7250000</v>
      </c>
      <c r="T294" s="1">
        <v>7250000</v>
      </c>
      <c r="U294" s="1">
        <v>7250000</v>
      </c>
      <c r="V294" s="1">
        <v>7250000</v>
      </c>
      <c r="W294" s="4">
        <f t="shared" si="10"/>
        <v>30000000</v>
      </c>
      <c r="X294" s="4">
        <f t="shared" si="10"/>
        <v>30000000</v>
      </c>
      <c r="Y294" s="5">
        <f t="shared" si="9"/>
        <v>1</v>
      </c>
    </row>
    <row r="295" spans="1:25" x14ac:dyDescent="0.25">
      <c r="A295" s="1" t="s">
        <v>84</v>
      </c>
      <c r="B295" s="1" t="s">
        <v>38</v>
      </c>
      <c r="C295" s="1" t="s">
        <v>39</v>
      </c>
      <c r="D295" s="1">
        <v>3880477.8495881674</v>
      </c>
      <c r="E295" s="1">
        <v>256111.53807281909</v>
      </c>
      <c r="F295" s="1">
        <v>256111.53807281909</v>
      </c>
      <c r="G295" s="1">
        <v>320139.42259102385</v>
      </c>
      <c r="H295" s="1">
        <v>320139.42259102385</v>
      </c>
      <c r="I295" s="1">
        <v>320139.42259102385</v>
      </c>
      <c r="J295" s="1">
        <v>320139.42259102385</v>
      </c>
      <c r="K295" s="1">
        <v>320139.42259102385</v>
      </c>
      <c r="L295" s="1">
        <v>320139.42259102385</v>
      </c>
      <c r="M295" s="1">
        <v>194994.01194180537</v>
      </c>
      <c r="N295" s="1">
        <v>194994.01194180537</v>
      </c>
      <c r="O295" s="1">
        <v>162495.00995150447</v>
      </c>
      <c r="P295" s="1">
        <v>162495.00995150447</v>
      </c>
      <c r="Q295" s="1">
        <v>227493.01393210626</v>
      </c>
      <c r="R295" s="1">
        <v>227493.01393210626</v>
      </c>
      <c r="S295" s="1">
        <v>227493.01393210626</v>
      </c>
      <c r="T295" s="1">
        <v>227493.01393210626</v>
      </c>
      <c r="U295" s="1">
        <v>227493.01393210626</v>
      </c>
      <c r="V295" s="1">
        <v>227493.01393210626</v>
      </c>
      <c r="W295" s="4">
        <f t="shared" si="10"/>
        <v>2256497.8695355188</v>
      </c>
      <c r="X295" s="4">
        <f t="shared" si="10"/>
        <v>2256497.8695355188</v>
      </c>
      <c r="Y295" s="5">
        <f t="shared" si="9"/>
        <v>0.58149999999999991</v>
      </c>
    </row>
    <row r="296" spans="1:25" x14ac:dyDescent="0.25">
      <c r="A296" s="1" t="s">
        <v>84</v>
      </c>
      <c r="B296" s="1" t="s">
        <v>61</v>
      </c>
      <c r="C296" s="1" t="s">
        <v>34</v>
      </c>
      <c r="D296" s="1">
        <v>42566725</v>
      </c>
      <c r="E296" s="1">
        <v>0</v>
      </c>
      <c r="F296" s="1">
        <v>0</v>
      </c>
      <c r="G296" s="1">
        <v>3405337.9996121251</v>
      </c>
      <c r="H296" s="1">
        <v>3405337.9996121251</v>
      </c>
      <c r="I296" s="1">
        <v>0</v>
      </c>
      <c r="J296" s="1">
        <v>0</v>
      </c>
      <c r="K296" s="1">
        <v>0</v>
      </c>
      <c r="L296" s="1">
        <v>0</v>
      </c>
      <c r="M296" s="1">
        <v>9790346.7500969693</v>
      </c>
      <c r="N296" s="1">
        <v>9790346.7500969693</v>
      </c>
      <c r="O296" s="1">
        <v>0</v>
      </c>
      <c r="P296" s="1">
        <v>0</v>
      </c>
      <c r="Q296" s="1">
        <v>0</v>
      </c>
      <c r="R296" s="1">
        <v>0</v>
      </c>
      <c r="S296" s="1">
        <v>14685520.125145454</v>
      </c>
      <c r="T296" s="1">
        <v>14685520.125145454</v>
      </c>
      <c r="U296" s="1">
        <v>0</v>
      </c>
      <c r="V296" s="1">
        <v>0</v>
      </c>
      <c r="W296" s="4">
        <f t="shared" si="10"/>
        <v>27881204.87485455</v>
      </c>
      <c r="X296" s="4">
        <f t="shared" si="10"/>
        <v>27881204.87485455</v>
      </c>
      <c r="Y296" s="5">
        <f t="shared" si="9"/>
        <v>0.65499999999658298</v>
      </c>
    </row>
    <row r="297" spans="1:25" x14ac:dyDescent="0.25">
      <c r="A297" s="1" t="s">
        <v>84</v>
      </c>
      <c r="B297" s="1" t="s">
        <v>62</v>
      </c>
      <c r="C297" s="1" t="s">
        <v>63</v>
      </c>
      <c r="D297" s="1">
        <v>16642857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1248214.2857142857</v>
      </c>
      <c r="N297" s="1">
        <v>1248214.2857142857</v>
      </c>
      <c r="O297" s="1">
        <v>1040178.5714285714</v>
      </c>
      <c r="P297" s="1">
        <v>1040178.5714285714</v>
      </c>
      <c r="Q297" s="1">
        <v>1456249.9999999998</v>
      </c>
      <c r="R297" s="1">
        <v>1456249.9999999998</v>
      </c>
      <c r="S297" s="1">
        <v>1456249.9999999998</v>
      </c>
      <c r="T297" s="1">
        <v>1456249.9999999998</v>
      </c>
      <c r="U297" s="1">
        <v>1456249.9999999998</v>
      </c>
      <c r="V297" s="1">
        <v>1456249.9999999998</v>
      </c>
      <c r="W297" s="4">
        <f t="shared" si="10"/>
        <v>6657142.8571428563</v>
      </c>
      <c r="X297" s="4">
        <f t="shared" si="10"/>
        <v>6657142.8571428563</v>
      </c>
      <c r="Y297" s="5">
        <f t="shared" si="9"/>
        <v>0.40000000343347636</v>
      </c>
    </row>
    <row r="298" spans="1:25" x14ac:dyDescent="0.25">
      <c r="A298" s="1" t="s">
        <v>84</v>
      </c>
      <c r="B298" s="1" t="s">
        <v>40</v>
      </c>
      <c r="C298" s="1" t="s">
        <v>27</v>
      </c>
      <c r="D298" s="1">
        <v>16513150</v>
      </c>
      <c r="E298" s="1">
        <v>677173</v>
      </c>
      <c r="F298" s="1">
        <v>677173</v>
      </c>
      <c r="G298" s="1">
        <v>973241.4</v>
      </c>
      <c r="H298" s="1">
        <v>973241.4</v>
      </c>
      <c r="I298" s="1">
        <v>1488452.9</v>
      </c>
      <c r="J298" s="1">
        <v>1488452.9</v>
      </c>
      <c r="K298" s="1">
        <v>643518</v>
      </c>
      <c r="L298" s="1">
        <v>643518</v>
      </c>
      <c r="M298" s="1">
        <v>0</v>
      </c>
      <c r="N298" s="1">
        <v>0</v>
      </c>
      <c r="O298" s="1">
        <v>3533801.9</v>
      </c>
      <c r="P298" s="1">
        <v>3533801.9</v>
      </c>
      <c r="Q298" s="1">
        <v>2944310</v>
      </c>
      <c r="R298" s="1">
        <v>2944310</v>
      </c>
      <c r="S298" s="1">
        <v>1517320</v>
      </c>
      <c r="T298" s="1">
        <v>1517320</v>
      </c>
      <c r="U298" s="1">
        <v>1402618</v>
      </c>
      <c r="V298" s="1">
        <v>1402618</v>
      </c>
      <c r="W298" s="4">
        <f t="shared" si="10"/>
        <v>13180435.200000001</v>
      </c>
      <c r="X298" s="4">
        <f t="shared" si="10"/>
        <v>13180435.200000001</v>
      </c>
      <c r="Y298" s="5">
        <f t="shared" si="9"/>
        <v>0.79817813076245303</v>
      </c>
    </row>
    <row r="299" spans="1:25" x14ac:dyDescent="0.25">
      <c r="A299" s="1" t="s">
        <v>84</v>
      </c>
      <c r="B299" s="1" t="s">
        <v>40</v>
      </c>
      <c r="C299" s="1" t="s">
        <v>27</v>
      </c>
      <c r="D299" s="1">
        <v>9998608</v>
      </c>
      <c r="E299" s="1">
        <v>1183712.9222734105</v>
      </c>
      <c r="F299" s="1">
        <v>1183712.9222734105</v>
      </c>
      <c r="G299" s="1">
        <v>1159804</v>
      </c>
      <c r="H299" s="1">
        <v>1159804</v>
      </c>
      <c r="I299" s="1">
        <v>530000</v>
      </c>
      <c r="J299" s="1">
        <v>530000</v>
      </c>
      <c r="K299" s="1">
        <v>1309500</v>
      </c>
      <c r="L299" s="1">
        <v>1309500</v>
      </c>
      <c r="M299" s="1">
        <v>1491034.1541474711</v>
      </c>
      <c r="N299" s="1">
        <v>1491034.1541474711</v>
      </c>
      <c r="O299" s="1">
        <v>2303522.7694316474</v>
      </c>
      <c r="P299" s="1">
        <v>2303522.7694316474</v>
      </c>
      <c r="Q299" s="1">
        <v>1491034.1541474711</v>
      </c>
      <c r="R299" s="1">
        <v>1491034.1541474711</v>
      </c>
      <c r="S299" s="1">
        <v>0</v>
      </c>
      <c r="T299" s="1">
        <v>0</v>
      </c>
      <c r="U299" s="1">
        <v>0</v>
      </c>
      <c r="V299" s="1">
        <v>0</v>
      </c>
      <c r="W299" s="4">
        <f t="shared" si="10"/>
        <v>9468608</v>
      </c>
      <c r="X299" s="4">
        <f t="shared" si="10"/>
        <v>9468608</v>
      </c>
      <c r="Y299" s="5">
        <f t="shared" si="9"/>
        <v>0.94699262137289508</v>
      </c>
    </row>
    <row r="300" spans="1:25" x14ac:dyDescent="0.25">
      <c r="A300" s="1" t="s">
        <v>84</v>
      </c>
      <c r="B300" s="1" t="s">
        <v>40</v>
      </c>
      <c r="C300" s="1" t="s">
        <v>27</v>
      </c>
      <c r="D300" s="1">
        <v>1169370</v>
      </c>
      <c r="E300" s="1">
        <v>584685</v>
      </c>
      <c r="F300" s="1">
        <v>584685</v>
      </c>
      <c r="G300" s="1">
        <v>584685</v>
      </c>
      <c r="H300" s="1">
        <v>584685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4">
        <f t="shared" si="10"/>
        <v>1169370</v>
      </c>
      <c r="X300" s="4">
        <f t="shared" si="10"/>
        <v>1169370</v>
      </c>
      <c r="Y300" s="5">
        <f t="shared" si="9"/>
        <v>1</v>
      </c>
    </row>
    <row r="301" spans="1:25" x14ac:dyDescent="0.25">
      <c r="A301" s="1" t="s">
        <v>84</v>
      </c>
      <c r="B301" s="1" t="s">
        <v>43</v>
      </c>
      <c r="C301" s="1" t="s">
        <v>31</v>
      </c>
      <c r="D301" s="1">
        <v>1883966</v>
      </c>
      <c r="E301" s="1">
        <v>109436.55489692146</v>
      </c>
      <c r="F301" s="1">
        <v>109436.55489692146</v>
      </c>
      <c r="G301" s="1">
        <v>136795.69362115182</v>
      </c>
      <c r="H301" s="1">
        <v>136795.69362115182</v>
      </c>
      <c r="I301" s="1">
        <v>136795.69362115182</v>
      </c>
      <c r="J301" s="1">
        <v>136795.69362115182</v>
      </c>
      <c r="K301" s="1">
        <v>136795.69362115182</v>
      </c>
      <c r="L301" s="1">
        <v>136795.69362115182</v>
      </c>
      <c r="M301" s="1">
        <v>101717.7996292224</v>
      </c>
      <c r="N301" s="1">
        <v>101717.7996292224</v>
      </c>
      <c r="O301" s="1">
        <v>84764.833024352003</v>
      </c>
      <c r="P301" s="1">
        <v>84764.833024352003</v>
      </c>
      <c r="Q301" s="1">
        <v>105052.89422212519</v>
      </c>
      <c r="R301" s="1">
        <v>105052.89422212519</v>
      </c>
      <c r="S301" s="1">
        <v>118670.76623409279</v>
      </c>
      <c r="T301" s="1">
        <v>118670.76623409279</v>
      </c>
      <c r="U301" s="1">
        <v>118670.76623409279</v>
      </c>
      <c r="V301" s="1">
        <v>118670.76623409279</v>
      </c>
      <c r="W301" s="4">
        <f t="shared" si="10"/>
        <v>1048700.6951042621</v>
      </c>
      <c r="X301" s="4">
        <f t="shared" si="10"/>
        <v>1048700.6951042621</v>
      </c>
      <c r="Y301" s="5">
        <f t="shared" si="9"/>
        <v>0.5566452340988437</v>
      </c>
    </row>
    <row r="302" spans="1:25" x14ac:dyDescent="0.25">
      <c r="A302" s="1" t="s">
        <v>84</v>
      </c>
      <c r="B302" s="1" t="s">
        <v>64</v>
      </c>
      <c r="C302" s="1" t="s">
        <v>23</v>
      </c>
      <c r="D302" s="1">
        <v>3597243.0868885512</v>
      </c>
      <c r="E302" s="1">
        <v>237418.04373464442</v>
      </c>
      <c r="F302" s="1">
        <v>237418.04373464442</v>
      </c>
      <c r="G302" s="1">
        <v>296772.5546683055</v>
      </c>
      <c r="H302" s="1">
        <v>296772.5546683055</v>
      </c>
      <c r="I302" s="1">
        <v>296772.5546683055</v>
      </c>
      <c r="J302" s="1">
        <v>296772.5546683055</v>
      </c>
      <c r="K302" s="1">
        <v>296772.5546683055</v>
      </c>
      <c r="L302" s="1">
        <v>296772.5546683055</v>
      </c>
      <c r="M302" s="1">
        <v>180761.46511614966</v>
      </c>
      <c r="N302" s="1">
        <v>180761.46511614966</v>
      </c>
      <c r="O302" s="1">
        <v>150634.55426345806</v>
      </c>
      <c r="P302" s="1">
        <v>150634.55426345806</v>
      </c>
      <c r="Q302" s="1">
        <v>210888.37596884128</v>
      </c>
      <c r="R302" s="1">
        <v>210888.37596884128</v>
      </c>
      <c r="S302" s="1">
        <v>210888.37596884128</v>
      </c>
      <c r="T302" s="1">
        <v>210888.37596884128</v>
      </c>
      <c r="U302" s="1">
        <v>210888.37596884128</v>
      </c>
      <c r="V302" s="1">
        <v>210888.37596884128</v>
      </c>
      <c r="W302" s="4">
        <f t="shared" si="10"/>
        <v>2091796.8550256924</v>
      </c>
      <c r="X302" s="4">
        <f t="shared" si="10"/>
        <v>2091796.8550256924</v>
      </c>
      <c r="Y302" s="5">
        <f t="shared" si="9"/>
        <v>0.58149999999999991</v>
      </c>
    </row>
    <row r="303" spans="1:25" x14ac:dyDescent="0.25">
      <c r="A303" s="1" t="s">
        <v>84</v>
      </c>
      <c r="B303" s="1" t="s">
        <v>65</v>
      </c>
      <c r="C303" s="1" t="s">
        <v>31</v>
      </c>
      <c r="D303" s="1">
        <v>1657999.9841015225</v>
      </c>
      <c r="E303" s="1">
        <v>109427.99895070049</v>
      </c>
      <c r="F303" s="1">
        <v>109427.99895070049</v>
      </c>
      <c r="G303" s="1">
        <v>136784.99868837561</v>
      </c>
      <c r="H303" s="1">
        <v>136784.99868837561</v>
      </c>
      <c r="I303" s="1">
        <v>136784.99868837561</v>
      </c>
      <c r="J303" s="1">
        <v>136784.99868837561</v>
      </c>
      <c r="K303" s="1">
        <v>136784.99868837561</v>
      </c>
      <c r="L303" s="1">
        <v>136784.99868837561</v>
      </c>
      <c r="M303" s="1">
        <v>83314.499201101498</v>
      </c>
      <c r="N303" s="1">
        <v>83314.499201101498</v>
      </c>
      <c r="O303" s="1">
        <v>69428.749334251246</v>
      </c>
      <c r="P303" s="1">
        <v>69428.749334251246</v>
      </c>
      <c r="Q303" s="1">
        <v>97200.249067951736</v>
      </c>
      <c r="R303" s="1">
        <v>97200.249067951736</v>
      </c>
      <c r="S303" s="1">
        <v>97200.249067951736</v>
      </c>
      <c r="T303" s="1">
        <v>97200.249067951736</v>
      </c>
      <c r="U303" s="1">
        <v>97200.249067951736</v>
      </c>
      <c r="V303" s="1">
        <v>97200.249067951736</v>
      </c>
      <c r="W303" s="4">
        <f t="shared" si="10"/>
        <v>964126.99075503519</v>
      </c>
      <c r="X303" s="4">
        <f t="shared" si="10"/>
        <v>964126.99075503519</v>
      </c>
      <c r="Y303" s="5">
        <f t="shared" si="9"/>
        <v>0.58149999999999991</v>
      </c>
    </row>
    <row r="304" spans="1:25" x14ac:dyDescent="0.25">
      <c r="A304" s="1" t="s">
        <v>84</v>
      </c>
      <c r="B304" s="1" t="s">
        <v>44</v>
      </c>
      <c r="C304" s="1" t="s">
        <v>45</v>
      </c>
      <c r="D304" s="1">
        <v>3880477.8495881674</v>
      </c>
      <c r="E304" s="1">
        <v>256111.53807281909</v>
      </c>
      <c r="F304" s="1">
        <v>256111.53807281909</v>
      </c>
      <c r="G304" s="1">
        <v>320139.42259102385</v>
      </c>
      <c r="H304" s="1">
        <v>320139.42259102385</v>
      </c>
      <c r="I304" s="1">
        <v>320139.42259102385</v>
      </c>
      <c r="J304" s="1">
        <v>320139.42259102385</v>
      </c>
      <c r="K304" s="1">
        <v>320139.42259102385</v>
      </c>
      <c r="L304" s="1">
        <v>320139.42259102385</v>
      </c>
      <c r="M304" s="1">
        <v>194994.01194180537</v>
      </c>
      <c r="N304" s="1">
        <v>194994.01194180537</v>
      </c>
      <c r="O304" s="1">
        <v>162495.00995150447</v>
      </c>
      <c r="P304" s="1">
        <v>162495.00995150447</v>
      </c>
      <c r="Q304" s="1">
        <v>227493.01393210626</v>
      </c>
      <c r="R304" s="1">
        <v>227493.01393210626</v>
      </c>
      <c r="S304" s="1">
        <v>227493.01393210626</v>
      </c>
      <c r="T304" s="1">
        <v>227493.01393210626</v>
      </c>
      <c r="U304" s="1">
        <v>227493.01393210626</v>
      </c>
      <c r="V304" s="1">
        <v>227493.01393210626</v>
      </c>
      <c r="W304" s="4">
        <f t="shared" si="10"/>
        <v>2256497.8695355188</v>
      </c>
      <c r="X304" s="4">
        <f t="shared" si="10"/>
        <v>2256497.8695355188</v>
      </c>
      <c r="Y304" s="5">
        <f t="shared" si="9"/>
        <v>0.58149999999999991</v>
      </c>
    </row>
    <row r="305" spans="1:25" x14ac:dyDescent="0.25">
      <c r="A305" s="1" t="s">
        <v>84</v>
      </c>
      <c r="B305" s="1" t="s">
        <v>46</v>
      </c>
      <c r="C305" s="1" t="s">
        <v>22</v>
      </c>
      <c r="D305" s="1">
        <v>20166079.030108806</v>
      </c>
      <c r="E305" s="1">
        <v>1332207.9638067822</v>
      </c>
      <c r="F305" s="1">
        <v>1332207.9638067822</v>
      </c>
      <c r="G305" s="1">
        <v>1665259.9547584776</v>
      </c>
      <c r="H305" s="1">
        <v>1665259.9547584776</v>
      </c>
      <c r="I305" s="1">
        <v>1665259.9547584776</v>
      </c>
      <c r="J305" s="1">
        <v>1665259.9547584776</v>
      </c>
      <c r="K305" s="1">
        <v>1665259.9547584776</v>
      </c>
      <c r="L305" s="1">
        <v>1665259.9547584776</v>
      </c>
      <c r="M305" s="1">
        <v>1044895.8704417417</v>
      </c>
      <c r="N305" s="1">
        <v>1044895.8704417417</v>
      </c>
      <c r="O305" s="1">
        <v>849698.34495937079</v>
      </c>
      <c r="P305" s="1">
        <v>849698.34495937079</v>
      </c>
      <c r="Q305" s="1">
        <v>1176354.6111011538</v>
      </c>
      <c r="R305" s="1">
        <v>1176354.6111011538</v>
      </c>
      <c r="S305" s="1">
        <v>1176354.6111011538</v>
      </c>
      <c r="T305" s="1">
        <v>1176354.6111011538</v>
      </c>
      <c r="U305" s="1">
        <v>1176354.6111011538</v>
      </c>
      <c r="V305" s="1">
        <v>1176354.6111011538</v>
      </c>
      <c r="W305" s="4">
        <f t="shared" si="10"/>
        <v>11751645.876786789</v>
      </c>
      <c r="X305" s="4">
        <f t="shared" si="10"/>
        <v>11751645.876786789</v>
      </c>
      <c r="Y305" s="5">
        <f t="shared" si="9"/>
        <v>0.58274322238056719</v>
      </c>
    </row>
    <row r="306" spans="1:25" x14ac:dyDescent="0.25">
      <c r="A306" s="1" t="s">
        <v>84</v>
      </c>
      <c r="B306" s="1" t="s">
        <v>66</v>
      </c>
      <c r="C306" s="1" t="s">
        <v>24</v>
      </c>
      <c r="D306" s="1">
        <v>53122684.290466115</v>
      </c>
      <c r="E306" s="1">
        <v>4382621.4539634548</v>
      </c>
      <c r="F306" s="1">
        <v>4382621.4539634548</v>
      </c>
      <c r="G306" s="1">
        <v>4382621.4539634548</v>
      </c>
      <c r="H306" s="1">
        <v>4382621.4539634548</v>
      </c>
      <c r="I306" s="1">
        <v>4382621.4539634548</v>
      </c>
      <c r="J306" s="1">
        <v>4382621.4539634548</v>
      </c>
      <c r="K306" s="1">
        <v>4382621.4539634548</v>
      </c>
      <c r="L306" s="1">
        <v>4382621.4539634548</v>
      </c>
      <c r="M306" s="1">
        <v>4603965.8508128459</v>
      </c>
      <c r="N306" s="1">
        <v>4603965.8508128459</v>
      </c>
      <c r="O306" s="1">
        <v>4426890.333333333</v>
      </c>
      <c r="P306" s="1">
        <v>4426890.333333333</v>
      </c>
      <c r="Q306" s="1">
        <v>4426890.333333333</v>
      </c>
      <c r="R306" s="1">
        <v>4426890.333333333</v>
      </c>
      <c r="S306" s="1">
        <v>4426890.333333333</v>
      </c>
      <c r="T306" s="1">
        <v>4426890.333333333</v>
      </c>
      <c r="U306" s="1">
        <v>4426890.333333333</v>
      </c>
      <c r="V306" s="1">
        <v>4426890.333333333</v>
      </c>
      <c r="W306" s="4">
        <f t="shared" si="10"/>
        <v>39842013</v>
      </c>
      <c r="X306" s="4">
        <f t="shared" si="10"/>
        <v>39842013</v>
      </c>
      <c r="Y306" s="5">
        <f t="shared" si="9"/>
        <v>0.74999999589912314</v>
      </c>
    </row>
    <row r="307" spans="1:25" x14ac:dyDescent="0.25">
      <c r="A307" s="1" t="s">
        <v>84</v>
      </c>
      <c r="B307" s="1" t="s">
        <v>67</v>
      </c>
      <c r="C307" s="1" t="s">
        <v>68</v>
      </c>
      <c r="D307" s="1">
        <v>5916750.6585043678</v>
      </c>
      <c r="E307" s="1">
        <v>390505.54346128833</v>
      </c>
      <c r="F307" s="1">
        <v>390505.54346128833</v>
      </c>
      <c r="G307" s="1">
        <v>488131.92932661035</v>
      </c>
      <c r="H307" s="1">
        <v>488131.92932661035</v>
      </c>
      <c r="I307" s="1">
        <v>488131.92932661035</v>
      </c>
      <c r="J307" s="1">
        <v>488131.92932661035</v>
      </c>
      <c r="K307" s="1">
        <v>488131.92932661035</v>
      </c>
      <c r="L307" s="1">
        <v>488131.92932661035</v>
      </c>
      <c r="M307" s="1">
        <v>307671.03424222715</v>
      </c>
      <c r="N307" s="1">
        <v>307671.03424222715</v>
      </c>
      <c r="O307" s="1">
        <v>246531.277437682</v>
      </c>
      <c r="P307" s="1">
        <v>246531.277437682</v>
      </c>
      <c r="Q307" s="1">
        <v>345143.78841275477</v>
      </c>
      <c r="R307" s="1">
        <v>345143.78841275477</v>
      </c>
      <c r="S307" s="1">
        <v>345143.78841275477</v>
      </c>
      <c r="T307" s="1">
        <v>345143.78841275477</v>
      </c>
      <c r="U307" s="1">
        <v>345143.78841275477</v>
      </c>
      <c r="V307" s="1">
        <v>345143.78841275477</v>
      </c>
      <c r="W307" s="4">
        <f t="shared" si="10"/>
        <v>3444535.0083592925</v>
      </c>
      <c r="X307" s="4">
        <f t="shared" si="10"/>
        <v>3444535.0083592925</v>
      </c>
      <c r="Y307" s="5">
        <f t="shared" si="9"/>
        <v>0.58216666666666661</v>
      </c>
    </row>
    <row r="308" spans="1:25" x14ac:dyDescent="0.25">
      <c r="A308" s="1" t="s">
        <v>84</v>
      </c>
      <c r="B308" s="1" t="s">
        <v>69</v>
      </c>
      <c r="C308" s="1" t="s">
        <v>28</v>
      </c>
      <c r="D308" s="1">
        <v>1745636.2426669535</v>
      </c>
      <c r="E308" s="1">
        <v>115211.99201601894</v>
      </c>
      <c r="F308" s="1">
        <v>115211.99201601894</v>
      </c>
      <c r="G308" s="1">
        <v>144014.99002002366</v>
      </c>
      <c r="H308" s="1">
        <v>144014.99002002366</v>
      </c>
      <c r="I308" s="1">
        <v>144014.99002002366</v>
      </c>
      <c r="J308" s="1">
        <v>144014.99002002366</v>
      </c>
      <c r="K308" s="1">
        <v>144014.99002002366</v>
      </c>
      <c r="L308" s="1">
        <v>144014.99002002366</v>
      </c>
      <c r="M308" s="1">
        <v>87718.221194014404</v>
      </c>
      <c r="N308" s="1">
        <v>87718.221194014404</v>
      </c>
      <c r="O308" s="1">
        <v>73098.517661678678</v>
      </c>
      <c r="P308" s="1">
        <v>73098.517661678678</v>
      </c>
      <c r="Q308" s="1">
        <v>102337.92472635015</v>
      </c>
      <c r="R308" s="1">
        <v>102337.92472635015</v>
      </c>
      <c r="S308" s="1">
        <v>102337.92472635015</v>
      </c>
      <c r="T308" s="1">
        <v>102337.92472635015</v>
      </c>
      <c r="U308" s="1">
        <v>102337.92472635015</v>
      </c>
      <c r="V308" s="1">
        <v>102337.92472635015</v>
      </c>
      <c r="W308" s="4">
        <f t="shared" si="10"/>
        <v>1015087.4751108334</v>
      </c>
      <c r="X308" s="4">
        <f t="shared" si="10"/>
        <v>1015087.4751108334</v>
      </c>
      <c r="Y308" s="5">
        <f t="shared" si="9"/>
        <v>0.58150000000000002</v>
      </c>
    </row>
    <row r="309" spans="1:25" x14ac:dyDescent="0.25">
      <c r="A309" s="1" t="s">
        <v>84</v>
      </c>
      <c r="B309" s="1" t="s">
        <v>70</v>
      </c>
      <c r="C309" s="1" t="s">
        <v>23</v>
      </c>
      <c r="D309" s="1">
        <v>5512499.9465624997</v>
      </c>
      <c r="E309" s="1">
        <v>363824.99647312501</v>
      </c>
      <c r="F309" s="1">
        <v>363824.99647312501</v>
      </c>
      <c r="G309" s="1">
        <v>454781.24559140624</v>
      </c>
      <c r="H309" s="1">
        <v>454781.24559140624</v>
      </c>
      <c r="I309" s="1">
        <v>454781.24559140624</v>
      </c>
      <c r="J309" s="1">
        <v>454781.24559140624</v>
      </c>
      <c r="K309" s="1">
        <v>454781.24559140624</v>
      </c>
      <c r="L309" s="1">
        <v>454781.24559140624</v>
      </c>
      <c r="M309" s="1">
        <v>277003.12231476558</v>
      </c>
      <c r="N309" s="1">
        <v>277003.12231476558</v>
      </c>
      <c r="O309" s="1">
        <v>230835.93526230467</v>
      </c>
      <c r="P309" s="1">
        <v>230835.93526230467</v>
      </c>
      <c r="Q309" s="1">
        <v>323170.30936722649</v>
      </c>
      <c r="R309" s="1">
        <v>323170.30936722649</v>
      </c>
      <c r="S309" s="1">
        <v>323170.30936722649</v>
      </c>
      <c r="T309" s="1">
        <v>323170.30936722649</v>
      </c>
      <c r="U309" s="1">
        <v>323170.30936722649</v>
      </c>
      <c r="V309" s="1">
        <v>323170.30936722649</v>
      </c>
      <c r="W309" s="4">
        <f t="shared" si="10"/>
        <v>3205518.718926094</v>
      </c>
      <c r="X309" s="4">
        <f t="shared" si="10"/>
        <v>3205518.718926094</v>
      </c>
      <c r="Y309" s="5">
        <f t="shared" si="9"/>
        <v>0.58150000000000013</v>
      </c>
    </row>
    <row r="310" spans="1:25" x14ac:dyDescent="0.25">
      <c r="A310" s="1" t="s">
        <v>84</v>
      </c>
      <c r="B310" s="1" t="s">
        <v>71</v>
      </c>
      <c r="C310" s="1" t="s">
        <v>29</v>
      </c>
      <c r="D310" s="1">
        <v>3594573.271153844</v>
      </c>
      <c r="E310" s="1">
        <v>237241.8358961537</v>
      </c>
      <c r="F310" s="1">
        <v>237241.8358961537</v>
      </c>
      <c r="G310" s="1">
        <v>296552.29487019213</v>
      </c>
      <c r="H310" s="1">
        <v>296552.29487019213</v>
      </c>
      <c r="I310" s="1">
        <v>296552.29487019213</v>
      </c>
      <c r="J310" s="1">
        <v>296552.29487019213</v>
      </c>
      <c r="K310" s="1">
        <v>296552.29487019213</v>
      </c>
      <c r="L310" s="1">
        <v>296552.29487019213</v>
      </c>
      <c r="M310" s="1">
        <v>180627.30687548063</v>
      </c>
      <c r="N310" s="1">
        <v>180627.30687548063</v>
      </c>
      <c r="O310" s="1">
        <v>150522.7557295672</v>
      </c>
      <c r="P310" s="1">
        <v>150522.7557295672</v>
      </c>
      <c r="Q310" s="1">
        <v>210731.85802139406</v>
      </c>
      <c r="R310" s="1">
        <v>210731.85802139406</v>
      </c>
      <c r="S310" s="1">
        <v>210731.85802139406</v>
      </c>
      <c r="T310" s="1">
        <v>210731.85802139406</v>
      </c>
      <c r="U310" s="1">
        <v>210731.85802139406</v>
      </c>
      <c r="V310" s="1">
        <v>210731.85802139406</v>
      </c>
      <c r="W310" s="4">
        <f t="shared" si="10"/>
        <v>2090244.3571759602</v>
      </c>
      <c r="X310" s="4">
        <f t="shared" si="10"/>
        <v>2090244.3571759602</v>
      </c>
      <c r="Y310" s="5">
        <f t="shared" si="9"/>
        <v>0.58150000000000002</v>
      </c>
    </row>
    <row r="311" spans="1:25" x14ac:dyDescent="0.25">
      <c r="A311" s="1" t="s">
        <v>84</v>
      </c>
      <c r="B311" s="1" t="s">
        <v>72</v>
      </c>
      <c r="C311" s="1" t="s">
        <v>73</v>
      </c>
      <c r="D311" s="1">
        <v>2799513.4713753439</v>
      </c>
      <c r="E311" s="1">
        <v>184767.88911077272</v>
      </c>
      <c r="F311" s="1">
        <v>184767.88911077272</v>
      </c>
      <c r="G311" s="1">
        <v>230959.86138846588</v>
      </c>
      <c r="H311" s="1">
        <v>230959.86138846588</v>
      </c>
      <c r="I311" s="1">
        <v>230959.86138846588</v>
      </c>
      <c r="J311" s="1">
        <v>230959.86138846588</v>
      </c>
      <c r="K311" s="1">
        <v>230959.86138846588</v>
      </c>
      <c r="L311" s="1">
        <v>230959.86138846588</v>
      </c>
      <c r="M311" s="1">
        <v>140675.55193661104</v>
      </c>
      <c r="N311" s="1">
        <v>140675.55193661104</v>
      </c>
      <c r="O311" s="1">
        <v>117229.62661384253</v>
      </c>
      <c r="P311" s="1">
        <v>117229.62661384253</v>
      </c>
      <c r="Q311" s="1">
        <v>164121.47725937952</v>
      </c>
      <c r="R311" s="1">
        <v>164121.47725937952</v>
      </c>
      <c r="S311" s="1">
        <v>164121.47725937952</v>
      </c>
      <c r="T311" s="1">
        <v>164121.47725937952</v>
      </c>
      <c r="U311" s="1">
        <v>164121.47725937952</v>
      </c>
      <c r="V311" s="1">
        <v>164121.47725937952</v>
      </c>
      <c r="W311" s="4">
        <f t="shared" si="10"/>
        <v>1627917.0836047623</v>
      </c>
      <c r="X311" s="4">
        <f t="shared" si="10"/>
        <v>1627917.0836047623</v>
      </c>
      <c r="Y311" s="5">
        <f t="shared" si="9"/>
        <v>0.58149999999999991</v>
      </c>
    </row>
    <row r="312" spans="1:25" x14ac:dyDescent="0.25">
      <c r="A312" s="1" t="s">
        <v>84</v>
      </c>
      <c r="B312" s="1" t="s">
        <v>48</v>
      </c>
      <c r="C312" s="1" t="s">
        <v>49</v>
      </c>
      <c r="D312" s="1">
        <v>2639373.6392840343</v>
      </c>
      <c r="E312" s="1">
        <v>174198.66019274629</v>
      </c>
      <c r="F312" s="1">
        <v>174198.66019274629</v>
      </c>
      <c r="G312" s="1">
        <v>217748.32524093284</v>
      </c>
      <c r="H312" s="1">
        <v>217748.32524093284</v>
      </c>
      <c r="I312" s="1">
        <v>217748.32524093284</v>
      </c>
      <c r="J312" s="1">
        <v>217748.32524093284</v>
      </c>
      <c r="K312" s="1">
        <v>217748.32524093284</v>
      </c>
      <c r="L312" s="1">
        <v>217748.32524093284</v>
      </c>
      <c r="M312" s="1">
        <v>132628.52537402269</v>
      </c>
      <c r="N312" s="1">
        <v>132628.52537402269</v>
      </c>
      <c r="O312" s="1">
        <v>110523.77114501892</v>
      </c>
      <c r="P312" s="1">
        <v>110523.77114501892</v>
      </c>
      <c r="Q312" s="1">
        <v>154733.27960302649</v>
      </c>
      <c r="R312" s="1">
        <v>154733.27960302649</v>
      </c>
      <c r="S312" s="1">
        <v>154733.27960302649</v>
      </c>
      <c r="T312" s="1">
        <v>154733.27960302649</v>
      </c>
      <c r="U312" s="1">
        <v>154733.27960302649</v>
      </c>
      <c r="V312" s="1">
        <v>154733.27960302649</v>
      </c>
      <c r="W312" s="4">
        <f t="shared" si="10"/>
        <v>1534795.7712436658</v>
      </c>
      <c r="X312" s="4">
        <f t="shared" si="10"/>
        <v>1534795.7712436658</v>
      </c>
      <c r="Y312" s="5">
        <f t="shared" si="9"/>
        <v>0.58150000000000002</v>
      </c>
    </row>
    <row r="313" spans="1:25" x14ac:dyDescent="0.25">
      <c r="A313" s="1" t="s">
        <v>84</v>
      </c>
      <c r="B313" s="1" t="s">
        <v>53</v>
      </c>
      <c r="C313" s="1" t="s">
        <v>30</v>
      </c>
      <c r="D313" s="1">
        <v>3286014.9262045384</v>
      </c>
      <c r="E313" s="1">
        <v>216876.98512949955</v>
      </c>
      <c r="F313" s="1">
        <v>216876.98512949955</v>
      </c>
      <c r="G313" s="1">
        <v>271096.23141187441</v>
      </c>
      <c r="H313" s="1">
        <v>271096.23141187441</v>
      </c>
      <c r="I313" s="1">
        <v>271096.23141187441</v>
      </c>
      <c r="J313" s="1">
        <v>271096.23141187441</v>
      </c>
      <c r="K313" s="1">
        <v>271096.23141187441</v>
      </c>
      <c r="L313" s="1">
        <v>271096.23141187441</v>
      </c>
      <c r="M313" s="1">
        <v>165122.25004177805</v>
      </c>
      <c r="N313" s="1">
        <v>165122.25004177805</v>
      </c>
      <c r="O313" s="1">
        <v>137601.87503481505</v>
      </c>
      <c r="P313" s="1">
        <v>137601.87503481505</v>
      </c>
      <c r="Q313" s="1">
        <v>192642.62504874106</v>
      </c>
      <c r="R313" s="1">
        <v>192642.62504874106</v>
      </c>
      <c r="S313" s="1">
        <v>192642.62504874106</v>
      </c>
      <c r="T313" s="1">
        <v>192642.62504874106</v>
      </c>
      <c r="U313" s="1">
        <v>192642.62504874106</v>
      </c>
      <c r="V313" s="1">
        <v>192642.62504874106</v>
      </c>
      <c r="W313" s="4">
        <f t="shared" si="10"/>
        <v>1910817.6795879391</v>
      </c>
      <c r="X313" s="4">
        <f t="shared" si="10"/>
        <v>1910817.6795879391</v>
      </c>
      <c r="Y313" s="5">
        <f t="shared" si="9"/>
        <v>0.58150000000000002</v>
      </c>
    </row>
    <row r="314" spans="1:25" x14ac:dyDescent="0.25">
      <c r="A314" s="1" t="s">
        <v>84</v>
      </c>
      <c r="B314" s="1" t="s">
        <v>74</v>
      </c>
      <c r="C314" s="1" t="s">
        <v>75</v>
      </c>
      <c r="D314" s="1">
        <v>4158256.9477173518</v>
      </c>
      <c r="E314" s="1">
        <v>274444.95854934526</v>
      </c>
      <c r="F314" s="1">
        <v>274444.95854934526</v>
      </c>
      <c r="G314" s="1">
        <v>343056.19818668155</v>
      </c>
      <c r="H314" s="1">
        <v>343056.19818668155</v>
      </c>
      <c r="I314" s="1">
        <v>343056.19818668155</v>
      </c>
      <c r="J314" s="1">
        <v>343056.19818668155</v>
      </c>
      <c r="K314" s="1">
        <v>343056.19818668155</v>
      </c>
      <c r="L314" s="1">
        <v>343056.19818668155</v>
      </c>
      <c r="M314" s="1">
        <v>208952.41162279691</v>
      </c>
      <c r="N314" s="1">
        <v>208952.41162279691</v>
      </c>
      <c r="O314" s="1">
        <v>174127.00968566409</v>
      </c>
      <c r="P314" s="1">
        <v>174127.00968566409</v>
      </c>
      <c r="Q314" s="1">
        <v>243777.81355992969</v>
      </c>
      <c r="R314" s="1">
        <v>243777.81355992969</v>
      </c>
      <c r="S314" s="1">
        <v>243777.81355992969</v>
      </c>
      <c r="T314" s="1">
        <v>243777.81355992969</v>
      </c>
      <c r="U314" s="1">
        <v>243777.81355992969</v>
      </c>
      <c r="V314" s="1">
        <v>243777.81355992969</v>
      </c>
      <c r="W314" s="4">
        <f t="shared" si="10"/>
        <v>2418026.4150976404</v>
      </c>
      <c r="X314" s="4">
        <f t="shared" si="10"/>
        <v>2418026.4150976404</v>
      </c>
      <c r="Y314" s="5">
        <f t="shared" si="9"/>
        <v>0.58150000000000002</v>
      </c>
    </row>
    <row r="315" spans="1:25" x14ac:dyDescent="0.25">
      <c r="A315" s="1" t="s">
        <v>84</v>
      </c>
      <c r="B315" s="1" t="s">
        <v>50</v>
      </c>
      <c r="C315" s="1" t="s">
        <v>25</v>
      </c>
      <c r="D315" s="1">
        <v>2771342.3212482356</v>
      </c>
      <c r="E315" s="1">
        <v>182908.59320238358</v>
      </c>
      <c r="F315" s="1">
        <v>182908.59320238358</v>
      </c>
      <c r="G315" s="1">
        <v>228635.74150297945</v>
      </c>
      <c r="H315" s="1">
        <v>228635.74150297945</v>
      </c>
      <c r="I315" s="1">
        <v>228635.74150297945</v>
      </c>
      <c r="J315" s="1">
        <v>228635.74150297945</v>
      </c>
      <c r="K315" s="1">
        <v>228635.74150297945</v>
      </c>
      <c r="L315" s="1">
        <v>228635.74150297945</v>
      </c>
      <c r="M315" s="1">
        <v>139259.95164272384</v>
      </c>
      <c r="N315" s="1">
        <v>139259.95164272384</v>
      </c>
      <c r="O315" s="1">
        <v>116049.95970226987</v>
      </c>
      <c r="P315" s="1">
        <v>116049.95970226987</v>
      </c>
      <c r="Q315" s="1">
        <v>162469.94358317781</v>
      </c>
      <c r="R315" s="1">
        <v>162469.94358317781</v>
      </c>
      <c r="S315" s="1">
        <v>162469.94358317781</v>
      </c>
      <c r="T315" s="1">
        <v>162469.94358317781</v>
      </c>
      <c r="U315" s="1">
        <v>162469.94358317781</v>
      </c>
      <c r="V315" s="1">
        <v>162469.94358317781</v>
      </c>
      <c r="W315" s="4">
        <f t="shared" si="10"/>
        <v>1611535.5598058491</v>
      </c>
      <c r="X315" s="4">
        <f t="shared" si="10"/>
        <v>1611535.5598058491</v>
      </c>
      <c r="Y315" s="5">
        <f t="shared" si="9"/>
        <v>0.58150000000000002</v>
      </c>
    </row>
    <row r="316" spans="1:25" x14ac:dyDescent="0.25">
      <c r="A316" s="1" t="s">
        <v>85</v>
      </c>
      <c r="B316" s="1" t="s">
        <v>59</v>
      </c>
      <c r="C316" s="1" t="s">
        <v>26</v>
      </c>
      <c r="D316" s="1">
        <v>61296716</v>
      </c>
      <c r="E316" s="1">
        <v>5629583.246046517</v>
      </c>
      <c r="F316" s="1">
        <v>5629583.246046517</v>
      </c>
      <c r="G316" s="1">
        <v>7036979.0575581454</v>
      </c>
      <c r="H316" s="1">
        <v>7036979.0575581454</v>
      </c>
      <c r="I316" s="1">
        <v>7036979.0575581454</v>
      </c>
      <c r="J316" s="1">
        <v>7036979.0575581454</v>
      </c>
      <c r="K316" s="1">
        <v>7036979.0575581454</v>
      </c>
      <c r="L316" s="1">
        <v>7036979.0575581454</v>
      </c>
      <c r="M316" s="1">
        <v>4143599.9712209259</v>
      </c>
      <c r="N316" s="1">
        <v>4143599.9712209259</v>
      </c>
      <c r="O316" s="1">
        <v>4143599.9712209259</v>
      </c>
      <c r="P316" s="1">
        <v>4143599.9712209259</v>
      </c>
      <c r="Q316" s="1">
        <v>4143599.9712209259</v>
      </c>
      <c r="R316" s="1">
        <v>4143599.9712209259</v>
      </c>
      <c r="S316" s="1">
        <v>4143599.9712209259</v>
      </c>
      <c r="T316" s="1">
        <v>4143599.9712209259</v>
      </c>
      <c r="U316" s="1">
        <v>4143599.9712209259</v>
      </c>
      <c r="V316" s="1">
        <v>4143599.9712209259</v>
      </c>
      <c r="W316" s="4">
        <f t="shared" si="10"/>
        <v>47458520.274825588</v>
      </c>
      <c r="X316" s="4">
        <f t="shared" si="10"/>
        <v>47458520.274825588</v>
      </c>
      <c r="Y316" s="5">
        <f t="shared" si="9"/>
        <v>0.77424246145300157</v>
      </c>
    </row>
    <row r="317" spans="1:25" x14ac:dyDescent="0.25">
      <c r="A317" s="1" t="s">
        <v>85</v>
      </c>
      <c r="B317" s="1" t="s">
        <v>59</v>
      </c>
      <c r="C317" s="1" t="s">
        <v>26</v>
      </c>
      <c r="D317" s="1">
        <v>24000000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12000000</v>
      </c>
      <c r="N317" s="1">
        <v>12000000</v>
      </c>
      <c r="O317" s="1">
        <v>12000000</v>
      </c>
      <c r="P317" s="1">
        <v>12000000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4">
        <f t="shared" si="10"/>
        <v>24000000</v>
      </c>
      <c r="X317" s="4">
        <f t="shared" si="10"/>
        <v>24000000</v>
      </c>
      <c r="Y317" s="5">
        <f t="shared" si="9"/>
        <v>1</v>
      </c>
    </row>
    <row r="318" spans="1:25" x14ac:dyDescent="0.25">
      <c r="A318" s="1" t="s">
        <v>85</v>
      </c>
      <c r="B318" s="1" t="s">
        <v>33</v>
      </c>
      <c r="C318" s="1" t="s">
        <v>34</v>
      </c>
      <c r="D318" s="1">
        <v>216000000</v>
      </c>
      <c r="E318" s="1">
        <v>0</v>
      </c>
      <c r="F318" s="1">
        <v>0</v>
      </c>
      <c r="G318" s="1">
        <v>43200000</v>
      </c>
      <c r="H318" s="1">
        <v>43200000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64800000</v>
      </c>
      <c r="P318" s="1">
        <v>64800000</v>
      </c>
      <c r="Q318" s="1">
        <v>0</v>
      </c>
      <c r="R318" s="1">
        <v>0</v>
      </c>
      <c r="S318" s="1">
        <v>64800000</v>
      </c>
      <c r="T318" s="1">
        <v>64800000</v>
      </c>
      <c r="U318" s="1">
        <v>43200000</v>
      </c>
      <c r="V318" s="1">
        <v>43200000</v>
      </c>
      <c r="W318" s="4">
        <f t="shared" si="10"/>
        <v>216000000</v>
      </c>
      <c r="X318" s="4">
        <f t="shared" si="10"/>
        <v>216000000</v>
      </c>
      <c r="Y318" s="5">
        <f t="shared" si="9"/>
        <v>1</v>
      </c>
    </row>
    <row r="319" spans="1:25" x14ac:dyDescent="0.25">
      <c r="A319" s="1" t="s">
        <v>85</v>
      </c>
      <c r="B319" s="1" t="s">
        <v>35</v>
      </c>
      <c r="C319" s="1" t="s">
        <v>34</v>
      </c>
      <c r="D319" s="1">
        <v>540000000</v>
      </c>
      <c r="E319" s="1">
        <v>0</v>
      </c>
      <c r="F319" s="1">
        <v>0</v>
      </c>
      <c r="G319" s="1">
        <v>148500000</v>
      </c>
      <c r="H319" s="1">
        <v>148500000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130500000</v>
      </c>
      <c r="P319" s="1">
        <v>130500000</v>
      </c>
      <c r="Q319" s="1">
        <v>0</v>
      </c>
      <c r="R319" s="1">
        <v>0</v>
      </c>
      <c r="S319" s="1">
        <v>130500000</v>
      </c>
      <c r="T319" s="1">
        <v>130500000</v>
      </c>
      <c r="U319" s="1">
        <v>130500000</v>
      </c>
      <c r="V319" s="1">
        <v>130500000</v>
      </c>
      <c r="W319" s="4">
        <f t="shared" si="10"/>
        <v>540000000</v>
      </c>
      <c r="X319" s="4">
        <f t="shared" si="10"/>
        <v>540000000</v>
      </c>
      <c r="Y319" s="5">
        <f t="shared" si="9"/>
        <v>1</v>
      </c>
    </row>
    <row r="320" spans="1:25" x14ac:dyDescent="0.25">
      <c r="A320" s="1" t="s">
        <v>85</v>
      </c>
      <c r="B320" s="1" t="s">
        <v>38</v>
      </c>
      <c r="C320" s="1" t="s">
        <v>39</v>
      </c>
      <c r="D320" s="1">
        <v>10670146.536283154</v>
      </c>
      <c r="E320" s="1">
        <v>283284.28778970923</v>
      </c>
      <c r="F320" s="1">
        <v>283284.28778970923</v>
      </c>
      <c r="G320" s="1">
        <v>354105.35973713652</v>
      </c>
      <c r="H320" s="1">
        <v>354105.35973713652</v>
      </c>
      <c r="I320" s="1">
        <v>354105.35973713652</v>
      </c>
      <c r="J320" s="1">
        <v>354105.35973713652</v>
      </c>
      <c r="K320" s="1">
        <v>354105.35973713652</v>
      </c>
      <c r="L320" s="1">
        <v>354105.35973713652</v>
      </c>
      <c r="M320" s="1">
        <v>694029.38230009528</v>
      </c>
      <c r="N320" s="1">
        <v>694029.38230009528</v>
      </c>
      <c r="O320" s="1">
        <v>578357.81858341279</v>
      </c>
      <c r="P320" s="1">
        <v>578357.81858341279</v>
      </c>
      <c r="Q320" s="1">
        <v>809700.94601677789</v>
      </c>
      <c r="R320" s="1">
        <v>809700.94601677789</v>
      </c>
      <c r="S320" s="1">
        <v>809700.94601677789</v>
      </c>
      <c r="T320" s="1">
        <v>809700.94601677789</v>
      </c>
      <c r="U320" s="1">
        <v>809700.94601677789</v>
      </c>
      <c r="V320" s="1">
        <v>809700.94601677789</v>
      </c>
      <c r="W320" s="4">
        <f t="shared" si="10"/>
        <v>5047090.4059349606</v>
      </c>
      <c r="X320" s="4">
        <f t="shared" si="10"/>
        <v>5047090.4059349606</v>
      </c>
      <c r="Y320" s="5">
        <f t="shared" si="9"/>
        <v>0.47301041169140939</v>
      </c>
    </row>
    <row r="321" spans="1:25" x14ac:dyDescent="0.25">
      <c r="A321" s="1" t="s">
        <v>85</v>
      </c>
      <c r="B321" s="1" t="s">
        <v>38</v>
      </c>
      <c r="C321" s="1" t="s">
        <v>39</v>
      </c>
      <c r="D321" s="1">
        <v>4292186.1786319576</v>
      </c>
      <c r="E321" s="1">
        <v>704229.67139468819</v>
      </c>
      <c r="F321" s="1">
        <v>704229.67139468819</v>
      </c>
      <c r="G321" s="1">
        <v>880287.08924336021</v>
      </c>
      <c r="H321" s="1">
        <v>880287.08924336021</v>
      </c>
      <c r="I321" s="1">
        <v>880287.08924336021</v>
      </c>
      <c r="J321" s="1">
        <v>880287.08924336021</v>
      </c>
      <c r="K321" s="1">
        <v>880287.08924336021</v>
      </c>
      <c r="L321" s="1">
        <v>880287.08924336021</v>
      </c>
      <c r="M321" s="1">
        <v>57827.836624388729</v>
      </c>
      <c r="N321" s="1">
        <v>57827.836624388729</v>
      </c>
      <c r="O321" s="1">
        <v>48189.863853657276</v>
      </c>
      <c r="P321" s="1">
        <v>48189.863853657276</v>
      </c>
      <c r="Q321" s="1">
        <v>67465.809395120188</v>
      </c>
      <c r="R321" s="1">
        <v>67465.809395120188</v>
      </c>
      <c r="S321" s="1">
        <v>67465.809395120188</v>
      </c>
      <c r="T321" s="1">
        <v>67465.809395120188</v>
      </c>
      <c r="U321" s="1">
        <v>67465.809395120188</v>
      </c>
      <c r="V321" s="1">
        <v>67465.809395120188</v>
      </c>
      <c r="W321" s="4">
        <f t="shared" si="10"/>
        <v>3653506.0677881753</v>
      </c>
      <c r="X321" s="4">
        <f t="shared" si="10"/>
        <v>3653506.0677881753</v>
      </c>
      <c r="Y321" s="5">
        <f t="shared" si="9"/>
        <v>0.85119934591296131</v>
      </c>
    </row>
    <row r="322" spans="1:25" x14ac:dyDescent="0.25">
      <c r="A322" s="1" t="s">
        <v>85</v>
      </c>
      <c r="B322" s="1" t="s">
        <v>61</v>
      </c>
      <c r="C322" s="1" t="s">
        <v>34</v>
      </c>
      <c r="D322" s="1">
        <v>218150948</v>
      </c>
      <c r="E322" s="1">
        <v>0</v>
      </c>
      <c r="F322" s="1">
        <v>0</v>
      </c>
      <c r="G322" s="1">
        <v>17452075.83801217</v>
      </c>
      <c r="H322" s="1">
        <v>17452075.83801217</v>
      </c>
      <c r="I322" s="1">
        <v>0</v>
      </c>
      <c r="J322" s="1">
        <v>0</v>
      </c>
      <c r="K322" s="1">
        <v>0</v>
      </c>
      <c r="L322" s="1">
        <v>0</v>
      </c>
      <c r="M322" s="1">
        <v>50174718.04049696</v>
      </c>
      <c r="N322" s="1">
        <v>50174718.04049696</v>
      </c>
      <c r="O322" s="1">
        <v>0</v>
      </c>
      <c r="P322" s="1">
        <v>0</v>
      </c>
      <c r="Q322" s="1">
        <v>0</v>
      </c>
      <c r="R322" s="1">
        <v>0</v>
      </c>
      <c r="S322" s="1">
        <v>75262077.060745448</v>
      </c>
      <c r="T322" s="1">
        <v>75262077.060745448</v>
      </c>
      <c r="U322" s="1">
        <v>0</v>
      </c>
      <c r="V322" s="1">
        <v>0</v>
      </c>
      <c r="W322" s="4">
        <f t="shared" si="10"/>
        <v>142888870.93925458</v>
      </c>
      <c r="X322" s="4">
        <f t="shared" si="10"/>
        <v>142888870.93925458</v>
      </c>
      <c r="Y322" s="5">
        <f t="shared" si="9"/>
        <v>0.65499999999658298</v>
      </c>
    </row>
    <row r="323" spans="1:25" x14ac:dyDescent="0.25">
      <c r="A323" s="1" t="s">
        <v>85</v>
      </c>
      <c r="B323" s="1" t="s">
        <v>62</v>
      </c>
      <c r="C323" s="1" t="s">
        <v>63</v>
      </c>
      <c r="D323" s="1">
        <v>45142857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3385714.2857142854</v>
      </c>
      <c r="N323" s="1">
        <v>3385714.2857142854</v>
      </c>
      <c r="O323" s="1">
        <v>2821428.5714285714</v>
      </c>
      <c r="P323" s="1">
        <v>2821428.5714285714</v>
      </c>
      <c r="Q323" s="1">
        <v>3949999.9999999995</v>
      </c>
      <c r="R323" s="1">
        <v>3949999.9999999995</v>
      </c>
      <c r="S323" s="1">
        <v>3949999.9999999995</v>
      </c>
      <c r="T323" s="1">
        <v>3949999.9999999995</v>
      </c>
      <c r="U323" s="1">
        <v>3949999.9999999995</v>
      </c>
      <c r="V323" s="1">
        <v>3949999.9999999995</v>
      </c>
      <c r="W323" s="4">
        <f t="shared" si="10"/>
        <v>18057142.857142854</v>
      </c>
      <c r="X323" s="4">
        <f t="shared" si="10"/>
        <v>18057142.857142854</v>
      </c>
      <c r="Y323" s="5">
        <f t="shared" ref="Y323:Y386" si="11">X323/D323</f>
        <v>0.40000000126582275</v>
      </c>
    </row>
    <row r="324" spans="1:25" x14ac:dyDescent="0.25">
      <c r="A324" s="1" t="s">
        <v>85</v>
      </c>
      <c r="B324" s="1" t="s">
        <v>40</v>
      </c>
      <c r="C324" s="1" t="s">
        <v>27</v>
      </c>
      <c r="D324" s="1">
        <v>145446544</v>
      </c>
      <c r="E324" s="1">
        <v>13395994.759666666</v>
      </c>
      <c r="F324" s="1">
        <v>13395994.759666666</v>
      </c>
      <c r="G324" s="1">
        <v>7983750.2596666664</v>
      </c>
      <c r="H324" s="1">
        <v>7983750.2596666664</v>
      </c>
      <c r="I324" s="1">
        <v>15016578.088</v>
      </c>
      <c r="J324" s="1">
        <v>15016578.088</v>
      </c>
      <c r="K324" s="1">
        <v>8098389.2596666664</v>
      </c>
      <c r="L324" s="1">
        <v>8098389.2596666664</v>
      </c>
      <c r="M324" s="1">
        <v>13875000</v>
      </c>
      <c r="N324" s="1">
        <v>13875000</v>
      </c>
      <c r="O324" s="1">
        <v>26308124.852666669</v>
      </c>
      <c r="P324" s="1">
        <v>26308124.852666669</v>
      </c>
      <c r="Q324" s="1">
        <v>8098389.6416666666</v>
      </c>
      <c r="R324" s="1">
        <v>8098389.6416666666</v>
      </c>
      <c r="S324" s="1">
        <v>21120730.641666666</v>
      </c>
      <c r="T324" s="1">
        <v>21120730.641666666</v>
      </c>
      <c r="U324" s="1">
        <v>9812394.5720000006</v>
      </c>
      <c r="V324" s="1">
        <v>9812394.5720000006</v>
      </c>
      <c r="W324" s="4">
        <f t="shared" si="10"/>
        <v>123709352.075</v>
      </c>
      <c r="X324" s="4">
        <f t="shared" si="10"/>
        <v>123709352.075</v>
      </c>
      <c r="Y324" s="5">
        <f t="shared" si="11"/>
        <v>0.85054858419324153</v>
      </c>
    </row>
    <row r="325" spans="1:25" x14ac:dyDescent="0.25">
      <c r="A325" s="1" t="s">
        <v>85</v>
      </c>
      <c r="B325" s="1" t="s">
        <v>40</v>
      </c>
      <c r="C325" s="1" t="s">
        <v>27</v>
      </c>
      <c r="D325" s="1">
        <v>53387073</v>
      </c>
      <c r="E325" s="1">
        <v>0</v>
      </c>
      <c r="F325" s="1">
        <v>0</v>
      </c>
      <c r="G325" s="1">
        <v>0</v>
      </c>
      <c r="H325" s="1">
        <v>0</v>
      </c>
      <c r="I325" s="1">
        <v>17795691</v>
      </c>
      <c r="J325" s="1">
        <v>17795691</v>
      </c>
      <c r="K325" s="1">
        <v>0</v>
      </c>
      <c r="L325" s="1">
        <v>0</v>
      </c>
      <c r="M325" s="1">
        <v>0</v>
      </c>
      <c r="N325" s="1">
        <v>0</v>
      </c>
      <c r="O325" s="1">
        <v>17795691</v>
      </c>
      <c r="P325" s="1">
        <v>17795691</v>
      </c>
      <c r="Q325" s="1">
        <v>0</v>
      </c>
      <c r="R325" s="1">
        <v>0</v>
      </c>
      <c r="S325" s="1">
        <v>0</v>
      </c>
      <c r="T325" s="1">
        <v>0</v>
      </c>
      <c r="U325" s="1">
        <v>17795691</v>
      </c>
      <c r="V325" s="1">
        <v>17795691</v>
      </c>
      <c r="W325" s="4">
        <f t="shared" si="10"/>
        <v>53387073</v>
      </c>
      <c r="X325" s="4">
        <f t="shared" si="10"/>
        <v>53387073</v>
      </c>
      <c r="Y325" s="5">
        <f t="shared" si="11"/>
        <v>1</v>
      </c>
    </row>
    <row r="326" spans="1:25" x14ac:dyDescent="0.25">
      <c r="A326" s="1" t="s">
        <v>85</v>
      </c>
      <c r="B326" s="1" t="s">
        <v>40</v>
      </c>
      <c r="C326" s="1" t="s">
        <v>27</v>
      </c>
      <c r="D326" s="1">
        <v>204869214</v>
      </c>
      <c r="E326" s="1">
        <v>0</v>
      </c>
      <c r="F326" s="1">
        <v>0</v>
      </c>
      <c r="G326" s="1">
        <v>34144869</v>
      </c>
      <c r="H326" s="1">
        <v>34144869</v>
      </c>
      <c r="I326" s="1">
        <v>25144869</v>
      </c>
      <c r="J326" s="1">
        <v>25144869</v>
      </c>
      <c r="K326" s="1">
        <v>0</v>
      </c>
      <c r="L326" s="1">
        <v>0</v>
      </c>
      <c r="M326" s="1">
        <v>28983651.75</v>
      </c>
      <c r="N326" s="1">
        <v>28983651.75</v>
      </c>
      <c r="O326" s="1">
        <v>87612172.5</v>
      </c>
      <c r="P326" s="1">
        <v>87612172.5</v>
      </c>
      <c r="Q326" s="1">
        <v>0</v>
      </c>
      <c r="R326" s="1">
        <v>0</v>
      </c>
      <c r="S326" s="1">
        <v>28983651.75</v>
      </c>
      <c r="T326" s="1">
        <v>28983651.75</v>
      </c>
      <c r="U326" s="1">
        <v>0</v>
      </c>
      <c r="V326" s="1">
        <v>0</v>
      </c>
      <c r="W326" s="4">
        <f t="shared" si="10"/>
        <v>204869214</v>
      </c>
      <c r="X326" s="4">
        <f t="shared" si="10"/>
        <v>204869214</v>
      </c>
      <c r="Y326" s="5">
        <f t="shared" si="11"/>
        <v>1</v>
      </c>
    </row>
    <row r="327" spans="1:25" x14ac:dyDescent="0.25">
      <c r="A327" s="1" t="s">
        <v>85</v>
      </c>
      <c r="B327" s="1" t="s">
        <v>40</v>
      </c>
      <c r="C327" s="1" t="s">
        <v>27</v>
      </c>
      <c r="D327" s="1">
        <v>193049045.93956128</v>
      </c>
      <c r="E327" s="1">
        <v>10376942.479015151</v>
      </c>
      <c r="F327" s="1">
        <v>10376942.479015151</v>
      </c>
      <c r="G327" s="1">
        <v>27686457.974096924</v>
      </c>
      <c r="H327" s="1">
        <v>27686457.974096924</v>
      </c>
      <c r="I327" s="1">
        <v>9184509.1456818134</v>
      </c>
      <c r="J327" s="1">
        <v>9184509.1456818134</v>
      </c>
      <c r="K327" s="1">
        <v>20639069.774028528</v>
      </c>
      <c r="L327" s="1">
        <v>20639069.774028528</v>
      </c>
      <c r="M327" s="1">
        <v>8112327.2643699814</v>
      </c>
      <c r="N327" s="1">
        <v>8112327.2643699814</v>
      </c>
      <c r="O327" s="1">
        <v>44343987.32199496</v>
      </c>
      <c r="P327" s="1">
        <v>44343987.32199496</v>
      </c>
      <c r="Q327" s="1">
        <v>9649547.4415246118</v>
      </c>
      <c r="R327" s="1">
        <v>9649547.4415246118</v>
      </c>
      <c r="S327" s="1">
        <v>17376008.03922791</v>
      </c>
      <c r="T327" s="1">
        <v>17376008.03922791</v>
      </c>
      <c r="U327" s="1">
        <v>16247014.108191276</v>
      </c>
      <c r="V327" s="1">
        <v>16247014.108191276</v>
      </c>
      <c r="W327" s="4">
        <f t="shared" si="10"/>
        <v>163615863.54813114</v>
      </c>
      <c r="X327" s="4">
        <f t="shared" si="10"/>
        <v>163615863.54813114</v>
      </c>
      <c r="Y327" s="5">
        <f t="shared" si="11"/>
        <v>0.84753520926156289</v>
      </c>
    </row>
    <row r="328" spans="1:25" x14ac:dyDescent="0.25">
      <c r="A328" s="1" t="s">
        <v>85</v>
      </c>
      <c r="B328" s="1" t="s">
        <v>40</v>
      </c>
      <c r="C328" s="1" t="s">
        <v>27</v>
      </c>
      <c r="D328" s="1">
        <v>190924647</v>
      </c>
      <c r="E328" s="1">
        <v>0</v>
      </c>
      <c r="F328" s="1">
        <v>0</v>
      </c>
      <c r="G328" s="1">
        <v>35462323.5</v>
      </c>
      <c r="H328" s="1">
        <v>35462323.5</v>
      </c>
      <c r="I328" s="1">
        <v>25462323.5</v>
      </c>
      <c r="J328" s="1">
        <v>25462323.5</v>
      </c>
      <c r="K328" s="1">
        <v>0</v>
      </c>
      <c r="L328" s="1">
        <v>0</v>
      </c>
      <c r="M328" s="1">
        <v>48750000</v>
      </c>
      <c r="N328" s="1">
        <v>48750000</v>
      </c>
      <c r="O328" s="1">
        <v>32500000</v>
      </c>
      <c r="P328" s="1">
        <v>32500000</v>
      </c>
      <c r="Q328" s="1">
        <v>0</v>
      </c>
      <c r="R328" s="1">
        <v>0</v>
      </c>
      <c r="S328" s="1">
        <v>48750000</v>
      </c>
      <c r="T328" s="1">
        <v>48750000</v>
      </c>
      <c r="U328" s="1">
        <v>0</v>
      </c>
      <c r="V328" s="1">
        <v>0</v>
      </c>
      <c r="W328" s="4">
        <f t="shared" si="10"/>
        <v>190924647</v>
      </c>
      <c r="X328" s="4">
        <f t="shared" si="10"/>
        <v>190924647</v>
      </c>
      <c r="Y328" s="5">
        <f t="shared" si="11"/>
        <v>1</v>
      </c>
    </row>
    <row r="329" spans="1:25" x14ac:dyDescent="0.25">
      <c r="A329" s="1" t="s">
        <v>85</v>
      </c>
      <c r="B329" s="1" t="s">
        <v>40</v>
      </c>
      <c r="C329" s="1" t="s">
        <v>27</v>
      </c>
      <c r="D329" s="1">
        <v>54539530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27539530</v>
      </c>
      <c r="L329" s="1">
        <v>27539530</v>
      </c>
      <c r="M329" s="1">
        <v>10125000</v>
      </c>
      <c r="N329" s="1">
        <v>10125000</v>
      </c>
      <c r="O329" s="1">
        <v>6750000</v>
      </c>
      <c r="P329" s="1">
        <v>6750000</v>
      </c>
      <c r="Q329" s="1">
        <v>0</v>
      </c>
      <c r="R329" s="1">
        <v>0</v>
      </c>
      <c r="S329" s="1">
        <v>10125000</v>
      </c>
      <c r="T329" s="1">
        <v>10125000</v>
      </c>
      <c r="U329" s="1">
        <v>0</v>
      </c>
      <c r="V329" s="1">
        <v>0</v>
      </c>
      <c r="W329" s="4">
        <f t="shared" si="10"/>
        <v>54539530</v>
      </c>
      <c r="X329" s="4">
        <f t="shared" si="10"/>
        <v>54539530</v>
      </c>
      <c r="Y329" s="5">
        <f t="shared" si="11"/>
        <v>1</v>
      </c>
    </row>
    <row r="330" spans="1:25" x14ac:dyDescent="0.25">
      <c r="A330" s="1" t="s">
        <v>85</v>
      </c>
      <c r="B330" s="1" t="s">
        <v>43</v>
      </c>
      <c r="C330" s="1" t="s">
        <v>31</v>
      </c>
      <c r="D330" s="1">
        <v>6074732</v>
      </c>
      <c r="E330" s="1">
        <v>352871.46031938796</v>
      </c>
      <c r="F330" s="1">
        <v>352871.46031938796</v>
      </c>
      <c r="G330" s="1">
        <v>441089.32539923489</v>
      </c>
      <c r="H330" s="1">
        <v>441089.32539923489</v>
      </c>
      <c r="I330" s="1">
        <v>441089.32539923489</v>
      </c>
      <c r="J330" s="1">
        <v>441089.32539923489</v>
      </c>
      <c r="K330" s="1">
        <v>441089.32539923489</v>
      </c>
      <c r="L330" s="1">
        <v>441089.32539923489</v>
      </c>
      <c r="M330" s="1">
        <v>327982.80729365611</v>
      </c>
      <c r="N330" s="1">
        <v>327982.80729365611</v>
      </c>
      <c r="O330" s="1">
        <v>273319.00607804675</v>
      </c>
      <c r="P330" s="1">
        <v>273319.00607804675</v>
      </c>
      <c r="Q330" s="1">
        <v>338736.02931728418</v>
      </c>
      <c r="R330" s="1">
        <v>338736.02931728418</v>
      </c>
      <c r="S330" s="1">
        <v>382646.60850926541</v>
      </c>
      <c r="T330" s="1">
        <v>382646.60850926541</v>
      </c>
      <c r="U330" s="1">
        <v>382646.60850926541</v>
      </c>
      <c r="V330" s="1">
        <v>382646.60850926541</v>
      </c>
      <c r="W330" s="4">
        <f t="shared" si="10"/>
        <v>3381470.4962246101</v>
      </c>
      <c r="X330" s="4">
        <f t="shared" si="10"/>
        <v>3381470.4962246101</v>
      </c>
      <c r="Y330" s="5">
        <f t="shared" si="11"/>
        <v>0.55664521434437109</v>
      </c>
    </row>
    <row r="331" spans="1:25" x14ac:dyDescent="0.25">
      <c r="A331" s="1" t="s">
        <v>85</v>
      </c>
      <c r="B331" s="1" t="s">
        <v>64</v>
      </c>
      <c r="C331" s="1" t="s">
        <v>23</v>
      </c>
      <c r="D331" s="1">
        <v>5213102.9389413577</v>
      </c>
      <c r="E331" s="1">
        <v>344064.79397012969</v>
      </c>
      <c r="F331" s="1">
        <v>344064.79397012969</v>
      </c>
      <c r="G331" s="1">
        <v>430080.99246266205</v>
      </c>
      <c r="H331" s="1">
        <v>430080.99246266205</v>
      </c>
      <c r="I331" s="1">
        <v>430080.99246266205</v>
      </c>
      <c r="J331" s="1">
        <v>430080.99246266205</v>
      </c>
      <c r="K331" s="1">
        <v>430080.99246266205</v>
      </c>
      <c r="L331" s="1">
        <v>430080.99246266205</v>
      </c>
      <c r="M331" s="1">
        <v>261958.4226818032</v>
      </c>
      <c r="N331" s="1">
        <v>261958.4226818032</v>
      </c>
      <c r="O331" s="1">
        <v>218298.68556816934</v>
      </c>
      <c r="P331" s="1">
        <v>218298.68556816934</v>
      </c>
      <c r="Q331" s="1">
        <v>305618.15979543707</v>
      </c>
      <c r="R331" s="1">
        <v>305618.15979543707</v>
      </c>
      <c r="S331" s="1">
        <v>305618.15979543707</v>
      </c>
      <c r="T331" s="1">
        <v>305618.15979543707</v>
      </c>
      <c r="U331" s="1">
        <v>305618.15979543707</v>
      </c>
      <c r="V331" s="1">
        <v>305618.15979543707</v>
      </c>
      <c r="W331" s="4">
        <f t="shared" si="10"/>
        <v>3031419.3589943992</v>
      </c>
      <c r="X331" s="4">
        <f t="shared" si="10"/>
        <v>3031419.3589943992</v>
      </c>
      <c r="Y331" s="5">
        <f t="shared" si="11"/>
        <v>0.58149999999999991</v>
      </c>
    </row>
    <row r="332" spans="1:25" x14ac:dyDescent="0.25">
      <c r="A332" s="1" t="s">
        <v>85</v>
      </c>
      <c r="B332" s="1" t="s">
        <v>65</v>
      </c>
      <c r="C332" s="1" t="s">
        <v>31</v>
      </c>
      <c r="D332" s="1">
        <v>15258612.554686306</v>
      </c>
      <c r="E332" s="1">
        <v>1007068.4286092963</v>
      </c>
      <c r="F332" s="1">
        <v>1007068.4286092963</v>
      </c>
      <c r="G332" s="1">
        <v>1258835.5357616204</v>
      </c>
      <c r="H332" s="1">
        <v>1258835.5357616204</v>
      </c>
      <c r="I332" s="1">
        <v>1258835.5357616204</v>
      </c>
      <c r="J332" s="1">
        <v>1258835.5357616204</v>
      </c>
      <c r="K332" s="1">
        <v>1258835.5357616204</v>
      </c>
      <c r="L332" s="1">
        <v>1258835.5357616204</v>
      </c>
      <c r="M332" s="1">
        <v>766745.28087298677</v>
      </c>
      <c r="N332" s="1">
        <v>766745.28087298677</v>
      </c>
      <c r="O332" s="1">
        <v>638954.40072748903</v>
      </c>
      <c r="P332" s="1">
        <v>638954.40072748903</v>
      </c>
      <c r="Q332" s="1">
        <v>894536.16101848462</v>
      </c>
      <c r="R332" s="1">
        <v>894536.16101848462</v>
      </c>
      <c r="S332" s="1">
        <v>894536.16101848462</v>
      </c>
      <c r="T332" s="1">
        <v>894536.16101848462</v>
      </c>
      <c r="U332" s="1">
        <v>894536.16101848462</v>
      </c>
      <c r="V332" s="1">
        <v>894536.16101848462</v>
      </c>
      <c r="W332" s="4">
        <f t="shared" si="10"/>
        <v>8872883.2005500887</v>
      </c>
      <c r="X332" s="4">
        <f t="shared" si="10"/>
        <v>8872883.2005500887</v>
      </c>
      <c r="Y332" s="5">
        <f t="shared" si="11"/>
        <v>0.58150000000000013</v>
      </c>
    </row>
    <row r="333" spans="1:25" x14ac:dyDescent="0.25">
      <c r="A333" s="1" t="s">
        <v>85</v>
      </c>
      <c r="B333" s="1" t="s">
        <v>44</v>
      </c>
      <c r="C333" s="1" t="s">
        <v>45</v>
      </c>
      <c r="D333" s="1">
        <v>10670146.536283154</v>
      </c>
      <c r="E333" s="1">
        <v>283284.28778970923</v>
      </c>
      <c r="F333" s="1">
        <v>283284.28778970923</v>
      </c>
      <c r="G333" s="1">
        <v>354105.35973713652</v>
      </c>
      <c r="H333" s="1">
        <v>354105.35973713652</v>
      </c>
      <c r="I333" s="1">
        <v>354105.35973713652</v>
      </c>
      <c r="J333" s="1">
        <v>354105.35973713652</v>
      </c>
      <c r="K333" s="1">
        <v>354105.35973713652</v>
      </c>
      <c r="L333" s="1">
        <v>354105.35973713652</v>
      </c>
      <c r="M333" s="1">
        <v>694029.38230009528</v>
      </c>
      <c r="N333" s="1">
        <v>694029.38230009528</v>
      </c>
      <c r="O333" s="1">
        <v>578357.81858341279</v>
      </c>
      <c r="P333" s="1">
        <v>578357.81858341279</v>
      </c>
      <c r="Q333" s="1">
        <v>809700.94601677789</v>
      </c>
      <c r="R333" s="1">
        <v>809700.94601677789</v>
      </c>
      <c r="S333" s="1">
        <v>809700.94601677789</v>
      </c>
      <c r="T333" s="1">
        <v>809700.94601677789</v>
      </c>
      <c r="U333" s="1">
        <v>809700.94601677789</v>
      </c>
      <c r="V333" s="1">
        <v>809700.94601677789</v>
      </c>
      <c r="W333" s="4">
        <f t="shared" si="10"/>
        <v>5047090.4059349606</v>
      </c>
      <c r="X333" s="4">
        <f t="shared" si="10"/>
        <v>5047090.4059349606</v>
      </c>
      <c r="Y333" s="5">
        <f t="shared" si="11"/>
        <v>0.47301041169140939</v>
      </c>
    </row>
    <row r="334" spans="1:25" x14ac:dyDescent="0.25">
      <c r="A334" s="1" t="s">
        <v>85</v>
      </c>
      <c r="B334" s="1" t="s">
        <v>44</v>
      </c>
      <c r="C334" s="1" t="s">
        <v>45</v>
      </c>
      <c r="D334" s="1">
        <v>4292186.1786319576</v>
      </c>
      <c r="E334" s="1">
        <v>704229.67139468819</v>
      </c>
      <c r="F334" s="1">
        <v>704229.67139468819</v>
      </c>
      <c r="G334" s="1">
        <v>880287.08924336021</v>
      </c>
      <c r="H334" s="1">
        <v>880287.08924336021</v>
      </c>
      <c r="I334" s="1">
        <v>880287.08924336021</v>
      </c>
      <c r="J334" s="1">
        <v>880287.08924336021</v>
      </c>
      <c r="K334" s="1">
        <v>880287.08924336021</v>
      </c>
      <c r="L334" s="1">
        <v>880287.08924336021</v>
      </c>
      <c r="M334" s="1">
        <v>57827.836624388729</v>
      </c>
      <c r="N334" s="1">
        <v>57827.836624388729</v>
      </c>
      <c r="O334" s="1">
        <v>48189.863853657276</v>
      </c>
      <c r="P334" s="1">
        <v>48189.863853657276</v>
      </c>
      <c r="Q334" s="1">
        <v>67465.809395120188</v>
      </c>
      <c r="R334" s="1">
        <v>67465.809395120188</v>
      </c>
      <c r="S334" s="1">
        <v>67465.809395120188</v>
      </c>
      <c r="T334" s="1">
        <v>67465.809395120188</v>
      </c>
      <c r="U334" s="1">
        <v>67465.809395120188</v>
      </c>
      <c r="V334" s="1">
        <v>67465.809395120188</v>
      </c>
      <c r="W334" s="4">
        <f t="shared" si="10"/>
        <v>3653506.0677881753</v>
      </c>
      <c r="X334" s="4">
        <f t="shared" si="10"/>
        <v>3653506.0677881753</v>
      </c>
      <c r="Y334" s="5">
        <f t="shared" si="11"/>
        <v>0.85119934591296131</v>
      </c>
    </row>
    <row r="335" spans="1:25" x14ac:dyDescent="0.25">
      <c r="A335" s="1" t="s">
        <v>85</v>
      </c>
      <c r="B335" s="1" t="s">
        <v>46</v>
      </c>
      <c r="C335" s="1" t="s">
        <v>22</v>
      </c>
      <c r="D335" s="1">
        <v>222329957.36253837</v>
      </c>
      <c r="E335" s="1">
        <v>14687522.514861323</v>
      </c>
      <c r="F335" s="1">
        <v>14687522.514861323</v>
      </c>
      <c r="G335" s="1">
        <v>18359403.143576652</v>
      </c>
      <c r="H335" s="1">
        <v>18359403.143576652</v>
      </c>
      <c r="I335" s="1">
        <v>18359403.143576652</v>
      </c>
      <c r="J335" s="1">
        <v>18359403.143576652</v>
      </c>
      <c r="K335" s="1">
        <v>18359403.143576652</v>
      </c>
      <c r="L335" s="1">
        <v>18359403.143576652</v>
      </c>
      <c r="M335" s="1">
        <v>11519921.84384251</v>
      </c>
      <c r="N335" s="1">
        <v>11519921.84384251</v>
      </c>
      <c r="O335" s="1">
        <v>9367879.423847381</v>
      </c>
      <c r="P335" s="1">
        <v>9367879.423847381</v>
      </c>
      <c r="Q335" s="1">
        <v>12969247.523966176</v>
      </c>
      <c r="R335" s="1">
        <v>12969247.523966176</v>
      </c>
      <c r="S335" s="1">
        <v>12969247.523966176</v>
      </c>
      <c r="T335" s="1">
        <v>12969247.523966176</v>
      </c>
      <c r="U335" s="1">
        <v>12969247.523966176</v>
      </c>
      <c r="V335" s="1">
        <v>12969247.523966176</v>
      </c>
      <c r="W335" s="4">
        <f t="shared" si="10"/>
        <v>129561275.7851797</v>
      </c>
      <c r="X335" s="4">
        <f t="shared" si="10"/>
        <v>129561275.7851797</v>
      </c>
      <c r="Y335" s="5">
        <f t="shared" si="11"/>
        <v>0.58274322238056708</v>
      </c>
    </row>
    <row r="336" spans="1:25" x14ac:dyDescent="0.25">
      <c r="A336" s="1" t="s">
        <v>85</v>
      </c>
      <c r="B336" s="1" t="s">
        <v>66</v>
      </c>
      <c r="C336" s="1" t="s">
        <v>24</v>
      </c>
      <c r="D336" s="1">
        <v>835750591.21268296</v>
      </c>
      <c r="E336" s="1">
        <v>68949423.775046349</v>
      </c>
      <c r="F336" s="1">
        <v>68949423.775046349</v>
      </c>
      <c r="G336" s="1">
        <v>68949423.775046349</v>
      </c>
      <c r="H336" s="1">
        <v>68949423.775046349</v>
      </c>
      <c r="I336" s="1">
        <v>68949423.775046349</v>
      </c>
      <c r="J336" s="1">
        <v>68949423.775046349</v>
      </c>
      <c r="K336" s="1">
        <v>68949423.775046349</v>
      </c>
      <c r="L336" s="1">
        <v>68949423.775046349</v>
      </c>
      <c r="M336" s="1">
        <v>84224017.899814606</v>
      </c>
      <c r="N336" s="1">
        <v>84224017.899814606</v>
      </c>
      <c r="O336" s="1">
        <v>71378591</v>
      </c>
      <c r="P336" s="1">
        <v>71378591</v>
      </c>
      <c r="Q336" s="1">
        <v>72128591</v>
      </c>
      <c r="R336" s="1">
        <v>72128591</v>
      </c>
      <c r="S336" s="1">
        <v>69078591</v>
      </c>
      <c r="T336" s="1">
        <v>69078591</v>
      </c>
      <c r="U336" s="1">
        <v>63378587</v>
      </c>
      <c r="V336" s="1">
        <v>63378587</v>
      </c>
      <c r="W336" s="4">
        <f t="shared" si="10"/>
        <v>635986073</v>
      </c>
      <c r="X336" s="4">
        <f t="shared" si="10"/>
        <v>635986073</v>
      </c>
      <c r="Y336" s="5">
        <f t="shared" si="11"/>
        <v>0.76097591756073724</v>
      </c>
    </row>
    <row r="337" spans="1:25" x14ac:dyDescent="0.25">
      <c r="A337" s="1" t="s">
        <v>85</v>
      </c>
      <c r="B337" s="1" t="s">
        <v>67</v>
      </c>
      <c r="C337" s="1" t="s">
        <v>68</v>
      </c>
      <c r="D337" s="1">
        <v>15434999.999999998</v>
      </c>
      <c r="E337" s="1">
        <v>1018710</v>
      </c>
      <c r="F337" s="1">
        <v>1018710</v>
      </c>
      <c r="G337" s="1">
        <v>1273387.5</v>
      </c>
      <c r="H337" s="1">
        <v>1273387.5</v>
      </c>
      <c r="I337" s="1">
        <v>1273387.5</v>
      </c>
      <c r="J337" s="1">
        <v>1273387.5</v>
      </c>
      <c r="K337" s="1">
        <v>1273387.5</v>
      </c>
      <c r="L337" s="1">
        <v>1273387.5</v>
      </c>
      <c r="M337" s="1">
        <v>802619.9999999993</v>
      </c>
      <c r="N337" s="1">
        <v>802619.9999999993</v>
      </c>
      <c r="O337" s="1">
        <v>643124.99999999988</v>
      </c>
      <c r="P337" s="1">
        <v>643124.99999999988</v>
      </c>
      <c r="Q337" s="1">
        <v>900374.99999999977</v>
      </c>
      <c r="R337" s="1">
        <v>900374.99999999977</v>
      </c>
      <c r="S337" s="1">
        <v>900374.99999999977</v>
      </c>
      <c r="T337" s="1">
        <v>900374.99999999977</v>
      </c>
      <c r="U337" s="1">
        <v>900374.99999999977</v>
      </c>
      <c r="V337" s="1">
        <v>900374.99999999977</v>
      </c>
      <c r="W337" s="4">
        <f t="shared" si="10"/>
        <v>8985742.4999999981</v>
      </c>
      <c r="X337" s="4">
        <f t="shared" si="10"/>
        <v>8985742.4999999981</v>
      </c>
      <c r="Y337" s="5">
        <f t="shared" si="11"/>
        <v>0.58216666666666661</v>
      </c>
    </row>
    <row r="338" spans="1:25" x14ac:dyDescent="0.25">
      <c r="A338" s="1" t="s">
        <v>85</v>
      </c>
      <c r="B338" s="1" t="s">
        <v>69</v>
      </c>
      <c r="C338" s="1" t="s">
        <v>28</v>
      </c>
      <c r="D338" s="1">
        <v>20884713.993247293</v>
      </c>
      <c r="E338" s="1">
        <v>1378391.1235543215</v>
      </c>
      <c r="F338" s="1">
        <v>1378391.1235543215</v>
      </c>
      <c r="G338" s="1">
        <v>1722988.9044429017</v>
      </c>
      <c r="H338" s="1">
        <v>1722988.9044429017</v>
      </c>
      <c r="I338" s="1">
        <v>1722988.9044429017</v>
      </c>
      <c r="J338" s="1">
        <v>1722988.9044429017</v>
      </c>
      <c r="K338" s="1">
        <v>1722988.9044429017</v>
      </c>
      <c r="L338" s="1">
        <v>1722988.9044429017</v>
      </c>
      <c r="M338" s="1">
        <v>1049456.8781606765</v>
      </c>
      <c r="N338" s="1">
        <v>1049456.8781606765</v>
      </c>
      <c r="O338" s="1">
        <v>874547.39846723038</v>
      </c>
      <c r="P338" s="1">
        <v>874547.39846723038</v>
      </c>
      <c r="Q338" s="1">
        <v>1224366.3578541225</v>
      </c>
      <c r="R338" s="1">
        <v>1224366.3578541225</v>
      </c>
      <c r="S338" s="1">
        <v>1224366.3578541225</v>
      </c>
      <c r="T338" s="1">
        <v>1224366.3578541225</v>
      </c>
      <c r="U338" s="1">
        <v>1224366.3578541225</v>
      </c>
      <c r="V338" s="1">
        <v>1224366.3578541225</v>
      </c>
      <c r="W338" s="4">
        <f t="shared" ref="W338:X401" si="12">U338+S338+Q338+O338+M338+K338+I338+G338+E338</f>
        <v>12144461.1870733</v>
      </c>
      <c r="X338" s="4">
        <f t="shared" si="12"/>
        <v>12144461.1870733</v>
      </c>
      <c r="Y338" s="5">
        <f t="shared" si="11"/>
        <v>0.58149999999999991</v>
      </c>
    </row>
    <row r="339" spans="1:25" x14ac:dyDescent="0.25">
      <c r="A339" s="1" t="s">
        <v>85</v>
      </c>
      <c r="B339" s="1" t="s">
        <v>70</v>
      </c>
      <c r="C339" s="1" t="s">
        <v>23</v>
      </c>
      <c r="D339" s="1">
        <v>8268750.0182812503</v>
      </c>
      <c r="E339" s="1">
        <v>545737.50120656262</v>
      </c>
      <c r="F339" s="1">
        <v>545737.50120656262</v>
      </c>
      <c r="G339" s="1">
        <v>682171.87650820322</v>
      </c>
      <c r="H339" s="1">
        <v>682171.87650820322</v>
      </c>
      <c r="I339" s="1">
        <v>682171.87650820322</v>
      </c>
      <c r="J339" s="1">
        <v>682171.87650820322</v>
      </c>
      <c r="K339" s="1">
        <v>682171.87650820322</v>
      </c>
      <c r="L339" s="1">
        <v>682171.87650820322</v>
      </c>
      <c r="M339" s="1">
        <v>415504.68841863284</v>
      </c>
      <c r="N339" s="1">
        <v>415504.68841863284</v>
      </c>
      <c r="O339" s="1">
        <v>346253.90701552737</v>
      </c>
      <c r="P339" s="1">
        <v>346253.90701552737</v>
      </c>
      <c r="Q339" s="1">
        <v>484755.46982173825</v>
      </c>
      <c r="R339" s="1">
        <v>484755.46982173825</v>
      </c>
      <c r="S339" s="1">
        <v>484755.46982173825</v>
      </c>
      <c r="T339" s="1">
        <v>484755.46982173825</v>
      </c>
      <c r="U339" s="1">
        <v>484755.46982173825</v>
      </c>
      <c r="V339" s="1">
        <v>484755.46982173825</v>
      </c>
      <c r="W339" s="4">
        <f t="shared" si="12"/>
        <v>4808278.135630548</v>
      </c>
      <c r="X339" s="4">
        <f t="shared" si="12"/>
        <v>4808278.135630548</v>
      </c>
      <c r="Y339" s="5">
        <f t="shared" si="11"/>
        <v>0.58150000000000013</v>
      </c>
    </row>
    <row r="340" spans="1:25" x14ac:dyDescent="0.25">
      <c r="A340" s="1" t="s">
        <v>85</v>
      </c>
      <c r="B340" s="1" t="s">
        <v>71</v>
      </c>
      <c r="C340" s="1" t="s">
        <v>29</v>
      </c>
      <c r="D340" s="1">
        <v>21470874.600000113</v>
      </c>
      <c r="E340" s="1">
        <v>1417077.7236000076</v>
      </c>
      <c r="F340" s="1">
        <v>1417077.7236000076</v>
      </c>
      <c r="G340" s="1">
        <v>1771347.1545000095</v>
      </c>
      <c r="H340" s="1">
        <v>1771347.1545000095</v>
      </c>
      <c r="I340" s="1">
        <v>1771347.1545000095</v>
      </c>
      <c r="J340" s="1">
        <v>1771347.1545000095</v>
      </c>
      <c r="K340" s="1">
        <v>1771347.1545000095</v>
      </c>
      <c r="L340" s="1">
        <v>1771347.1545000095</v>
      </c>
      <c r="M340" s="1">
        <v>1078911.4486500055</v>
      </c>
      <c r="N340" s="1">
        <v>1078911.4486500055</v>
      </c>
      <c r="O340" s="1">
        <v>899092.87387500471</v>
      </c>
      <c r="P340" s="1">
        <v>899092.87387500471</v>
      </c>
      <c r="Q340" s="1">
        <v>1258730.0234250065</v>
      </c>
      <c r="R340" s="1">
        <v>1258730.0234250065</v>
      </c>
      <c r="S340" s="1">
        <v>1258730.0234250065</v>
      </c>
      <c r="T340" s="1">
        <v>1258730.0234250065</v>
      </c>
      <c r="U340" s="1">
        <v>1258730.0234250065</v>
      </c>
      <c r="V340" s="1">
        <v>1258730.0234250065</v>
      </c>
      <c r="W340" s="4">
        <f t="shared" si="12"/>
        <v>12485313.579900065</v>
      </c>
      <c r="X340" s="4">
        <f t="shared" si="12"/>
        <v>12485313.579900065</v>
      </c>
      <c r="Y340" s="5">
        <f t="shared" si="11"/>
        <v>0.58150000000000002</v>
      </c>
    </row>
    <row r="341" spans="1:25" x14ac:dyDescent="0.25">
      <c r="A341" s="1" t="s">
        <v>85</v>
      </c>
      <c r="B341" s="1" t="s">
        <v>72</v>
      </c>
      <c r="C341" s="1" t="s">
        <v>73</v>
      </c>
      <c r="D341" s="1">
        <v>25930684.257792987</v>
      </c>
      <c r="E341" s="1">
        <v>1711425.1610143371</v>
      </c>
      <c r="F341" s="1">
        <v>1711425.1610143371</v>
      </c>
      <c r="G341" s="1">
        <v>2139281.4512679214</v>
      </c>
      <c r="H341" s="1">
        <v>2139281.4512679214</v>
      </c>
      <c r="I341" s="1">
        <v>2139281.4512679214</v>
      </c>
      <c r="J341" s="1">
        <v>2139281.4512679214</v>
      </c>
      <c r="K341" s="1">
        <v>2139281.4512679214</v>
      </c>
      <c r="L341" s="1">
        <v>2139281.4512679214</v>
      </c>
      <c r="M341" s="1">
        <v>1303016.8839540975</v>
      </c>
      <c r="N341" s="1">
        <v>1303016.8839540975</v>
      </c>
      <c r="O341" s="1">
        <v>1085847.4032950813</v>
      </c>
      <c r="P341" s="1">
        <v>1085847.4032950813</v>
      </c>
      <c r="Q341" s="1">
        <v>1520186.3646131137</v>
      </c>
      <c r="R341" s="1">
        <v>1520186.3646131137</v>
      </c>
      <c r="S341" s="1">
        <v>1520186.3646131137</v>
      </c>
      <c r="T341" s="1">
        <v>1520186.3646131137</v>
      </c>
      <c r="U341" s="1">
        <v>1520186.3646131137</v>
      </c>
      <c r="V341" s="1">
        <v>1520186.3646131137</v>
      </c>
      <c r="W341" s="4">
        <f t="shared" si="12"/>
        <v>15078692.89590662</v>
      </c>
      <c r="X341" s="4">
        <f t="shared" si="12"/>
        <v>15078692.89590662</v>
      </c>
      <c r="Y341" s="5">
        <f t="shared" si="11"/>
        <v>0.58149999999999991</v>
      </c>
    </row>
    <row r="342" spans="1:25" x14ac:dyDescent="0.25">
      <c r="A342" s="1" t="s">
        <v>85</v>
      </c>
      <c r="B342" s="1" t="s">
        <v>48</v>
      </c>
      <c r="C342" s="1" t="s">
        <v>49</v>
      </c>
      <c r="D342" s="1">
        <v>9338836.6363622174</v>
      </c>
      <c r="E342" s="1">
        <v>616363.2179999064</v>
      </c>
      <c r="F342" s="1">
        <v>616363.2179999064</v>
      </c>
      <c r="G342" s="1">
        <v>770454.02249988297</v>
      </c>
      <c r="H342" s="1">
        <v>770454.02249988297</v>
      </c>
      <c r="I342" s="1">
        <v>770454.02249988297</v>
      </c>
      <c r="J342" s="1">
        <v>770454.02249988297</v>
      </c>
      <c r="K342" s="1">
        <v>770454.02249988297</v>
      </c>
      <c r="L342" s="1">
        <v>770454.02249988297</v>
      </c>
      <c r="M342" s="1">
        <v>469276.54097720142</v>
      </c>
      <c r="N342" s="1">
        <v>469276.54097720142</v>
      </c>
      <c r="O342" s="1">
        <v>391063.78414766787</v>
      </c>
      <c r="P342" s="1">
        <v>391063.78414766787</v>
      </c>
      <c r="Q342" s="1">
        <v>547489.29780673503</v>
      </c>
      <c r="R342" s="1">
        <v>547489.29780673503</v>
      </c>
      <c r="S342" s="1">
        <v>547489.29780673503</v>
      </c>
      <c r="T342" s="1">
        <v>547489.29780673503</v>
      </c>
      <c r="U342" s="1">
        <v>547489.29780673503</v>
      </c>
      <c r="V342" s="1">
        <v>547489.29780673503</v>
      </c>
      <c r="W342" s="4">
        <f t="shared" si="12"/>
        <v>5430533.5040446296</v>
      </c>
      <c r="X342" s="4">
        <f t="shared" si="12"/>
        <v>5430533.5040446296</v>
      </c>
      <c r="Y342" s="5">
        <f t="shared" si="11"/>
        <v>0.58150000000000002</v>
      </c>
    </row>
    <row r="343" spans="1:25" x14ac:dyDescent="0.25">
      <c r="A343" s="1" t="s">
        <v>85</v>
      </c>
      <c r="B343" s="1" t="s">
        <v>53</v>
      </c>
      <c r="C343" s="1" t="s">
        <v>30</v>
      </c>
      <c r="D343" s="1">
        <v>3286014.9262045384</v>
      </c>
      <c r="E343" s="1">
        <v>216876.98512949955</v>
      </c>
      <c r="F343" s="1">
        <v>216876.98512949955</v>
      </c>
      <c r="G343" s="1">
        <v>271096.23141187441</v>
      </c>
      <c r="H343" s="1">
        <v>271096.23141187441</v>
      </c>
      <c r="I343" s="1">
        <v>271096.23141187441</v>
      </c>
      <c r="J343" s="1">
        <v>271096.23141187441</v>
      </c>
      <c r="K343" s="1">
        <v>271096.23141187441</v>
      </c>
      <c r="L343" s="1">
        <v>271096.23141187441</v>
      </c>
      <c r="M343" s="1">
        <v>165122.25004177805</v>
      </c>
      <c r="N343" s="1">
        <v>165122.25004177805</v>
      </c>
      <c r="O343" s="1">
        <v>137601.87503481505</v>
      </c>
      <c r="P343" s="1">
        <v>137601.87503481505</v>
      </c>
      <c r="Q343" s="1">
        <v>192642.62504874106</v>
      </c>
      <c r="R343" s="1">
        <v>192642.62504874106</v>
      </c>
      <c r="S343" s="1">
        <v>192642.62504874106</v>
      </c>
      <c r="T343" s="1">
        <v>192642.62504874106</v>
      </c>
      <c r="U343" s="1">
        <v>192642.62504874106</v>
      </c>
      <c r="V343" s="1">
        <v>192642.62504874106</v>
      </c>
      <c r="W343" s="4">
        <f t="shared" si="12"/>
        <v>1910817.6795879391</v>
      </c>
      <c r="X343" s="4">
        <f t="shared" si="12"/>
        <v>1910817.6795879391</v>
      </c>
      <c r="Y343" s="5">
        <f t="shared" si="11"/>
        <v>0.58150000000000002</v>
      </c>
    </row>
    <row r="344" spans="1:25" x14ac:dyDescent="0.25">
      <c r="A344" s="1" t="s">
        <v>85</v>
      </c>
      <c r="B344" s="1" t="s">
        <v>74</v>
      </c>
      <c r="C344" s="1" t="s">
        <v>75</v>
      </c>
      <c r="D344" s="1">
        <v>21863214.075425826</v>
      </c>
      <c r="E344" s="1">
        <v>1442972.1289781046</v>
      </c>
      <c r="F344" s="1">
        <v>1442972.1289781046</v>
      </c>
      <c r="G344" s="1">
        <v>1803715.1612226306</v>
      </c>
      <c r="H344" s="1">
        <v>1803715.1612226306</v>
      </c>
      <c r="I344" s="1">
        <v>1803715.1612226306</v>
      </c>
      <c r="J344" s="1">
        <v>1803715.1612226306</v>
      </c>
      <c r="K344" s="1">
        <v>1803715.1612226306</v>
      </c>
      <c r="L344" s="1">
        <v>1803715.1612226306</v>
      </c>
      <c r="M344" s="1">
        <v>1098626.5072901477</v>
      </c>
      <c r="N344" s="1">
        <v>1098626.5072901477</v>
      </c>
      <c r="O344" s="1">
        <v>915522.08940845646</v>
      </c>
      <c r="P344" s="1">
        <v>915522.08940845646</v>
      </c>
      <c r="Q344" s="1">
        <v>1281730.9251718391</v>
      </c>
      <c r="R344" s="1">
        <v>1281730.9251718391</v>
      </c>
      <c r="S344" s="1">
        <v>1281730.9251718391</v>
      </c>
      <c r="T344" s="1">
        <v>1281730.9251718391</v>
      </c>
      <c r="U344" s="1">
        <v>1281730.9251718391</v>
      </c>
      <c r="V344" s="1">
        <v>1281730.9251718391</v>
      </c>
      <c r="W344" s="4">
        <f t="shared" si="12"/>
        <v>12713458.98486012</v>
      </c>
      <c r="X344" s="4">
        <f t="shared" si="12"/>
        <v>12713458.98486012</v>
      </c>
      <c r="Y344" s="5">
        <f t="shared" si="11"/>
        <v>0.58150000000000013</v>
      </c>
    </row>
    <row r="345" spans="1:25" x14ac:dyDescent="0.25">
      <c r="A345" s="1" t="s">
        <v>85</v>
      </c>
      <c r="B345" s="1" t="s">
        <v>50</v>
      </c>
      <c r="C345" s="1" t="s">
        <v>25</v>
      </c>
      <c r="D345" s="1">
        <v>9805778.4681803267</v>
      </c>
      <c r="E345" s="1">
        <v>647181.37889990164</v>
      </c>
      <c r="F345" s="1">
        <v>647181.37889990164</v>
      </c>
      <c r="G345" s="1">
        <v>808976.72362487705</v>
      </c>
      <c r="H345" s="1">
        <v>808976.72362487705</v>
      </c>
      <c r="I345" s="1">
        <v>808976.72362487705</v>
      </c>
      <c r="J345" s="1">
        <v>808976.72362487705</v>
      </c>
      <c r="K345" s="1">
        <v>808976.72362487705</v>
      </c>
      <c r="L345" s="1">
        <v>808976.72362487705</v>
      </c>
      <c r="M345" s="1">
        <v>492740.36802606133</v>
      </c>
      <c r="N345" s="1">
        <v>492740.36802606133</v>
      </c>
      <c r="O345" s="1">
        <v>410616.97335505113</v>
      </c>
      <c r="P345" s="1">
        <v>410616.97335505113</v>
      </c>
      <c r="Q345" s="1">
        <v>574863.76269707154</v>
      </c>
      <c r="R345" s="1">
        <v>574863.76269707154</v>
      </c>
      <c r="S345" s="1">
        <v>574863.76269707154</v>
      </c>
      <c r="T345" s="1">
        <v>574863.76269707154</v>
      </c>
      <c r="U345" s="1">
        <v>574863.76269707154</v>
      </c>
      <c r="V345" s="1">
        <v>574863.76269707154</v>
      </c>
      <c r="W345" s="4">
        <f t="shared" si="12"/>
        <v>5702060.1792468596</v>
      </c>
      <c r="X345" s="4">
        <f t="shared" si="12"/>
        <v>5702060.1792468596</v>
      </c>
      <c r="Y345" s="5">
        <f t="shared" si="11"/>
        <v>0.58150000000000002</v>
      </c>
    </row>
    <row r="346" spans="1:25" x14ac:dyDescent="0.25">
      <c r="A346" s="1" t="s">
        <v>92</v>
      </c>
      <c r="B346" s="1" t="s">
        <v>59</v>
      </c>
      <c r="C346" s="1" t="s">
        <v>26</v>
      </c>
      <c r="D346" s="1">
        <v>47530768.930639215</v>
      </c>
      <c r="E346" s="1">
        <v>4326380.7408465473</v>
      </c>
      <c r="F346" s="1">
        <v>4326380.7408465473</v>
      </c>
      <c r="G346" s="1">
        <v>5407975.9260581834</v>
      </c>
      <c r="H346" s="1">
        <v>5407975.9260581834</v>
      </c>
      <c r="I346" s="1">
        <v>5407975.9260581834</v>
      </c>
      <c r="J346" s="1">
        <v>5407975.9260581834</v>
      </c>
      <c r="K346" s="1">
        <v>5407975.9260581834</v>
      </c>
      <c r="L346" s="1">
        <v>5407975.9260581834</v>
      </c>
      <c r="M346" s="1">
        <v>3237358.1533008106</v>
      </c>
      <c r="N346" s="1">
        <v>3237358.1533008106</v>
      </c>
      <c r="O346" s="1">
        <v>3237358.1533008106</v>
      </c>
      <c r="P346" s="1">
        <v>3237358.1533008106</v>
      </c>
      <c r="Q346" s="1">
        <v>3237358.1533008106</v>
      </c>
      <c r="R346" s="1">
        <v>3237358.1533008106</v>
      </c>
      <c r="S346" s="1">
        <v>3237358.1533008106</v>
      </c>
      <c r="T346" s="1">
        <v>3237358.1533008106</v>
      </c>
      <c r="U346" s="1">
        <v>3237358.1533008106</v>
      </c>
      <c r="V346" s="1">
        <v>3237358.1533008106</v>
      </c>
      <c r="W346" s="4">
        <f t="shared" si="12"/>
        <v>36737099.285525151</v>
      </c>
      <c r="X346" s="4">
        <f t="shared" si="12"/>
        <v>36737099.285525151</v>
      </c>
      <c r="Y346" s="5">
        <f t="shared" si="11"/>
        <v>0.77291194971272037</v>
      </c>
    </row>
    <row r="347" spans="1:25" x14ac:dyDescent="0.25">
      <c r="A347" s="1" t="s">
        <v>92</v>
      </c>
      <c r="B347" s="1" t="s">
        <v>59</v>
      </c>
      <c r="C347" s="1" t="s">
        <v>26</v>
      </c>
      <c r="D347" s="1">
        <v>18020454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9010227</v>
      </c>
      <c r="N347" s="1">
        <v>9010227</v>
      </c>
      <c r="O347" s="1">
        <v>9010227</v>
      </c>
      <c r="P347" s="1">
        <v>9010227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4">
        <f t="shared" si="12"/>
        <v>18020454</v>
      </c>
      <c r="X347" s="4">
        <f t="shared" si="12"/>
        <v>18020454</v>
      </c>
      <c r="Y347" s="5">
        <f t="shared" si="11"/>
        <v>1</v>
      </c>
    </row>
    <row r="348" spans="1:25" x14ac:dyDescent="0.25">
      <c r="A348" s="1" t="s">
        <v>92</v>
      </c>
      <c r="B348" s="1" t="s">
        <v>33</v>
      </c>
      <c r="C348" s="1" t="s">
        <v>34</v>
      </c>
      <c r="D348" s="1">
        <v>84000000</v>
      </c>
      <c r="E348" s="1">
        <v>0</v>
      </c>
      <c r="F348" s="1">
        <v>0</v>
      </c>
      <c r="G348" s="1">
        <v>16800000</v>
      </c>
      <c r="H348" s="1">
        <v>16800000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25200000</v>
      </c>
      <c r="P348" s="1">
        <v>25200000</v>
      </c>
      <c r="Q348" s="1">
        <v>0</v>
      </c>
      <c r="R348" s="1">
        <v>0</v>
      </c>
      <c r="S348" s="1">
        <v>25200000</v>
      </c>
      <c r="T348" s="1">
        <v>25200000</v>
      </c>
      <c r="U348" s="1">
        <v>16800000</v>
      </c>
      <c r="V348" s="1">
        <v>16800000</v>
      </c>
      <c r="W348" s="4">
        <f t="shared" si="12"/>
        <v>84000000</v>
      </c>
      <c r="X348" s="4">
        <f t="shared" si="12"/>
        <v>84000000</v>
      </c>
      <c r="Y348" s="5">
        <f t="shared" si="11"/>
        <v>1</v>
      </c>
    </row>
    <row r="349" spans="1:25" x14ac:dyDescent="0.25">
      <c r="A349" s="1" t="s">
        <v>92</v>
      </c>
      <c r="B349" s="1" t="s">
        <v>35</v>
      </c>
      <c r="C349" s="1" t="s">
        <v>34</v>
      </c>
      <c r="D349" s="1">
        <v>209999999.99999997</v>
      </c>
      <c r="E349" s="1">
        <v>0</v>
      </c>
      <c r="F349" s="1">
        <v>0</v>
      </c>
      <c r="G349" s="1">
        <v>57750000</v>
      </c>
      <c r="H349" s="1">
        <v>57750000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50749999.999999993</v>
      </c>
      <c r="P349" s="1">
        <v>50749999.999999993</v>
      </c>
      <c r="Q349" s="1">
        <v>0</v>
      </c>
      <c r="R349" s="1">
        <v>0</v>
      </c>
      <c r="S349" s="1">
        <v>50749999.999999993</v>
      </c>
      <c r="T349" s="1">
        <v>50749999.999999993</v>
      </c>
      <c r="U349" s="1">
        <v>50749999.999999993</v>
      </c>
      <c r="V349" s="1">
        <v>50749999.999999993</v>
      </c>
      <c r="W349" s="4">
        <f t="shared" si="12"/>
        <v>209999999.99999997</v>
      </c>
      <c r="X349" s="4">
        <f t="shared" si="12"/>
        <v>209999999.99999997</v>
      </c>
      <c r="Y349" s="5">
        <f t="shared" si="11"/>
        <v>1</v>
      </c>
    </row>
    <row r="350" spans="1:25" x14ac:dyDescent="0.25">
      <c r="A350" s="1" t="s">
        <v>92</v>
      </c>
      <c r="B350" s="1" t="s">
        <v>38</v>
      </c>
      <c r="C350" s="1" t="s">
        <v>39</v>
      </c>
      <c r="D350" s="1">
        <v>9657134.6473268196</v>
      </c>
      <c r="E350" s="1">
        <v>637370.88672357018</v>
      </c>
      <c r="F350" s="1">
        <v>637370.88672357018</v>
      </c>
      <c r="G350" s="1">
        <v>796713.60840446269</v>
      </c>
      <c r="H350" s="1">
        <v>796713.60840446269</v>
      </c>
      <c r="I350" s="1">
        <v>796713.60840446269</v>
      </c>
      <c r="J350" s="1">
        <v>796713.60840446269</v>
      </c>
      <c r="K350" s="1">
        <v>796713.60840446269</v>
      </c>
      <c r="L350" s="1">
        <v>796713.60840446269</v>
      </c>
      <c r="M350" s="1">
        <v>485271.01602817251</v>
      </c>
      <c r="N350" s="1">
        <v>485271.01602817251</v>
      </c>
      <c r="O350" s="1">
        <v>404392.51335681044</v>
      </c>
      <c r="P350" s="1">
        <v>404392.51335681044</v>
      </c>
      <c r="Q350" s="1">
        <v>566149.51869953459</v>
      </c>
      <c r="R350" s="1">
        <v>566149.51869953459</v>
      </c>
      <c r="S350" s="1">
        <v>566149.51869953459</v>
      </c>
      <c r="T350" s="1">
        <v>566149.51869953459</v>
      </c>
      <c r="U350" s="1">
        <v>566149.51869953459</v>
      </c>
      <c r="V350" s="1">
        <v>566149.51869953459</v>
      </c>
      <c r="W350" s="4">
        <f t="shared" si="12"/>
        <v>5615623.7974205445</v>
      </c>
      <c r="X350" s="4">
        <f t="shared" si="12"/>
        <v>5615623.7974205445</v>
      </c>
      <c r="Y350" s="5">
        <f t="shared" si="11"/>
        <v>0.58149999999999991</v>
      </c>
    </row>
    <row r="351" spans="1:25" x14ac:dyDescent="0.25">
      <c r="A351" s="1" t="s">
        <v>92</v>
      </c>
      <c r="B351" s="1" t="s">
        <v>61</v>
      </c>
      <c r="C351" s="1" t="s">
        <v>34</v>
      </c>
      <c r="D351" s="1">
        <v>134235862</v>
      </c>
      <c r="E351" s="1">
        <v>0</v>
      </c>
      <c r="F351" s="1">
        <v>0</v>
      </c>
      <c r="G351" s="1">
        <v>10738868.95877682</v>
      </c>
      <c r="H351" s="1">
        <v>10738868.95877682</v>
      </c>
      <c r="I351" s="1">
        <v>0</v>
      </c>
      <c r="J351" s="1">
        <v>0</v>
      </c>
      <c r="K351" s="1">
        <v>0</v>
      </c>
      <c r="L351" s="1">
        <v>0</v>
      </c>
      <c r="M351" s="1">
        <v>30874248.260305796</v>
      </c>
      <c r="N351" s="1">
        <v>30874248.260305796</v>
      </c>
      <c r="O351" s="1">
        <v>0</v>
      </c>
      <c r="P351" s="1">
        <v>0</v>
      </c>
      <c r="Q351" s="1">
        <v>0</v>
      </c>
      <c r="R351" s="1">
        <v>0</v>
      </c>
      <c r="S351" s="1">
        <v>46311372.390458696</v>
      </c>
      <c r="T351" s="1">
        <v>46311372.390458696</v>
      </c>
      <c r="U351" s="1">
        <v>0</v>
      </c>
      <c r="V351" s="1">
        <v>0</v>
      </c>
      <c r="W351" s="4">
        <f t="shared" si="12"/>
        <v>87924489.609541312</v>
      </c>
      <c r="X351" s="4">
        <f t="shared" si="12"/>
        <v>87924489.609541312</v>
      </c>
      <c r="Y351" s="5">
        <f t="shared" si="11"/>
        <v>0.65499999999658298</v>
      </c>
    </row>
    <row r="352" spans="1:25" x14ac:dyDescent="0.25">
      <c r="A352" s="1" t="s">
        <v>92</v>
      </c>
      <c r="B352" s="1" t="s">
        <v>62</v>
      </c>
      <c r="C352" s="1" t="s">
        <v>63</v>
      </c>
      <c r="D352" s="1">
        <v>43142857</v>
      </c>
      <c r="E352" s="1">
        <v>15399999.999120001</v>
      </c>
      <c r="F352" s="1">
        <v>15399999.999120001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1791964.2857967855</v>
      </c>
      <c r="N352" s="1">
        <v>1791964.2857967855</v>
      </c>
      <c r="O352" s="1">
        <v>1493303.5714973214</v>
      </c>
      <c r="P352" s="1">
        <v>1493303.5714973214</v>
      </c>
      <c r="Q352" s="1">
        <v>2090625.0000962499</v>
      </c>
      <c r="R352" s="1">
        <v>2090625.0000962499</v>
      </c>
      <c r="S352" s="1">
        <v>2090625.0000962499</v>
      </c>
      <c r="T352" s="1">
        <v>2090625.0000962499</v>
      </c>
      <c r="U352" s="1">
        <v>2090625.0000962499</v>
      </c>
      <c r="V352" s="1">
        <v>2090625.0000962499</v>
      </c>
      <c r="W352" s="4">
        <f t="shared" si="12"/>
        <v>24957142.856702857</v>
      </c>
      <c r="X352" s="4">
        <f t="shared" si="12"/>
        <v>24957142.856702857</v>
      </c>
      <c r="Y352" s="5">
        <f t="shared" si="11"/>
        <v>0.5784768230973405</v>
      </c>
    </row>
    <row r="353" spans="1:25" x14ac:dyDescent="0.25">
      <c r="A353" s="1" t="s">
        <v>92</v>
      </c>
      <c r="B353" s="1" t="s">
        <v>40</v>
      </c>
      <c r="C353" s="1" t="s">
        <v>27</v>
      </c>
      <c r="D353" s="1">
        <v>87139197.00000003</v>
      </c>
      <c r="E353" s="1">
        <v>9296820</v>
      </c>
      <c r="F353" s="1">
        <v>9296820</v>
      </c>
      <c r="G353" s="1">
        <v>8208797</v>
      </c>
      <c r="H353" s="1">
        <v>8208797</v>
      </c>
      <c r="I353" s="1">
        <v>7476458.450000003</v>
      </c>
      <c r="J353" s="1">
        <v>7476458.450000003</v>
      </c>
      <c r="K353" s="1">
        <v>8311960.200000003</v>
      </c>
      <c r="L353" s="1">
        <v>8311960.200000003</v>
      </c>
      <c r="M353" s="1">
        <v>0</v>
      </c>
      <c r="N353" s="1">
        <v>0</v>
      </c>
      <c r="O353" s="1">
        <v>15135679.650000002</v>
      </c>
      <c r="P353" s="1">
        <v>15135679.650000002</v>
      </c>
      <c r="Q353" s="1">
        <v>8603683.1999999993</v>
      </c>
      <c r="R353" s="1">
        <v>8603683.1999999993</v>
      </c>
      <c r="S353" s="1">
        <v>7832344.4500000002</v>
      </c>
      <c r="T353" s="1">
        <v>7832344.4500000002</v>
      </c>
      <c r="U353" s="1">
        <v>6186458.4500000002</v>
      </c>
      <c r="V353" s="1">
        <v>6186458.4500000002</v>
      </c>
      <c r="W353" s="4">
        <f t="shared" si="12"/>
        <v>71052201.400000006</v>
      </c>
      <c r="X353" s="4">
        <f t="shared" si="12"/>
        <v>71052201.400000006</v>
      </c>
      <c r="Y353" s="5">
        <f t="shared" si="11"/>
        <v>0.81538737842626641</v>
      </c>
    </row>
    <row r="354" spans="1:25" x14ac:dyDescent="0.25">
      <c r="A354" s="1" t="s">
        <v>92</v>
      </c>
      <c r="B354" s="1" t="s">
        <v>40</v>
      </c>
      <c r="C354" s="1" t="s">
        <v>27</v>
      </c>
      <c r="D354" s="1">
        <v>169963427</v>
      </c>
      <c r="E354" s="1">
        <v>0</v>
      </c>
      <c r="F354" s="1">
        <v>0</v>
      </c>
      <c r="G354" s="1">
        <v>21097966.62946336</v>
      </c>
      <c r="H354" s="1">
        <v>21097966.62946336</v>
      </c>
      <c r="I354" s="1">
        <v>13253606</v>
      </c>
      <c r="J354" s="1">
        <v>13253606</v>
      </c>
      <c r="K354" s="1">
        <v>0</v>
      </c>
      <c r="L354" s="1">
        <v>0</v>
      </c>
      <c r="M354" s="1">
        <v>59439746.5</v>
      </c>
      <c r="N354" s="1">
        <v>59439746.5</v>
      </c>
      <c r="O354" s="1">
        <v>16732361.37053664</v>
      </c>
      <c r="P354" s="1">
        <v>16732361.37053664</v>
      </c>
      <c r="Q354" s="1">
        <v>59439746.5</v>
      </c>
      <c r="R354" s="1">
        <v>59439746.5</v>
      </c>
      <c r="S354" s="1">
        <v>0</v>
      </c>
      <c r="T354" s="1">
        <v>0</v>
      </c>
      <c r="U354" s="1">
        <v>0</v>
      </c>
      <c r="V354" s="1">
        <v>0</v>
      </c>
      <c r="W354" s="4">
        <f t="shared" si="12"/>
        <v>169963427</v>
      </c>
      <c r="X354" s="4">
        <f t="shared" si="12"/>
        <v>169963427</v>
      </c>
      <c r="Y354" s="5">
        <f t="shared" si="11"/>
        <v>1</v>
      </c>
    </row>
    <row r="355" spans="1:25" x14ac:dyDescent="0.25">
      <c r="A355" s="1" t="s">
        <v>92</v>
      </c>
      <c r="B355" s="1" t="s">
        <v>40</v>
      </c>
      <c r="C355" s="1" t="s">
        <v>27</v>
      </c>
      <c r="D355" s="1">
        <v>51083934</v>
      </c>
      <c r="E355" s="1">
        <v>0</v>
      </c>
      <c r="F355" s="1">
        <v>0</v>
      </c>
      <c r="G355" s="1">
        <v>0</v>
      </c>
      <c r="H355" s="1">
        <v>0</v>
      </c>
      <c r="I355" s="1">
        <v>17027978</v>
      </c>
      <c r="J355" s="1">
        <v>17027978</v>
      </c>
      <c r="K355" s="1">
        <v>17027978</v>
      </c>
      <c r="L355" s="1">
        <v>17027978</v>
      </c>
      <c r="M355" s="1">
        <v>8513989</v>
      </c>
      <c r="N355" s="1">
        <v>8513989</v>
      </c>
      <c r="O355" s="1">
        <v>0</v>
      </c>
      <c r="P355" s="1">
        <v>0</v>
      </c>
      <c r="Q355" s="1">
        <v>8513989</v>
      </c>
      <c r="R355" s="1">
        <v>8513989</v>
      </c>
      <c r="S355" s="1">
        <v>0</v>
      </c>
      <c r="T355" s="1">
        <v>0</v>
      </c>
      <c r="U355" s="1">
        <v>0</v>
      </c>
      <c r="V355" s="1">
        <v>0</v>
      </c>
      <c r="W355" s="4">
        <f t="shared" si="12"/>
        <v>51083934</v>
      </c>
      <c r="X355" s="4">
        <f t="shared" si="12"/>
        <v>51083934</v>
      </c>
      <c r="Y355" s="5">
        <f t="shared" si="11"/>
        <v>1</v>
      </c>
    </row>
    <row r="356" spans="1:25" x14ac:dyDescent="0.25">
      <c r="A356" s="1" t="s">
        <v>92</v>
      </c>
      <c r="B356" s="1" t="s">
        <v>43</v>
      </c>
      <c r="C356" s="1" t="s">
        <v>31</v>
      </c>
      <c r="D356" s="1">
        <v>4405547.6377896983</v>
      </c>
      <c r="E356" s="1">
        <v>255911.245246151</v>
      </c>
      <c r="F356" s="1">
        <v>255911.245246151</v>
      </c>
      <c r="G356" s="1">
        <v>319889.05655768875</v>
      </c>
      <c r="H356" s="1">
        <v>319889.05655768875</v>
      </c>
      <c r="I356" s="1">
        <v>319889.05655768875</v>
      </c>
      <c r="J356" s="1">
        <v>319889.05655768875</v>
      </c>
      <c r="K356" s="1">
        <v>319889.05655768875</v>
      </c>
      <c r="L356" s="1">
        <v>319889.05655768875</v>
      </c>
      <c r="M356" s="1">
        <v>237861.36900353979</v>
      </c>
      <c r="N356" s="1">
        <v>237861.36900353979</v>
      </c>
      <c r="O356" s="1">
        <v>198217.80750294984</v>
      </c>
      <c r="P356" s="1">
        <v>198217.80750294984</v>
      </c>
      <c r="Q356" s="1">
        <v>245659.72810956271</v>
      </c>
      <c r="R356" s="1">
        <v>245659.72810956271</v>
      </c>
      <c r="S356" s="1">
        <v>277504.93050412973</v>
      </c>
      <c r="T356" s="1">
        <v>277504.93050412973</v>
      </c>
      <c r="U356" s="1">
        <v>277504.93050412973</v>
      </c>
      <c r="V356" s="1">
        <v>277504.93050412973</v>
      </c>
      <c r="W356" s="4">
        <f t="shared" si="12"/>
        <v>2452327.1805435293</v>
      </c>
      <c r="X356" s="4">
        <f t="shared" si="12"/>
        <v>2452327.1805435293</v>
      </c>
      <c r="Y356" s="5">
        <f t="shared" si="11"/>
        <v>0.5566452532502596</v>
      </c>
    </row>
    <row r="357" spans="1:25" x14ac:dyDescent="0.25">
      <c r="A357" s="1" t="s">
        <v>92</v>
      </c>
      <c r="B357" s="1" t="s">
        <v>64</v>
      </c>
      <c r="C357" s="1" t="s">
        <v>23</v>
      </c>
      <c r="D357" s="1">
        <v>4116498.2252667127</v>
      </c>
      <c r="E357" s="1">
        <v>271688.88286760304</v>
      </c>
      <c r="F357" s="1">
        <v>271688.88286760304</v>
      </c>
      <c r="G357" s="1">
        <v>339611.10358450381</v>
      </c>
      <c r="H357" s="1">
        <v>339611.10358450381</v>
      </c>
      <c r="I357" s="1">
        <v>339611.10358450381</v>
      </c>
      <c r="J357" s="1">
        <v>339611.10358450381</v>
      </c>
      <c r="K357" s="1">
        <v>339611.10358450381</v>
      </c>
      <c r="L357" s="1">
        <v>339611.10358450381</v>
      </c>
      <c r="M357" s="1">
        <v>206854.03581965232</v>
      </c>
      <c r="N357" s="1">
        <v>206854.03581965232</v>
      </c>
      <c r="O357" s="1">
        <v>172378.36318304361</v>
      </c>
      <c r="P357" s="1">
        <v>172378.36318304361</v>
      </c>
      <c r="Q357" s="1">
        <v>241329.70845626103</v>
      </c>
      <c r="R357" s="1">
        <v>241329.70845626103</v>
      </c>
      <c r="S357" s="1">
        <v>241329.70845626103</v>
      </c>
      <c r="T357" s="1">
        <v>241329.70845626103</v>
      </c>
      <c r="U357" s="1">
        <v>241329.70845626103</v>
      </c>
      <c r="V357" s="1">
        <v>241329.70845626103</v>
      </c>
      <c r="W357" s="4">
        <f t="shared" si="12"/>
        <v>2393743.7179925935</v>
      </c>
      <c r="X357" s="4">
        <f t="shared" si="12"/>
        <v>2393743.7179925935</v>
      </c>
      <c r="Y357" s="5">
        <f t="shared" si="11"/>
        <v>0.58150000000000002</v>
      </c>
    </row>
    <row r="358" spans="1:25" x14ac:dyDescent="0.25">
      <c r="A358" s="1" t="s">
        <v>92</v>
      </c>
      <c r="B358" s="1" t="s">
        <v>65</v>
      </c>
      <c r="C358" s="1" t="s">
        <v>31</v>
      </c>
      <c r="D358" s="1">
        <v>6551899.9238358922</v>
      </c>
      <c r="E358" s="1">
        <v>432425.39497316891</v>
      </c>
      <c r="F358" s="1">
        <v>432425.39497316891</v>
      </c>
      <c r="G358" s="1">
        <v>540531.74371646112</v>
      </c>
      <c r="H358" s="1">
        <v>540531.74371646112</v>
      </c>
      <c r="I358" s="1">
        <v>540531.74371646112</v>
      </c>
      <c r="J358" s="1">
        <v>540531.74371646112</v>
      </c>
      <c r="K358" s="1">
        <v>540531.74371646112</v>
      </c>
      <c r="L358" s="1">
        <v>540531.74371646112</v>
      </c>
      <c r="M358" s="1">
        <v>329232.97117275355</v>
      </c>
      <c r="N358" s="1">
        <v>329232.97117275355</v>
      </c>
      <c r="O358" s="1">
        <v>274360.80931062798</v>
      </c>
      <c r="P358" s="1">
        <v>274360.80931062798</v>
      </c>
      <c r="Q358" s="1">
        <v>384105.13303487917</v>
      </c>
      <c r="R358" s="1">
        <v>384105.13303487917</v>
      </c>
      <c r="S358" s="1">
        <v>384105.13303487917</v>
      </c>
      <c r="T358" s="1">
        <v>384105.13303487917</v>
      </c>
      <c r="U358" s="1">
        <v>384105.13303487917</v>
      </c>
      <c r="V358" s="1">
        <v>384105.13303487917</v>
      </c>
      <c r="W358" s="4">
        <f t="shared" si="12"/>
        <v>3809929.8057105718</v>
      </c>
      <c r="X358" s="4">
        <f t="shared" si="12"/>
        <v>3809929.8057105718</v>
      </c>
      <c r="Y358" s="5">
        <f t="shared" si="11"/>
        <v>0.58150000000000013</v>
      </c>
    </row>
    <row r="359" spans="1:25" x14ac:dyDescent="0.25">
      <c r="A359" s="1" t="s">
        <v>92</v>
      </c>
      <c r="B359" s="1" t="s">
        <v>44</v>
      </c>
      <c r="C359" s="1" t="s">
        <v>45</v>
      </c>
      <c r="D359" s="1">
        <v>9657134.6473268196</v>
      </c>
      <c r="E359" s="1">
        <v>637370.88672357018</v>
      </c>
      <c r="F359" s="1">
        <v>637370.88672357018</v>
      </c>
      <c r="G359" s="1">
        <v>796713.60840446269</v>
      </c>
      <c r="H359" s="1">
        <v>796713.60840446269</v>
      </c>
      <c r="I359" s="1">
        <v>796713.60840446269</v>
      </c>
      <c r="J359" s="1">
        <v>796713.60840446269</v>
      </c>
      <c r="K359" s="1">
        <v>796713.60840446269</v>
      </c>
      <c r="L359" s="1">
        <v>796713.60840446269</v>
      </c>
      <c r="M359" s="1">
        <v>485271.01602817251</v>
      </c>
      <c r="N359" s="1">
        <v>485271.01602817251</v>
      </c>
      <c r="O359" s="1">
        <v>404392.51335681044</v>
      </c>
      <c r="P359" s="1">
        <v>404392.51335681044</v>
      </c>
      <c r="Q359" s="1">
        <v>566149.51869953459</v>
      </c>
      <c r="R359" s="1">
        <v>566149.51869953459</v>
      </c>
      <c r="S359" s="1">
        <v>566149.51869953459</v>
      </c>
      <c r="T359" s="1">
        <v>566149.51869953459</v>
      </c>
      <c r="U359" s="1">
        <v>566149.51869953459</v>
      </c>
      <c r="V359" s="1">
        <v>566149.51869953459</v>
      </c>
      <c r="W359" s="4">
        <f t="shared" si="12"/>
        <v>5615623.7974205445</v>
      </c>
      <c r="X359" s="4">
        <f t="shared" si="12"/>
        <v>5615623.7974205445</v>
      </c>
      <c r="Y359" s="5">
        <f t="shared" si="11"/>
        <v>0.58149999999999991</v>
      </c>
    </row>
    <row r="360" spans="1:25" x14ac:dyDescent="0.25">
      <c r="A360" s="1" t="s">
        <v>92</v>
      </c>
      <c r="B360" s="1" t="s">
        <v>46</v>
      </c>
      <c r="C360" s="1" t="s">
        <v>22</v>
      </c>
      <c r="D360" s="1">
        <v>109487320.28773442</v>
      </c>
      <c r="E360" s="1">
        <v>7232932.0492099393</v>
      </c>
      <c r="F360" s="1">
        <v>7232932.0492099393</v>
      </c>
      <c r="G360" s="1">
        <v>9041165.0615124237</v>
      </c>
      <c r="H360" s="1">
        <v>9041165.0615124237</v>
      </c>
      <c r="I360" s="1">
        <v>9041165.0615124237</v>
      </c>
      <c r="J360" s="1">
        <v>9041165.0615124237</v>
      </c>
      <c r="K360" s="1">
        <v>9041165.0615124237</v>
      </c>
      <c r="L360" s="1">
        <v>9041165.0615124237</v>
      </c>
      <c r="M360" s="1">
        <v>5673033.8165891031</v>
      </c>
      <c r="N360" s="1">
        <v>5673033.8165891031</v>
      </c>
      <c r="O360" s="1">
        <v>4613251.5030578459</v>
      </c>
      <c r="P360" s="1">
        <v>4613251.5030578459</v>
      </c>
      <c r="Q360" s="1">
        <v>6386760.3249844145</v>
      </c>
      <c r="R360" s="1">
        <v>6386760.3249844145</v>
      </c>
      <c r="S360" s="1">
        <v>6386760.3249844145</v>
      </c>
      <c r="T360" s="1">
        <v>6386760.3249844145</v>
      </c>
      <c r="U360" s="1">
        <v>6386760.3249844145</v>
      </c>
      <c r="V360" s="1">
        <v>6386760.3249844145</v>
      </c>
      <c r="W360" s="4">
        <f t="shared" si="12"/>
        <v>63802993.528347403</v>
      </c>
      <c r="X360" s="4">
        <f t="shared" si="12"/>
        <v>63802993.528347403</v>
      </c>
      <c r="Y360" s="5">
        <f t="shared" si="11"/>
        <v>0.58274321958626918</v>
      </c>
    </row>
    <row r="361" spans="1:25" x14ac:dyDescent="0.25">
      <c r="A361" s="1" t="s">
        <v>92</v>
      </c>
      <c r="B361" s="1" t="s">
        <v>66</v>
      </c>
      <c r="C361" s="1" t="s">
        <v>24</v>
      </c>
      <c r="D361" s="1">
        <v>278817952.00531834</v>
      </c>
      <c r="E361" s="1">
        <v>23002481.040438764</v>
      </c>
      <c r="F361" s="1">
        <v>23002481.040438764</v>
      </c>
      <c r="G361" s="1">
        <v>23002481.040438764</v>
      </c>
      <c r="H361" s="1">
        <v>23002481.040438764</v>
      </c>
      <c r="I361" s="1">
        <v>23002481.040438764</v>
      </c>
      <c r="J361" s="1">
        <v>23002481.040438764</v>
      </c>
      <c r="K361" s="1">
        <v>23002481.040438764</v>
      </c>
      <c r="L361" s="1">
        <v>23002481.040438764</v>
      </c>
      <c r="M361" s="1">
        <v>25676025.838244945</v>
      </c>
      <c r="N361" s="1">
        <v>25676025.838244945</v>
      </c>
      <c r="O361" s="1">
        <v>23779150</v>
      </c>
      <c r="P361" s="1">
        <v>23779150</v>
      </c>
      <c r="Q361" s="1">
        <v>24419150</v>
      </c>
      <c r="R361" s="1">
        <v>24419150</v>
      </c>
      <c r="S361" s="1">
        <v>23129150</v>
      </c>
      <c r="T361" s="1">
        <v>23129150</v>
      </c>
      <c r="U361" s="1">
        <v>22877102</v>
      </c>
      <c r="V361" s="1">
        <v>22877102</v>
      </c>
      <c r="W361" s="4">
        <f t="shared" si="12"/>
        <v>211890502.00000003</v>
      </c>
      <c r="X361" s="4">
        <f t="shared" si="12"/>
        <v>211890502.00000003</v>
      </c>
      <c r="Y361" s="5">
        <f t="shared" si="11"/>
        <v>0.75996004014819785</v>
      </c>
    </row>
    <row r="362" spans="1:25" x14ac:dyDescent="0.25">
      <c r="A362" s="1" t="s">
        <v>92</v>
      </c>
      <c r="B362" s="1" t="s">
        <v>67</v>
      </c>
      <c r="C362" s="1" t="s">
        <v>68</v>
      </c>
      <c r="D362" s="1">
        <v>5916750.6585043678</v>
      </c>
      <c r="E362" s="1">
        <v>390505.54346128833</v>
      </c>
      <c r="F362" s="1">
        <v>390505.54346128833</v>
      </c>
      <c r="G362" s="1">
        <v>488131.92932661035</v>
      </c>
      <c r="H362" s="1">
        <v>488131.92932661035</v>
      </c>
      <c r="I362" s="1">
        <v>488131.92932661035</v>
      </c>
      <c r="J362" s="1">
        <v>488131.92932661035</v>
      </c>
      <c r="K362" s="1">
        <v>488131.92932661035</v>
      </c>
      <c r="L362" s="1">
        <v>488131.92932661035</v>
      </c>
      <c r="M362" s="1">
        <v>307671.03424222715</v>
      </c>
      <c r="N362" s="1">
        <v>307671.03424222715</v>
      </c>
      <c r="O362" s="1">
        <v>246531.277437682</v>
      </c>
      <c r="P362" s="1">
        <v>246531.277437682</v>
      </c>
      <c r="Q362" s="1">
        <v>345143.78841275477</v>
      </c>
      <c r="R362" s="1">
        <v>345143.78841275477</v>
      </c>
      <c r="S362" s="1">
        <v>345143.78841275477</v>
      </c>
      <c r="T362" s="1">
        <v>345143.78841275477</v>
      </c>
      <c r="U362" s="1">
        <v>345143.78841275477</v>
      </c>
      <c r="V362" s="1">
        <v>345143.78841275477</v>
      </c>
      <c r="W362" s="4">
        <f t="shared" si="12"/>
        <v>3444535.0083592925</v>
      </c>
      <c r="X362" s="4">
        <f t="shared" si="12"/>
        <v>3444535.0083592925</v>
      </c>
      <c r="Y362" s="5">
        <f t="shared" si="11"/>
        <v>0.58216666666666661</v>
      </c>
    </row>
    <row r="363" spans="1:25" x14ac:dyDescent="0.25">
      <c r="A363" s="1" t="s">
        <v>92</v>
      </c>
      <c r="B363" s="1" t="s">
        <v>47</v>
      </c>
      <c r="C363" s="1" t="s">
        <v>34</v>
      </c>
      <c r="D363" s="1">
        <v>11415625.887323899</v>
      </c>
      <c r="E363" s="1">
        <v>0</v>
      </c>
      <c r="F363" s="1">
        <v>0</v>
      </c>
      <c r="G363" s="1">
        <v>751704.92883579014</v>
      </c>
      <c r="H363" s="1">
        <v>751704.92883579014</v>
      </c>
      <c r="I363" s="1">
        <v>0</v>
      </c>
      <c r="J363" s="1">
        <v>0</v>
      </c>
      <c r="K363" s="1">
        <v>0</v>
      </c>
      <c r="L363" s="1">
        <v>0</v>
      </c>
      <c r="M363" s="1">
        <v>5331960.4792440543</v>
      </c>
      <c r="N363" s="1">
        <v>5331960.4792440543</v>
      </c>
      <c r="O363" s="1">
        <v>0</v>
      </c>
      <c r="P363" s="1">
        <v>0</v>
      </c>
      <c r="Q363" s="1">
        <v>0</v>
      </c>
      <c r="R363" s="1">
        <v>0</v>
      </c>
      <c r="S363" s="1">
        <v>5331960.4792440543</v>
      </c>
      <c r="T363" s="1">
        <v>5331960.4792440543</v>
      </c>
      <c r="U363" s="1">
        <v>0</v>
      </c>
      <c r="V363" s="1">
        <v>0</v>
      </c>
      <c r="W363" s="4">
        <f t="shared" si="12"/>
        <v>11415625.887323899</v>
      </c>
      <c r="X363" s="4">
        <f t="shared" si="12"/>
        <v>11415625.887323899</v>
      </c>
      <c r="Y363" s="5">
        <f t="shared" si="11"/>
        <v>1</v>
      </c>
    </row>
    <row r="364" spans="1:25" x14ac:dyDescent="0.25">
      <c r="A364" s="1" t="s">
        <v>92</v>
      </c>
      <c r="B364" s="1" t="s">
        <v>69</v>
      </c>
      <c r="C364" s="1" t="s">
        <v>28</v>
      </c>
      <c r="D364" s="1">
        <v>8820616.5220532715</v>
      </c>
      <c r="E364" s="1">
        <v>582160.69045551599</v>
      </c>
      <c r="F364" s="1">
        <v>582160.69045551599</v>
      </c>
      <c r="G364" s="1">
        <v>727700.86306939495</v>
      </c>
      <c r="H364" s="1">
        <v>727700.86306939495</v>
      </c>
      <c r="I364" s="1">
        <v>727700.86306939495</v>
      </c>
      <c r="J364" s="1">
        <v>727700.86306939495</v>
      </c>
      <c r="K364" s="1">
        <v>727700.86306939495</v>
      </c>
      <c r="L364" s="1">
        <v>727700.86306939495</v>
      </c>
      <c r="M364" s="1">
        <v>443235.98023317684</v>
      </c>
      <c r="N364" s="1">
        <v>443235.98023317684</v>
      </c>
      <c r="O364" s="1">
        <v>369363.3168609807</v>
      </c>
      <c r="P364" s="1">
        <v>369363.3168609807</v>
      </c>
      <c r="Q364" s="1">
        <v>517108.64360537293</v>
      </c>
      <c r="R364" s="1">
        <v>517108.64360537293</v>
      </c>
      <c r="S364" s="1">
        <v>517108.64360537293</v>
      </c>
      <c r="T364" s="1">
        <v>517108.64360537293</v>
      </c>
      <c r="U364" s="1">
        <v>517108.64360537293</v>
      </c>
      <c r="V364" s="1">
        <v>517108.64360537293</v>
      </c>
      <c r="W364" s="4">
        <f t="shared" si="12"/>
        <v>5129188.5075739771</v>
      </c>
      <c r="X364" s="4">
        <f t="shared" si="12"/>
        <v>5129188.5075739771</v>
      </c>
      <c r="Y364" s="5">
        <f t="shared" si="11"/>
        <v>0.58150000000000002</v>
      </c>
    </row>
    <row r="365" spans="1:25" x14ac:dyDescent="0.25">
      <c r="A365" s="1" t="s">
        <v>92</v>
      </c>
      <c r="B365" s="1" t="s">
        <v>70</v>
      </c>
      <c r="C365" s="1" t="s">
        <v>23</v>
      </c>
      <c r="D365" s="1">
        <v>8268750.0182812503</v>
      </c>
      <c r="E365" s="1">
        <v>545737.50120656262</v>
      </c>
      <c r="F365" s="1">
        <v>545737.50120656262</v>
      </c>
      <c r="G365" s="1">
        <v>682171.87650820322</v>
      </c>
      <c r="H365" s="1">
        <v>682171.87650820322</v>
      </c>
      <c r="I365" s="1">
        <v>682171.87650820322</v>
      </c>
      <c r="J365" s="1">
        <v>682171.87650820322</v>
      </c>
      <c r="K365" s="1">
        <v>682171.87650820322</v>
      </c>
      <c r="L365" s="1">
        <v>682171.87650820322</v>
      </c>
      <c r="M365" s="1">
        <v>415504.68841863284</v>
      </c>
      <c r="N365" s="1">
        <v>415504.68841863284</v>
      </c>
      <c r="O365" s="1">
        <v>346253.90701552737</v>
      </c>
      <c r="P365" s="1">
        <v>346253.90701552737</v>
      </c>
      <c r="Q365" s="1">
        <v>484755.46982173825</v>
      </c>
      <c r="R365" s="1">
        <v>484755.46982173825</v>
      </c>
      <c r="S365" s="1">
        <v>484755.46982173825</v>
      </c>
      <c r="T365" s="1">
        <v>484755.46982173825</v>
      </c>
      <c r="U365" s="1">
        <v>484755.46982173825</v>
      </c>
      <c r="V365" s="1">
        <v>484755.46982173825</v>
      </c>
      <c r="W365" s="4">
        <f t="shared" si="12"/>
        <v>4808278.135630548</v>
      </c>
      <c r="X365" s="4">
        <f t="shared" si="12"/>
        <v>4808278.135630548</v>
      </c>
      <c r="Y365" s="5">
        <f t="shared" si="11"/>
        <v>0.58150000000000013</v>
      </c>
    </row>
    <row r="366" spans="1:25" x14ac:dyDescent="0.25">
      <c r="A366" s="1" t="s">
        <v>92</v>
      </c>
      <c r="B366" s="1" t="s">
        <v>71</v>
      </c>
      <c r="C366" s="1" t="s">
        <v>29</v>
      </c>
      <c r="D366" s="1">
        <v>7205029.771153843</v>
      </c>
      <c r="E366" s="1">
        <v>475531.96489615366</v>
      </c>
      <c r="F366" s="1">
        <v>475531.96489615366</v>
      </c>
      <c r="G366" s="1">
        <v>594414.95612019207</v>
      </c>
      <c r="H366" s="1">
        <v>594414.95612019207</v>
      </c>
      <c r="I366" s="1">
        <v>594414.95612019207</v>
      </c>
      <c r="J366" s="1">
        <v>594414.95612019207</v>
      </c>
      <c r="K366" s="1">
        <v>594414.95612019207</v>
      </c>
      <c r="L366" s="1">
        <v>594414.95612019207</v>
      </c>
      <c r="M366" s="1">
        <v>362052.74600048061</v>
      </c>
      <c r="N366" s="1">
        <v>362052.74600048061</v>
      </c>
      <c r="O366" s="1">
        <v>301710.62166706717</v>
      </c>
      <c r="P366" s="1">
        <v>301710.62166706717</v>
      </c>
      <c r="Q366" s="1">
        <v>422394.87033389404</v>
      </c>
      <c r="R366" s="1">
        <v>422394.87033389404</v>
      </c>
      <c r="S366" s="1">
        <v>422394.87033389404</v>
      </c>
      <c r="T366" s="1">
        <v>422394.87033389404</v>
      </c>
      <c r="U366" s="1">
        <v>422394.87033389404</v>
      </c>
      <c r="V366" s="1">
        <v>422394.87033389404</v>
      </c>
      <c r="W366" s="4">
        <f t="shared" si="12"/>
        <v>4189724.8119259598</v>
      </c>
      <c r="X366" s="4">
        <f t="shared" si="12"/>
        <v>4189724.8119259598</v>
      </c>
      <c r="Y366" s="5">
        <f t="shared" si="11"/>
        <v>0.58150000000000002</v>
      </c>
    </row>
    <row r="367" spans="1:25" x14ac:dyDescent="0.25">
      <c r="A367" s="1" t="s">
        <v>92</v>
      </c>
      <c r="B367" s="1" t="s">
        <v>72</v>
      </c>
      <c r="C367" s="1" t="s">
        <v>73</v>
      </c>
      <c r="D367" s="1">
        <v>8441602.2226682659</v>
      </c>
      <c r="E367" s="1">
        <v>557145.74669610558</v>
      </c>
      <c r="F367" s="1">
        <v>557145.74669610558</v>
      </c>
      <c r="G367" s="1">
        <v>696432.183370132</v>
      </c>
      <c r="H367" s="1">
        <v>696432.183370132</v>
      </c>
      <c r="I367" s="1">
        <v>696432.183370132</v>
      </c>
      <c r="J367" s="1">
        <v>696432.183370132</v>
      </c>
      <c r="K367" s="1">
        <v>696432.183370132</v>
      </c>
      <c r="L367" s="1">
        <v>696432.183370132</v>
      </c>
      <c r="M367" s="1">
        <v>424190.51168908033</v>
      </c>
      <c r="N367" s="1">
        <v>424190.51168908033</v>
      </c>
      <c r="O367" s="1">
        <v>353492.09307423362</v>
      </c>
      <c r="P367" s="1">
        <v>353492.09307423362</v>
      </c>
      <c r="Q367" s="1">
        <v>494888.93030392705</v>
      </c>
      <c r="R367" s="1">
        <v>494888.93030392705</v>
      </c>
      <c r="S367" s="1">
        <v>494888.93030392705</v>
      </c>
      <c r="T367" s="1">
        <v>494888.93030392705</v>
      </c>
      <c r="U367" s="1">
        <v>494888.93030392705</v>
      </c>
      <c r="V367" s="1">
        <v>494888.93030392705</v>
      </c>
      <c r="W367" s="4">
        <f t="shared" si="12"/>
        <v>4908791.692481596</v>
      </c>
      <c r="X367" s="4">
        <f t="shared" si="12"/>
        <v>4908791.692481596</v>
      </c>
      <c r="Y367" s="5">
        <f t="shared" si="11"/>
        <v>0.58149999999999991</v>
      </c>
    </row>
    <row r="368" spans="1:25" x14ac:dyDescent="0.25">
      <c r="A368" s="1" t="s">
        <v>92</v>
      </c>
      <c r="B368" s="1" t="s">
        <v>48</v>
      </c>
      <c r="C368" s="1" t="s">
        <v>49</v>
      </c>
      <c r="D368" s="1">
        <v>6256585.4502259959</v>
      </c>
      <c r="E368" s="1">
        <v>412934.63971491577</v>
      </c>
      <c r="F368" s="1">
        <v>412934.63971491577</v>
      </c>
      <c r="G368" s="1">
        <v>516168.29964364466</v>
      </c>
      <c r="H368" s="1">
        <v>516168.29964364466</v>
      </c>
      <c r="I368" s="1">
        <v>516168.29964364466</v>
      </c>
      <c r="J368" s="1">
        <v>516168.29964364466</v>
      </c>
      <c r="K368" s="1">
        <v>516168.29964364466</v>
      </c>
      <c r="L368" s="1">
        <v>516168.29964364466</v>
      </c>
      <c r="M368" s="1">
        <v>314393.41887385619</v>
      </c>
      <c r="N368" s="1">
        <v>314393.41887385619</v>
      </c>
      <c r="O368" s="1">
        <v>261994.5157282135</v>
      </c>
      <c r="P368" s="1">
        <v>261994.5157282135</v>
      </c>
      <c r="Q368" s="1">
        <v>366792.32201949891</v>
      </c>
      <c r="R368" s="1">
        <v>366792.32201949891</v>
      </c>
      <c r="S368" s="1">
        <v>366792.32201949891</v>
      </c>
      <c r="T368" s="1">
        <v>366792.32201949891</v>
      </c>
      <c r="U368" s="1">
        <v>366792.32201949891</v>
      </c>
      <c r="V368" s="1">
        <v>366792.32201949891</v>
      </c>
      <c r="W368" s="4">
        <f t="shared" si="12"/>
        <v>3638204.4393064161</v>
      </c>
      <c r="X368" s="4">
        <f t="shared" si="12"/>
        <v>3638204.4393064161</v>
      </c>
      <c r="Y368" s="5">
        <f t="shared" si="11"/>
        <v>0.58149999999999991</v>
      </c>
    </row>
    <row r="369" spans="1:25" x14ac:dyDescent="0.25">
      <c r="A369" s="1" t="s">
        <v>92</v>
      </c>
      <c r="B369" s="1" t="s">
        <v>53</v>
      </c>
      <c r="C369" s="1" t="s">
        <v>30</v>
      </c>
      <c r="D369" s="1">
        <v>3286014.9262045384</v>
      </c>
      <c r="E369" s="1">
        <v>216876.98512949955</v>
      </c>
      <c r="F369" s="1">
        <v>216876.98512949955</v>
      </c>
      <c r="G369" s="1">
        <v>271096.23141187441</v>
      </c>
      <c r="H369" s="1">
        <v>271096.23141187441</v>
      </c>
      <c r="I369" s="1">
        <v>271096.23141187441</v>
      </c>
      <c r="J369" s="1">
        <v>271096.23141187441</v>
      </c>
      <c r="K369" s="1">
        <v>271096.23141187441</v>
      </c>
      <c r="L369" s="1">
        <v>271096.23141187441</v>
      </c>
      <c r="M369" s="1">
        <v>165122.25004177805</v>
      </c>
      <c r="N369" s="1">
        <v>165122.25004177805</v>
      </c>
      <c r="O369" s="1">
        <v>137601.87503481505</v>
      </c>
      <c r="P369" s="1">
        <v>137601.87503481505</v>
      </c>
      <c r="Q369" s="1">
        <v>192642.62504874106</v>
      </c>
      <c r="R369" s="1">
        <v>192642.62504874106</v>
      </c>
      <c r="S369" s="1">
        <v>192642.62504874106</v>
      </c>
      <c r="T369" s="1">
        <v>192642.62504874106</v>
      </c>
      <c r="U369" s="1">
        <v>192642.62504874106</v>
      </c>
      <c r="V369" s="1">
        <v>192642.62504874106</v>
      </c>
      <c r="W369" s="4">
        <f t="shared" si="12"/>
        <v>1910817.6795879391</v>
      </c>
      <c r="X369" s="4">
        <f t="shared" si="12"/>
        <v>1910817.6795879391</v>
      </c>
      <c r="Y369" s="5">
        <f t="shared" si="11"/>
        <v>0.58150000000000002</v>
      </c>
    </row>
    <row r="370" spans="1:25" x14ac:dyDescent="0.25">
      <c r="A370" s="1" t="s">
        <v>92</v>
      </c>
      <c r="B370" s="1" t="s">
        <v>74</v>
      </c>
      <c r="C370" s="1" t="s">
        <v>75</v>
      </c>
      <c r="D370" s="1">
        <v>8326840.2335215565</v>
      </c>
      <c r="E370" s="1">
        <v>549571.45541242277</v>
      </c>
      <c r="F370" s="1">
        <v>549571.45541242277</v>
      </c>
      <c r="G370" s="1">
        <v>686964.31926552847</v>
      </c>
      <c r="H370" s="1">
        <v>686964.31926552847</v>
      </c>
      <c r="I370" s="1">
        <v>686964.31926552847</v>
      </c>
      <c r="J370" s="1">
        <v>686964.31926552847</v>
      </c>
      <c r="K370" s="1">
        <v>686964.31926552847</v>
      </c>
      <c r="L370" s="1">
        <v>686964.31926552847</v>
      </c>
      <c r="M370" s="1">
        <v>418423.72173445817</v>
      </c>
      <c r="N370" s="1">
        <v>418423.72173445817</v>
      </c>
      <c r="O370" s="1">
        <v>348686.43477871513</v>
      </c>
      <c r="P370" s="1">
        <v>348686.43477871513</v>
      </c>
      <c r="Q370" s="1">
        <v>488161.00869020115</v>
      </c>
      <c r="R370" s="1">
        <v>488161.00869020115</v>
      </c>
      <c r="S370" s="1">
        <v>488161.00869020115</v>
      </c>
      <c r="T370" s="1">
        <v>488161.00869020115</v>
      </c>
      <c r="U370" s="1">
        <v>488161.00869020115</v>
      </c>
      <c r="V370" s="1">
        <v>488161.00869020115</v>
      </c>
      <c r="W370" s="4">
        <f t="shared" si="12"/>
        <v>4842057.5957927853</v>
      </c>
      <c r="X370" s="4">
        <f t="shared" si="12"/>
        <v>4842057.5957927853</v>
      </c>
      <c r="Y370" s="5">
        <f t="shared" si="11"/>
        <v>0.58150000000000002</v>
      </c>
    </row>
    <row r="371" spans="1:25" x14ac:dyDescent="0.25">
      <c r="A371" s="1" t="s">
        <v>92</v>
      </c>
      <c r="B371" s="1" t="s">
        <v>50</v>
      </c>
      <c r="C371" s="1" t="s">
        <v>25</v>
      </c>
      <c r="D371" s="1">
        <v>6569414.7227372956</v>
      </c>
      <c r="E371" s="1">
        <v>433581.37170066155</v>
      </c>
      <c r="F371" s="1">
        <v>433581.37170066155</v>
      </c>
      <c r="G371" s="1">
        <v>541976.71462582692</v>
      </c>
      <c r="H371" s="1">
        <v>541976.71462582692</v>
      </c>
      <c r="I371" s="1">
        <v>541976.71462582692</v>
      </c>
      <c r="J371" s="1">
        <v>541976.71462582692</v>
      </c>
      <c r="K371" s="1">
        <v>541976.71462582692</v>
      </c>
      <c r="L371" s="1">
        <v>541976.71462582692</v>
      </c>
      <c r="M371" s="1">
        <v>330113.08981754904</v>
      </c>
      <c r="N371" s="1">
        <v>330113.08981754904</v>
      </c>
      <c r="O371" s="1">
        <v>275094.24151462421</v>
      </c>
      <c r="P371" s="1">
        <v>275094.24151462421</v>
      </c>
      <c r="Q371" s="1">
        <v>385131.93812047387</v>
      </c>
      <c r="R371" s="1">
        <v>385131.93812047387</v>
      </c>
      <c r="S371" s="1">
        <v>385131.93812047387</v>
      </c>
      <c r="T371" s="1">
        <v>385131.93812047387</v>
      </c>
      <c r="U371" s="1">
        <v>385131.93812047387</v>
      </c>
      <c r="V371" s="1">
        <v>385131.93812047387</v>
      </c>
      <c r="W371" s="4">
        <f t="shared" si="12"/>
        <v>3820114.6612717379</v>
      </c>
      <c r="X371" s="4">
        <f t="shared" si="12"/>
        <v>3820114.6612717379</v>
      </c>
      <c r="Y371" s="5">
        <f t="shared" si="11"/>
        <v>0.58150000000000013</v>
      </c>
    </row>
    <row r="372" spans="1:25" x14ac:dyDescent="0.25">
      <c r="A372" s="1" t="s">
        <v>93</v>
      </c>
      <c r="B372" s="1" t="s">
        <v>59</v>
      </c>
      <c r="C372" s="1" t="s">
        <v>26</v>
      </c>
      <c r="D372" s="1">
        <v>53922771</v>
      </c>
      <c r="E372" s="1">
        <v>4799514.3264088389</v>
      </c>
      <c r="F372" s="1">
        <v>4799514.3264088389</v>
      </c>
      <c r="G372" s="1">
        <v>5999392.9080110481</v>
      </c>
      <c r="H372" s="1">
        <v>5999392.9080110481</v>
      </c>
      <c r="I372" s="1">
        <v>5999392.9080110481</v>
      </c>
      <c r="J372" s="1">
        <v>5999392.9080110481</v>
      </c>
      <c r="K372" s="1">
        <v>5999392.9080110481</v>
      </c>
      <c r="L372" s="1">
        <v>5999392.9080110481</v>
      </c>
      <c r="M372" s="1">
        <v>3740649.9209944755</v>
      </c>
      <c r="N372" s="1">
        <v>3740649.9209944755</v>
      </c>
      <c r="O372" s="1">
        <v>3740649.9209944755</v>
      </c>
      <c r="P372" s="1">
        <v>3740649.9209944755</v>
      </c>
      <c r="Q372" s="1">
        <v>3740649.9209944755</v>
      </c>
      <c r="R372" s="1">
        <v>3740649.9209944755</v>
      </c>
      <c r="S372" s="1">
        <v>3740649.9209944755</v>
      </c>
      <c r="T372" s="1">
        <v>3740649.9209944755</v>
      </c>
      <c r="U372" s="1">
        <v>3740649.9209944755</v>
      </c>
      <c r="V372" s="1">
        <v>3740649.9209944755</v>
      </c>
      <c r="W372" s="4">
        <f t="shared" si="12"/>
        <v>41500942.655414365</v>
      </c>
      <c r="X372" s="4">
        <f t="shared" si="12"/>
        <v>41500942.655414365</v>
      </c>
      <c r="Y372" s="5">
        <f t="shared" si="11"/>
        <v>0.76963668383092487</v>
      </c>
    </row>
    <row r="373" spans="1:25" x14ac:dyDescent="0.25">
      <c r="A373" s="1" t="s">
        <v>93</v>
      </c>
      <c r="B373" s="1" t="s">
        <v>59</v>
      </c>
      <c r="C373" s="1" t="s">
        <v>26</v>
      </c>
      <c r="D373" s="1">
        <v>18797143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9398571.5</v>
      </c>
      <c r="N373" s="1">
        <v>9398571.5</v>
      </c>
      <c r="O373" s="1">
        <v>9398571.5</v>
      </c>
      <c r="P373" s="1">
        <v>9398571.5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4">
        <f t="shared" si="12"/>
        <v>18797143</v>
      </c>
      <c r="X373" s="4">
        <f t="shared" si="12"/>
        <v>18797143</v>
      </c>
      <c r="Y373" s="5">
        <f t="shared" si="11"/>
        <v>1</v>
      </c>
    </row>
    <row r="374" spans="1:25" x14ac:dyDescent="0.25">
      <c r="A374" s="1" t="s">
        <v>93</v>
      </c>
      <c r="B374" s="1" t="s">
        <v>33</v>
      </c>
      <c r="C374" s="1" t="s">
        <v>34</v>
      </c>
      <c r="D374" s="1">
        <v>144000000</v>
      </c>
      <c r="E374" s="1">
        <v>0</v>
      </c>
      <c r="F374" s="1">
        <v>0</v>
      </c>
      <c r="G374" s="1">
        <v>28800000</v>
      </c>
      <c r="H374" s="1">
        <v>28800000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43200000</v>
      </c>
      <c r="P374" s="1">
        <v>43200000</v>
      </c>
      <c r="Q374" s="1">
        <v>0</v>
      </c>
      <c r="R374" s="1">
        <v>0</v>
      </c>
      <c r="S374" s="1">
        <v>43200000</v>
      </c>
      <c r="T374" s="1">
        <v>43200000</v>
      </c>
      <c r="U374" s="1">
        <v>28800000</v>
      </c>
      <c r="V374" s="1">
        <v>28800000</v>
      </c>
      <c r="W374" s="4">
        <f t="shared" si="12"/>
        <v>144000000</v>
      </c>
      <c r="X374" s="4">
        <f t="shared" si="12"/>
        <v>144000000</v>
      </c>
      <c r="Y374" s="5">
        <f t="shared" si="11"/>
        <v>1</v>
      </c>
    </row>
    <row r="375" spans="1:25" x14ac:dyDescent="0.25">
      <c r="A375" s="1" t="s">
        <v>93</v>
      </c>
      <c r="B375" s="1" t="s">
        <v>35</v>
      </c>
      <c r="C375" s="1" t="s">
        <v>34</v>
      </c>
      <c r="D375" s="1">
        <v>360000000</v>
      </c>
      <c r="E375" s="1">
        <v>0</v>
      </c>
      <c r="F375" s="1">
        <v>0</v>
      </c>
      <c r="G375" s="1">
        <v>99000000</v>
      </c>
      <c r="H375" s="1">
        <v>99000000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87000000</v>
      </c>
      <c r="P375" s="1">
        <v>87000000</v>
      </c>
      <c r="Q375" s="1">
        <v>0</v>
      </c>
      <c r="R375" s="1">
        <v>0</v>
      </c>
      <c r="S375" s="1">
        <v>87000000</v>
      </c>
      <c r="T375" s="1">
        <v>87000000</v>
      </c>
      <c r="U375" s="1">
        <v>87000000</v>
      </c>
      <c r="V375" s="1">
        <v>87000000</v>
      </c>
      <c r="W375" s="4">
        <f t="shared" si="12"/>
        <v>360000000</v>
      </c>
      <c r="X375" s="4">
        <f t="shared" si="12"/>
        <v>360000000</v>
      </c>
      <c r="Y375" s="5">
        <f t="shared" si="11"/>
        <v>1</v>
      </c>
    </row>
    <row r="376" spans="1:25" x14ac:dyDescent="0.25">
      <c r="A376" s="1" t="s">
        <v>93</v>
      </c>
      <c r="B376" s="1" t="s">
        <v>38</v>
      </c>
      <c r="C376" s="1" t="s">
        <v>39</v>
      </c>
      <c r="D376" s="1">
        <v>10396557.126573715</v>
      </c>
      <c r="E376" s="1">
        <v>686172.77035386534</v>
      </c>
      <c r="F376" s="1">
        <v>686172.77035386534</v>
      </c>
      <c r="G376" s="1">
        <v>857715.96294233156</v>
      </c>
      <c r="H376" s="1">
        <v>857715.96294233156</v>
      </c>
      <c r="I376" s="1">
        <v>857715.96294233156</v>
      </c>
      <c r="J376" s="1">
        <v>857715.96294233156</v>
      </c>
      <c r="K376" s="1">
        <v>857715.96294233156</v>
      </c>
      <c r="L376" s="1">
        <v>857715.96294233156</v>
      </c>
      <c r="M376" s="1">
        <v>522426.99561032903</v>
      </c>
      <c r="N376" s="1">
        <v>522426.99561032903</v>
      </c>
      <c r="O376" s="1">
        <v>435355.8296752742</v>
      </c>
      <c r="P376" s="1">
        <v>435355.8296752742</v>
      </c>
      <c r="Q376" s="1">
        <v>609498.16154538386</v>
      </c>
      <c r="R376" s="1">
        <v>609498.16154538386</v>
      </c>
      <c r="S376" s="1">
        <v>609498.16154538386</v>
      </c>
      <c r="T376" s="1">
        <v>609498.16154538386</v>
      </c>
      <c r="U376" s="1">
        <v>609498.16154538386</v>
      </c>
      <c r="V376" s="1">
        <v>609498.16154538386</v>
      </c>
      <c r="W376" s="4">
        <f t="shared" si="12"/>
        <v>6045597.9691026155</v>
      </c>
      <c r="X376" s="4">
        <f t="shared" si="12"/>
        <v>6045597.9691026155</v>
      </c>
      <c r="Y376" s="5">
        <f t="shared" si="11"/>
        <v>0.58150000000000002</v>
      </c>
    </row>
    <row r="377" spans="1:25" x14ac:dyDescent="0.25">
      <c r="A377" s="1" t="s">
        <v>93</v>
      </c>
      <c r="B377" s="1" t="s">
        <v>61</v>
      </c>
      <c r="C377" s="1" t="s">
        <v>34</v>
      </c>
      <c r="D377" s="1">
        <v>182635955</v>
      </c>
      <c r="E377" s="1">
        <v>0</v>
      </c>
      <c r="F377" s="1">
        <v>0</v>
      </c>
      <c r="G377" s="1">
        <v>14610876.39833579</v>
      </c>
      <c r="H377" s="1">
        <v>14610876.39833579</v>
      </c>
      <c r="I377" s="1">
        <v>0</v>
      </c>
      <c r="J377" s="1">
        <v>0</v>
      </c>
      <c r="K377" s="1">
        <v>0</v>
      </c>
      <c r="L377" s="1">
        <v>0</v>
      </c>
      <c r="M377" s="1">
        <v>42006269.650416054</v>
      </c>
      <c r="N377" s="1">
        <v>42006269.650416054</v>
      </c>
      <c r="O377" s="1">
        <v>0</v>
      </c>
      <c r="P377" s="1">
        <v>0</v>
      </c>
      <c r="Q377" s="1">
        <v>0</v>
      </c>
      <c r="R377" s="1">
        <v>0</v>
      </c>
      <c r="S377" s="1">
        <v>63009404.475624084</v>
      </c>
      <c r="T377" s="1">
        <v>63009404.475624084</v>
      </c>
      <c r="U377" s="1">
        <v>0</v>
      </c>
      <c r="V377" s="1">
        <v>0</v>
      </c>
      <c r="W377" s="4">
        <f t="shared" si="12"/>
        <v>119626550.52437592</v>
      </c>
      <c r="X377" s="4">
        <f t="shared" si="12"/>
        <v>119626550.52437592</v>
      </c>
      <c r="Y377" s="5">
        <f t="shared" si="11"/>
        <v>0.65499999999658287</v>
      </c>
    </row>
    <row r="378" spans="1:25" x14ac:dyDescent="0.25">
      <c r="A378" s="1" t="s">
        <v>93</v>
      </c>
      <c r="B378" s="1" t="s">
        <v>62</v>
      </c>
      <c r="C378" s="1" t="s">
        <v>63</v>
      </c>
      <c r="D378" s="1">
        <v>45642857</v>
      </c>
      <c r="E378" s="1">
        <v>19359999.999120001</v>
      </c>
      <c r="F378" s="1">
        <v>19359999.999120001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1608214.2857967855</v>
      </c>
      <c r="N378" s="1">
        <v>1608214.2857967855</v>
      </c>
      <c r="O378" s="1">
        <v>1340178.5714973214</v>
      </c>
      <c r="P378" s="1">
        <v>1340178.5714973214</v>
      </c>
      <c r="Q378" s="1">
        <v>1876250.0000962499</v>
      </c>
      <c r="R378" s="1">
        <v>1876250.0000962499</v>
      </c>
      <c r="S378" s="1">
        <v>1876250.0000962499</v>
      </c>
      <c r="T378" s="1">
        <v>1876250.0000962499</v>
      </c>
      <c r="U378" s="1">
        <v>1876250.0000962499</v>
      </c>
      <c r="V378" s="1">
        <v>1876250.0000962499</v>
      </c>
      <c r="W378" s="4">
        <f t="shared" si="12"/>
        <v>27937142.856702857</v>
      </c>
      <c r="X378" s="4">
        <f t="shared" si="12"/>
        <v>27937142.856702857</v>
      </c>
      <c r="Y378" s="5">
        <f t="shared" si="11"/>
        <v>0.61208137905790727</v>
      </c>
    </row>
    <row r="379" spans="1:25" x14ac:dyDescent="0.25">
      <c r="A379" s="1" t="s">
        <v>93</v>
      </c>
      <c r="B379" s="1" t="s">
        <v>40</v>
      </c>
      <c r="C379" s="1" t="s">
        <v>27</v>
      </c>
      <c r="D379" s="1">
        <v>193387110</v>
      </c>
      <c r="E379" s="1">
        <v>19691152.564161453</v>
      </c>
      <c r="F379" s="1">
        <v>19691152.564161453</v>
      </c>
      <c r="G379" s="1">
        <v>21482447</v>
      </c>
      <c r="H379" s="1">
        <v>21482447</v>
      </c>
      <c r="I379" s="1">
        <v>17213908</v>
      </c>
      <c r="J379" s="1">
        <v>17213908</v>
      </c>
      <c r="K379" s="1">
        <v>15029533.037316401</v>
      </c>
      <c r="L379" s="1">
        <v>15029533.037316401</v>
      </c>
      <c r="M379" s="1">
        <v>49240551.216986522</v>
      </c>
      <c r="N379" s="1">
        <v>49240551.216986522</v>
      </c>
      <c r="O379" s="1">
        <v>28222832.650089376</v>
      </c>
      <c r="P379" s="1">
        <v>28222832.650089376</v>
      </c>
      <c r="Q379" s="1">
        <v>16900202.737956569</v>
      </c>
      <c r="R379" s="1">
        <v>16900202.737956569</v>
      </c>
      <c r="S379" s="1">
        <v>5198309.9291782994</v>
      </c>
      <c r="T379" s="1">
        <v>5198309.9291782994</v>
      </c>
      <c r="U379" s="1">
        <v>4628630.9273015978</v>
      </c>
      <c r="V379" s="1">
        <v>4628630.9273015978</v>
      </c>
      <c r="W379" s="4">
        <f t="shared" si="12"/>
        <v>177607568.06299022</v>
      </c>
      <c r="X379" s="4">
        <f t="shared" si="12"/>
        <v>177607568.06299022</v>
      </c>
      <c r="Y379" s="5">
        <f t="shared" si="11"/>
        <v>0.91840437588105128</v>
      </c>
    </row>
    <row r="380" spans="1:25" x14ac:dyDescent="0.25">
      <c r="A380" s="1" t="s">
        <v>93</v>
      </c>
      <c r="B380" s="1" t="s">
        <v>40</v>
      </c>
      <c r="C380" s="1" t="s">
        <v>27</v>
      </c>
      <c r="D380" s="1">
        <v>221281418</v>
      </c>
      <c r="E380" s="1">
        <v>0</v>
      </c>
      <c r="F380" s="1">
        <v>0</v>
      </c>
      <c r="G380" s="1">
        <v>0</v>
      </c>
      <c r="H380" s="1">
        <v>0</v>
      </c>
      <c r="I380" s="1">
        <v>51281418</v>
      </c>
      <c r="J380" s="1">
        <v>51281418</v>
      </c>
      <c r="K380" s="1">
        <v>0</v>
      </c>
      <c r="L380" s="1">
        <v>0</v>
      </c>
      <c r="M380" s="1">
        <v>63750000</v>
      </c>
      <c r="N380" s="1">
        <v>63750000</v>
      </c>
      <c r="O380" s="1">
        <v>42500000</v>
      </c>
      <c r="P380" s="1">
        <v>42500000</v>
      </c>
      <c r="Q380" s="1">
        <v>63750000</v>
      </c>
      <c r="R380" s="1">
        <v>63750000</v>
      </c>
      <c r="S380" s="1">
        <v>0</v>
      </c>
      <c r="T380" s="1">
        <v>0</v>
      </c>
      <c r="U380" s="1">
        <v>0</v>
      </c>
      <c r="V380" s="1">
        <v>0</v>
      </c>
      <c r="W380" s="4">
        <f t="shared" si="12"/>
        <v>221281418</v>
      </c>
      <c r="X380" s="4">
        <f t="shared" si="12"/>
        <v>221281418</v>
      </c>
      <c r="Y380" s="5">
        <f t="shared" si="11"/>
        <v>1</v>
      </c>
    </row>
    <row r="381" spans="1:25" x14ac:dyDescent="0.25">
      <c r="A381" s="1" t="s">
        <v>93</v>
      </c>
      <c r="B381" s="1" t="s">
        <v>40</v>
      </c>
      <c r="C381" s="1" t="s">
        <v>27</v>
      </c>
      <c r="D381" s="1">
        <v>62898740</v>
      </c>
      <c r="E381" s="1">
        <v>0</v>
      </c>
      <c r="F381" s="1">
        <v>0</v>
      </c>
      <c r="G381" s="1">
        <v>32898740</v>
      </c>
      <c r="H381" s="1">
        <v>32898740</v>
      </c>
      <c r="I381" s="1">
        <v>0</v>
      </c>
      <c r="J381" s="1">
        <v>0</v>
      </c>
      <c r="K381" s="1">
        <v>0</v>
      </c>
      <c r="L381" s="1">
        <v>0</v>
      </c>
      <c r="M381" s="1">
        <v>11250000</v>
      </c>
      <c r="N381" s="1">
        <v>11250000</v>
      </c>
      <c r="O381" s="1">
        <v>7500000</v>
      </c>
      <c r="P381" s="1">
        <v>7500000</v>
      </c>
      <c r="Q381" s="1">
        <v>11250000</v>
      </c>
      <c r="R381" s="1">
        <v>11250000</v>
      </c>
      <c r="S381" s="1">
        <v>0</v>
      </c>
      <c r="T381" s="1">
        <v>0</v>
      </c>
      <c r="U381" s="1">
        <v>0</v>
      </c>
      <c r="V381" s="1">
        <v>0</v>
      </c>
      <c r="W381" s="4">
        <f t="shared" si="12"/>
        <v>62898740</v>
      </c>
      <c r="X381" s="4">
        <f t="shared" si="12"/>
        <v>62898740</v>
      </c>
      <c r="Y381" s="5">
        <f t="shared" si="11"/>
        <v>1</v>
      </c>
    </row>
    <row r="382" spans="1:25" x14ac:dyDescent="0.25">
      <c r="A382" s="1" t="s">
        <v>93</v>
      </c>
      <c r="B382" s="1" t="s">
        <v>43</v>
      </c>
      <c r="C382" s="1" t="s">
        <v>31</v>
      </c>
      <c r="D382" s="1">
        <v>4180087</v>
      </c>
      <c r="E382" s="1">
        <v>242814.5726648519</v>
      </c>
      <c r="F382" s="1">
        <v>242814.5726648519</v>
      </c>
      <c r="G382" s="1">
        <v>303518.21583106485</v>
      </c>
      <c r="H382" s="1">
        <v>303518.21583106485</v>
      </c>
      <c r="I382" s="1">
        <v>303518.21583106485</v>
      </c>
      <c r="J382" s="1">
        <v>303518.21583106485</v>
      </c>
      <c r="K382" s="1">
        <v>303518.21583106485</v>
      </c>
      <c r="L382" s="1">
        <v>303518.21583106485</v>
      </c>
      <c r="M382" s="1">
        <v>225688.42808184447</v>
      </c>
      <c r="N382" s="1">
        <v>225688.42808184447</v>
      </c>
      <c r="O382" s="1">
        <v>188073.69006820372</v>
      </c>
      <c r="P382" s="1">
        <v>188073.69006820372</v>
      </c>
      <c r="Q382" s="1">
        <v>233087.73300462257</v>
      </c>
      <c r="R382" s="1">
        <v>233087.73300462257</v>
      </c>
      <c r="S382" s="1">
        <v>263303.16609548521</v>
      </c>
      <c r="T382" s="1">
        <v>263303.16609548521</v>
      </c>
      <c r="U382" s="1">
        <v>263303.16609548521</v>
      </c>
      <c r="V382" s="1">
        <v>263303.16609548521</v>
      </c>
      <c r="W382" s="4">
        <f t="shared" si="12"/>
        <v>2326825.4035036876</v>
      </c>
      <c r="X382" s="4">
        <f t="shared" si="12"/>
        <v>2326825.4035036876</v>
      </c>
      <c r="Y382" s="5">
        <f t="shared" si="11"/>
        <v>0.55664520941877227</v>
      </c>
    </row>
    <row r="383" spans="1:25" x14ac:dyDescent="0.25">
      <c r="A383" s="1" t="s">
        <v>93</v>
      </c>
      <c r="B383" s="1" t="s">
        <v>64</v>
      </c>
      <c r="C383" s="1" t="s">
        <v>23</v>
      </c>
      <c r="D383" s="1">
        <v>18658103.644845013</v>
      </c>
      <c r="E383" s="1">
        <v>1231434.8405597711</v>
      </c>
      <c r="F383" s="1">
        <v>1231434.8405597711</v>
      </c>
      <c r="G383" s="1">
        <v>1539293.5506997136</v>
      </c>
      <c r="H383" s="1">
        <v>1539293.5506997136</v>
      </c>
      <c r="I383" s="1">
        <v>1539293.5506997136</v>
      </c>
      <c r="J383" s="1">
        <v>1539293.5506997136</v>
      </c>
      <c r="K383" s="1">
        <v>1539293.5506997136</v>
      </c>
      <c r="L383" s="1">
        <v>1539293.5506997136</v>
      </c>
      <c r="M383" s="1">
        <v>937569.7081534618</v>
      </c>
      <c r="N383" s="1">
        <v>937569.7081534618</v>
      </c>
      <c r="O383" s="1">
        <v>781308.09012788488</v>
      </c>
      <c r="P383" s="1">
        <v>781308.09012788488</v>
      </c>
      <c r="Q383" s="1">
        <v>1093831.3261790387</v>
      </c>
      <c r="R383" s="1">
        <v>1093831.3261790387</v>
      </c>
      <c r="S383" s="1">
        <v>1093831.3261790387</v>
      </c>
      <c r="T383" s="1">
        <v>1093831.3261790387</v>
      </c>
      <c r="U383" s="1">
        <v>1093831.3261790387</v>
      </c>
      <c r="V383" s="1">
        <v>1093831.3261790387</v>
      </c>
      <c r="W383" s="4">
        <f t="shared" si="12"/>
        <v>10849687.269477375</v>
      </c>
      <c r="X383" s="4">
        <f t="shared" si="12"/>
        <v>10849687.269477375</v>
      </c>
      <c r="Y383" s="5">
        <f t="shared" si="11"/>
        <v>0.58150000000000002</v>
      </c>
    </row>
    <row r="384" spans="1:25" x14ac:dyDescent="0.25">
      <c r="A384" s="1" t="s">
        <v>93</v>
      </c>
      <c r="B384" s="1" t="s">
        <v>65</v>
      </c>
      <c r="C384" s="1" t="s">
        <v>31</v>
      </c>
      <c r="D384" s="1">
        <v>8445270.789711576</v>
      </c>
      <c r="E384" s="1">
        <v>557387.87212096411</v>
      </c>
      <c r="F384" s="1">
        <v>557387.87212096411</v>
      </c>
      <c r="G384" s="1">
        <v>696734.84015120508</v>
      </c>
      <c r="H384" s="1">
        <v>696734.84015120508</v>
      </c>
      <c r="I384" s="1">
        <v>696734.84015120508</v>
      </c>
      <c r="J384" s="1">
        <v>696734.84015120508</v>
      </c>
      <c r="K384" s="1">
        <v>696734.84015120508</v>
      </c>
      <c r="L384" s="1">
        <v>696734.84015120508</v>
      </c>
      <c r="M384" s="1">
        <v>424374.85718300665</v>
      </c>
      <c r="N384" s="1">
        <v>424374.85718300665</v>
      </c>
      <c r="O384" s="1">
        <v>353645.7143191722</v>
      </c>
      <c r="P384" s="1">
        <v>353645.7143191722</v>
      </c>
      <c r="Q384" s="1">
        <v>495104.00004684104</v>
      </c>
      <c r="R384" s="1">
        <v>495104.00004684104</v>
      </c>
      <c r="S384" s="1">
        <v>495104.00004684104</v>
      </c>
      <c r="T384" s="1">
        <v>495104.00004684104</v>
      </c>
      <c r="U384" s="1">
        <v>495104.00004684104</v>
      </c>
      <c r="V384" s="1">
        <v>495104.00004684104</v>
      </c>
      <c r="W384" s="4">
        <f t="shared" si="12"/>
        <v>4910924.9642172819</v>
      </c>
      <c r="X384" s="4">
        <f t="shared" si="12"/>
        <v>4910924.9642172819</v>
      </c>
      <c r="Y384" s="5">
        <f t="shared" si="11"/>
        <v>0.58150000000000002</v>
      </c>
    </row>
    <row r="385" spans="1:25" x14ac:dyDescent="0.25">
      <c r="A385" s="1" t="s">
        <v>93</v>
      </c>
      <c r="B385" s="1" t="s">
        <v>44</v>
      </c>
      <c r="C385" s="1" t="s">
        <v>45</v>
      </c>
      <c r="D385" s="1">
        <v>10396557.126573715</v>
      </c>
      <c r="E385" s="1">
        <v>686172.77035386534</v>
      </c>
      <c r="F385" s="1">
        <v>686172.77035386534</v>
      </c>
      <c r="G385" s="1">
        <v>857715.96294233156</v>
      </c>
      <c r="H385" s="1">
        <v>857715.96294233156</v>
      </c>
      <c r="I385" s="1">
        <v>857715.96294233156</v>
      </c>
      <c r="J385" s="1">
        <v>857715.96294233156</v>
      </c>
      <c r="K385" s="1">
        <v>857715.96294233156</v>
      </c>
      <c r="L385" s="1">
        <v>857715.96294233156</v>
      </c>
      <c r="M385" s="1">
        <v>522426.99561032903</v>
      </c>
      <c r="N385" s="1">
        <v>522426.99561032903</v>
      </c>
      <c r="O385" s="1">
        <v>435355.8296752742</v>
      </c>
      <c r="P385" s="1">
        <v>435355.8296752742</v>
      </c>
      <c r="Q385" s="1">
        <v>609498.16154538386</v>
      </c>
      <c r="R385" s="1">
        <v>609498.16154538386</v>
      </c>
      <c r="S385" s="1">
        <v>609498.16154538386</v>
      </c>
      <c r="T385" s="1">
        <v>609498.16154538386</v>
      </c>
      <c r="U385" s="1">
        <v>609498.16154538386</v>
      </c>
      <c r="V385" s="1">
        <v>609498.16154538386</v>
      </c>
      <c r="W385" s="4">
        <f t="shared" si="12"/>
        <v>6045597.9691026155</v>
      </c>
      <c r="X385" s="4">
        <f t="shared" si="12"/>
        <v>6045597.9691026155</v>
      </c>
      <c r="Y385" s="5">
        <f t="shared" si="11"/>
        <v>0.58150000000000002</v>
      </c>
    </row>
    <row r="386" spans="1:25" x14ac:dyDescent="0.25">
      <c r="A386" s="1" t="s">
        <v>93</v>
      </c>
      <c r="B386" s="1" t="s">
        <v>46</v>
      </c>
      <c r="C386" s="1" t="s">
        <v>22</v>
      </c>
      <c r="D386" s="1">
        <v>152006372.65269536</v>
      </c>
      <c r="E386" s="1">
        <v>10041818.238188745</v>
      </c>
      <c r="F386" s="1">
        <v>10041818.238188745</v>
      </c>
      <c r="G386" s="1">
        <v>12552272.797735931</v>
      </c>
      <c r="H386" s="1">
        <v>12552272.797735931</v>
      </c>
      <c r="I386" s="1">
        <v>12552272.797735931</v>
      </c>
      <c r="J386" s="1">
        <v>12552272.797735931</v>
      </c>
      <c r="K386" s="1">
        <v>12552272.797735931</v>
      </c>
      <c r="L386" s="1">
        <v>12552272.797735931</v>
      </c>
      <c r="M386" s="1">
        <v>7876138.4812827865</v>
      </c>
      <c r="N386" s="1">
        <v>7876138.4812827865</v>
      </c>
      <c r="O386" s="1">
        <v>6404793.0722393775</v>
      </c>
      <c r="P386" s="1">
        <v>6404793.0722393775</v>
      </c>
      <c r="Q386" s="1">
        <v>8867038.4123647716</v>
      </c>
      <c r="R386" s="1">
        <v>8867038.4123647716</v>
      </c>
      <c r="S386" s="1">
        <v>8867038.4123647716</v>
      </c>
      <c r="T386" s="1">
        <v>8867038.4123647716</v>
      </c>
      <c r="U386" s="1">
        <v>8867038.4123647716</v>
      </c>
      <c r="V386" s="1">
        <v>8867038.4123647716</v>
      </c>
      <c r="W386" s="4">
        <f t="shared" si="12"/>
        <v>88580683.422013015</v>
      </c>
      <c r="X386" s="4">
        <f t="shared" si="12"/>
        <v>88580683.422013015</v>
      </c>
      <c r="Y386" s="5">
        <f t="shared" si="11"/>
        <v>0.58274322238056719</v>
      </c>
    </row>
    <row r="387" spans="1:25" x14ac:dyDescent="0.25">
      <c r="A387" s="1" t="s">
        <v>93</v>
      </c>
      <c r="B387" s="1" t="s">
        <v>66</v>
      </c>
      <c r="C387" s="1" t="s">
        <v>24</v>
      </c>
      <c r="D387" s="1">
        <v>461688427.48108041</v>
      </c>
      <c r="E387" s="1">
        <v>38089295.267189138</v>
      </c>
      <c r="F387" s="1">
        <v>38089295.267189138</v>
      </c>
      <c r="G387" s="1">
        <v>38089295.267189138</v>
      </c>
      <c r="H387" s="1">
        <v>38089295.267189138</v>
      </c>
      <c r="I387" s="1">
        <v>38089295.267189138</v>
      </c>
      <c r="J387" s="1">
        <v>38089295.267189138</v>
      </c>
      <c r="K387" s="1">
        <v>38089295.267189138</v>
      </c>
      <c r="L387" s="1">
        <v>38089295.267189138</v>
      </c>
      <c r="M387" s="1">
        <v>40012996.847910129</v>
      </c>
      <c r="N387" s="1">
        <v>40012996.847910129</v>
      </c>
      <c r="O387" s="1">
        <v>38474035.583333336</v>
      </c>
      <c r="P387" s="1">
        <v>38474035.583333336</v>
      </c>
      <c r="Q387" s="1">
        <v>38474035.583333336</v>
      </c>
      <c r="R387" s="1">
        <v>38474035.583333336</v>
      </c>
      <c r="S387" s="1">
        <v>38474035.583333336</v>
      </c>
      <c r="T387" s="1">
        <v>38474035.583333336</v>
      </c>
      <c r="U387" s="1">
        <v>38474035.583333336</v>
      </c>
      <c r="V387" s="1">
        <v>38474035.583333336</v>
      </c>
      <c r="W387" s="4">
        <f t="shared" si="12"/>
        <v>346266320.25000006</v>
      </c>
      <c r="X387" s="4">
        <f t="shared" si="12"/>
        <v>346266320.25000006</v>
      </c>
      <c r="Y387" s="5">
        <f t="shared" ref="Y387:Y450" si="13">X387/D387</f>
        <v>0.74999999921849836</v>
      </c>
    </row>
    <row r="388" spans="1:25" x14ac:dyDescent="0.25">
      <c r="A388" s="1" t="s">
        <v>93</v>
      </c>
      <c r="B388" s="1" t="s">
        <v>67</v>
      </c>
      <c r="C388" s="1" t="s">
        <v>68</v>
      </c>
      <c r="D388" s="1">
        <v>5916750.6585043678</v>
      </c>
      <c r="E388" s="1">
        <v>390505.54346128833</v>
      </c>
      <c r="F388" s="1">
        <v>390505.54346128833</v>
      </c>
      <c r="G388" s="1">
        <v>488131.92932661035</v>
      </c>
      <c r="H388" s="1">
        <v>488131.92932661035</v>
      </c>
      <c r="I388" s="1">
        <v>488131.92932661035</v>
      </c>
      <c r="J388" s="1">
        <v>488131.92932661035</v>
      </c>
      <c r="K388" s="1">
        <v>488131.92932661035</v>
      </c>
      <c r="L388" s="1">
        <v>488131.92932661035</v>
      </c>
      <c r="M388" s="1">
        <v>307671.03424222715</v>
      </c>
      <c r="N388" s="1">
        <v>307671.03424222715</v>
      </c>
      <c r="O388" s="1">
        <v>246531.277437682</v>
      </c>
      <c r="P388" s="1">
        <v>246531.277437682</v>
      </c>
      <c r="Q388" s="1">
        <v>345143.78841275477</v>
      </c>
      <c r="R388" s="1">
        <v>345143.78841275477</v>
      </c>
      <c r="S388" s="1">
        <v>345143.78841275477</v>
      </c>
      <c r="T388" s="1">
        <v>345143.78841275477</v>
      </c>
      <c r="U388" s="1">
        <v>345143.78841275477</v>
      </c>
      <c r="V388" s="1">
        <v>345143.78841275477</v>
      </c>
      <c r="W388" s="4">
        <f t="shared" si="12"/>
        <v>3444535.0083592925</v>
      </c>
      <c r="X388" s="4">
        <f t="shared" si="12"/>
        <v>3444535.0083592925</v>
      </c>
      <c r="Y388" s="5">
        <f t="shared" si="13"/>
        <v>0.58216666666666661</v>
      </c>
    </row>
    <row r="389" spans="1:25" x14ac:dyDescent="0.25">
      <c r="A389" s="1" t="s">
        <v>93</v>
      </c>
      <c r="B389" s="1" t="s">
        <v>69</v>
      </c>
      <c r="C389" s="1" t="s">
        <v>28</v>
      </c>
      <c r="D389" s="1">
        <v>13522418.482223812</v>
      </c>
      <c r="E389" s="1">
        <v>892479.61982677178</v>
      </c>
      <c r="F389" s="1">
        <v>892479.61982677178</v>
      </c>
      <c r="G389" s="1">
        <v>1115599.5247834646</v>
      </c>
      <c r="H389" s="1">
        <v>1115599.5247834646</v>
      </c>
      <c r="I389" s="1">
        <v>1115599.5247834646</v>
      </c>
      <c r="J389" s="1">
        <v>1115599.5247834646</v>
      </c>
      <c r="K389" s="1">
        <v>1115599.5247834646</v>
      </c>
      <c r="L389" s="1">
        <v>1115599.5247834646</v>
      </c>
      <c r="M389" s="1">
        <v>679501.52873174648</v>
      </c>
      <c r="N389" s="1">
        <v>679501.52873174648</v>
      </c>
      <c r="O389" s="1">
        <v>566251.27394312213</v>
      </c>
      <c r="P389" s="1">
        <v>566251.27394312213</v>
      </c>
      <c r="Q389" s="1">
        <v>792751.78352037095</v>
      </c>
      <c r="R389" s="1">
        <v>792751.78352037095</v>
      </c>
      <c r="S389" s="1">
        <v>792751.78352037095</v>
      </c>
      <c r="T389" s="1">
        <v>792751.78352037095</v>
      </c>
      <c r="U389" s="1">
        <v>792751.78352037095</v>
      </c>
      <c r="V389" s="1">
        <v>792751.78352037095</v>
      </c>
      <c r="W389" s="4">
        <f t="shared" si="12"/>
        <v>7863286.3474131469</v>
      </c>
      <c r="X389" s="4">
        <f t="shared" si="12"/>
        <v>7863286.3474131469</v>
      </c>
      <c r="Y389" s="5">
        <f t="shared" si="13"/>
        <v>0.58150000000000002</v>
      </c>
    </row>
    <row r="390" spans="1:25" x14ac:dyDescent="0.25">
      <c r="A390" s="1" t="s">
        <v>93</v>
      </c>
      <c r="B390" s="1" t="s">
        <v>70</v>
      </c>
      <c r="C390" s="1" t="s">
        <v>23</v>
      </c>
      <c r="D390" s="1">
        <v>9646875.0213281233</v>
      </c>
      <c r="E390" s="1">
        <v>636693.75140765624</v>
      </c>
      <c r="F390" s="1">
        <v>636693.75140765624</v>
      </c>
      <c r="G390" s="1">
        <v>795867.18925957021</v>
      </c>
      <c r="H390" s="1">
        <v>795867.18925957021</v>
      </c>
      <c r="I390" s="1">
        <v>795867.18925957021</v>
      </c>
      <c r="J390" s="1">
        <v>795867.18925957021</v>
      </c>
      <c r="K390" s="1">
        <v>795867.18925957021</v>
      </c>
      <c r="L390" s="1">
        <v>795867.18925957021</v>
      </c>
      <c r="M390" s="1">
        <v>484755.4698217382</v>
      </c>
      <c r="N390" s="1">
        <v>484755.4698217382</v>
      </c>
      <c r="O390" s="1">
        <v>403962.89151811518</v>
      </c>
      <c r="P390" s="1">
        <v>403962.89151811518</v>
      </c>
      <c r="Q390" s="1">
        <v>565548.04812536121</v>
      </c>
      <c r="R390" s="1">
        <v>565548.04812536121</v>
      </c>
      <c r="S390" s="1">
        <v>565548.04812536121</v>
      </c>
      <c r="T390" s="1">
        <v>565548.04812536121</v>
      </c>
      <c r="U390" s="1">
        <v>565548.04812536121</v>
      </c>
      <c r="V390" s="1">
        <v>565548.04812536121</v>
      </c>
      <c r="W390" s="4">
        <f t="shared" si="12"/>
        <v>5609657.8249023035</v>
      </c>
      <c r="X390" s="4">
        <f t="shared" si="12"/>
        <v>5609657.8249023035</v>
      </c>
      <c r="Y390" s="5">
        <f t="shared" si="13"/>
        <v>0.58150000000000002</v>
      </c>
    </row>
    <row r="391" spans="1:25" x14ac:dyDescent="0.25">
      <c r="A391" s="1" t="s">
        <v>93</v>
      </c>
      <c r="B391" s="1" t="s">
        <v>71</v>
      </c>
      <c r="C391" s="1" t="s">
        <v>29</v>
      </c>
      <c r="D391" s="1">
        <v>6845890.9211538434</v>
      </c>
      <c r="E391" s="1">
        <v>451828.80079615372</v>
      </c>
      <c r="F391" s="1">
        <v>451828.80079615372</v>
      </c>
      <c r="G391" s="1">
        <v>564786.00099519209</v>
      </c>
      <c r="H391" s="1">
        <v>564786.00099519209</v>
      </c>
      <c r="I391" s="1">
        <v>564786.00099519209</v>
      </c>
      <c r="J391" s="1">
        <v>564786.00099519209</v>
      </c>
      <c r="K391" s="1">
        <v>564786.00099519209</v>
      </c>
      <c r="L391" s="1">
        <v>564786.00099519209</v>
      </c>
      <c r="M391" s="1">
        <v>344006.0187879806</v>
      </c>
      <c r="N391" s="1">
        <v>344006.0187879806</v>
      </c>
      <c r="O391" s="1">
        <v>286671.68232331716</v>
      </c>
      <c r="P391" s="1">
        <v>286671.68232331716</v>
      </c>
      <c r="Q391" s="1">
        <v>401340.35525264399</v>
      </c>
      <c r="R391" s="1">
        <v>401340.35525264399</v>
      </c>
      <c r="S391" s="1">
        <v>401340.35525264399</v>
      </c>
      <c r="T391" s="1">
        <v>401340.35525264399</v>
      </c>
      <c r="U391" s="1">
        <v>401340.35525264399</v>
      </c>
      <c r="V391" s="1">
        <v>401340.35525264399</v>
      </c>
      <c r="W391" s="4">
        <f t="shared" si="12"/>
        <v>3980885.5706509603</v>
      </c>
      <c r="X391" s="4">
        <f t="shared" si="12"/>
        <v>3980885.5706509603</v>
      </c>
      <c r="Y391" s="5">
        <f t="shared" si="13"/>
        <v>0.58150000000000002</v>
      </c>
    </row>
    <row r="392" spans="1:25" x14ac:dyDescent="0.25">
      <c r="A392" s="1" t="s">
        <v>93</v>
      </c>
      <c r="B392" s="1" t="s">
        <v>72</v>
      </c>
      <c r="C392" s="1" t="s">
        <v>73</v>
      </c>
      <c r="D392" s="1">
        <v>12689634.087924575</v>
      </c>
      <c r="E392" s="1">
        <v>837515.84980302211</v>
      </c>
      <c r="F392" s="1">
        <v>837515.84980302211</v>
      </c>
      <c r="G392" s="1">
        <v>1046894.8122537775</v>
      </c>
      <c r="H392" s="1">
        <v>1046894.8122537775</v>
      </c>
      <c r="I392" s="1">
        <v>1046894.8122537775</v>
      </c>
      <c r="J392" s="1">
        <v>1046894.8122537775</v>
      </c>
      <c r="K392" s="1">
        <v>1046894.8122537775</v>
      </c>
      <c r="L392" s="1">
        <v>1046894.8122537775</v>
      </c>
      <c r="M392" s="1">
        <v>637654.11291820987</v>
      </c>
      <c r="N392" s="1">
        <v>637654.11291820987</v>
      </c>
      <c r="O392" s="1">
        <v>531378.42743184161</v>
      </c>
      <c r="P392" s="1">
        <v>531378.42743184161</v>
      </c>
      <c r="Q392" s="1">
        <v>743929.79840457824</v>
      </c>
      <c r="R392" s="1">
        <v>743929.79840457824</v>
      </c>
      <c r="S392" s="1">
        <v>743929.79840457824</v>
      </c>
      <c r="T392" s="1">
        <v>743929.79840457824</v>
      </c>
      <c r="U392" s="1">
        <v>743929.79840457824</v>
      </c>
      <c r="V392" s="1">
        <v>743929.79840457824</v>
      </c>
      <c r="W392" s="4">
        <f t="shared" si="12"/>
        <v>7379022.2221281417</v>
      </c>
      <c r="X392" s="4">
        <f t="shared" si="12"/>
        <v>7379022.2221281417</v>
      </c>
      <c r="Y392" s="5">
        <f t="shared" si="13"/>
        <v>0.58150000000000013</v>
      </c>
    </row>
    <row r="393" spans="1:25" x14ac:dyDescent="0.25">
      <c r="A393" s="1" t="s">
        <v>93</v>
      </c>
      <c r="B393" s="1" t="s">
        <v>48</v>
      </c>
      <c r="C393" s="1" t="s">
        <v>49</v>
      </c>
      <c r="D393" s="1">
        <v>7238492.2910656044</v>
      </c>
      <c r="E393" s="1">
        <v>477740.49121032993</v>
      </c>
      <c r="F393" s="1">
        <v>477740.49121032993</v>
      </c>
      <c r="G393" s="1">
        <v>597175.61401291238</v>
      </c>
      <c r="H393" s="1">
        <v>597175.61401291238</v>
      </c>
      <c r="I393" s="1">
        <v>597175.61401291238</v>
      </c>
      <c r="J393" s="1">
        <v>597175.61401291238</v>
      </c>
      <c r="K393" s="1">
        <v>597175.61401291238</v>
      </c>
      <c r="L393" s="1">
        <v>597175.61401291238</v>
      </c>
      <c r="M393" s="1">
        <v>363734.2376260467</v>
      </c>
      <c r="N393" s="1">
        <v>363734.2376260467</v>
      </c>
      <c r="O393" s="1">
        <v>303111.86468837224</v>
      </c>
      <c r="P393" s="1">
        <v>303111.86468837224</v>
      </c>
      <c r="Q393" s="1">
        <v>424356.6105637211</v>
      </c>
      <c r="R393" s="1">
        <v>424356.6105637211</v>
      </c>
      <c r="S393" s="1">
        <v>424356.6105637211</v>
      </c>
      <c r="T393" s="1">
        <v>424356.6105637211</v>
      </c>
      <c r="U393" s="1">
        <v>424356.6105637211</v>
      </c>
      <c r="V393" s="1">
        <v>424356.6105637211</v>
      </c>
      <c r="W393" s="4">
        <f t="shared" si="12"/>
        <v>4209183.2672546497</v>
      </c>
      <c r="X393" s="4">
        <f t="shared" si="12"/>
        <v>4209183.2672546497</v>
      </c>
      <c r="Y393" s="5">
        <f t="shared" si="13"/>
        <v>0.58150000000000013</v>
      </c>
    </row>
    <row r="394" spans="1:25" x14ac:dyDescent="0.25">
      <c r="A394" s="1" t="s">
        <v>93</v>
      </c>
      <c r="B394" s="1" t="s">
        <v>53</v>
      </c>
      <c r="C394" s="1" t="s">
        <v>30</v>
      </c>
      <c r="D394" s="1">
        <v>9688786.1158917695</v>
      </c>
      <c r="E394" s="1">
        <v>639459.88364885689</v>
      </c>
      <c r="F394" s="1">
        <v>639459.88364885689</v>
      </c>
      <c r="G394" s="1">
        <v>799324.85456107103</v>
      </c>
      <c r="H394" s="1">
        <v>799324.85456107103</v>
      </c>
      <c r="I394" s="1">
        <v>799324.85456107103</v>
      </c>
      <c r="J394" s="1">
        <v>799324.85456107103</v>
      </c>
      <c r="K394" s="1">
        <v>799324.85456107103</v>
      </c>
      <c r="L394" s="1">
        <v>799324.85456107103</v>
      </c>
      <c r="M394" s="1">
        <v>486861.50232356141</v>
      </c>
      <c r="N394" s="1">
        <v>486861.50232356141</v>
      </c>
      <c r="O394" s="1">
        <v>405717.91860296787</v>
      </c>
      <c r="P394" s="1">
        <v>405717.91860296787</v>
      </c>
      <c r="Q394" s="1">
        <v>568005.08604415494</v>
      </c>
      <c r="R394" s="1">
        <v>568005.08604415494</v>
      </c>
      <c r="S394" s="1">
        <v>568005.08604415494</v>
      </c>
      <c r="T394" s="1">
        <v>568005.08604415494</v>
      </c>
      <c r="U394" s="1">
        <v>568005.08604415494</v>
      </c>
      <c r="V394" s="1">
        <v>568005.08604415494</v>
      </c>
      <c r="W394" s="4">
        <f t="shared" si="12"/>
        <v>5634029.1263910634</v>
      </c>
      <c r="X394" s="4">
        <f t="shared" si="12"/>
        <v>5634029.1263910634</v>
      </c>
      <c r="Y394" s="5">
        <f t="shared" si="13"/>
        <v>0.58149999999999991</v>
      </c>
    </row>
    <row r="395" spans="1:25" x14ac:dyDescent="0.25">
      <c r="A395" s="1" t="s">
        <v>93</v>
      </c>
      <c r="B395" s="1" t="s">
        <v>74</v>
      </c>
      <c r="C395" s="1" t="s">
        <v>75</v>
      </c>
      <c r="D395" s="1">
        <v>7926492.4951663185</v>
      </c>
      <c r="E395" s="1">
        <v>523148.50468097703</v>
      </c>
      <c r="F395" s="1">
        <v>523148.50468097703</v>
      </c>
      <c r="G395" s="1">
        <v>653935.63085122127</v>
      </c>
      <c r="H395" s="1">
        <v>653935.63085122127</v>
      </c>
      <c r="I395" s="1">
        <v>653935.63085122127</v>
      </c>
      <c r="J395" s="1">
        <v>653935.63085122127</v>
      </c>
      <c r="K395" s="1">
        <v>653935.63085122127</v>
      </c>
      <c r="L395" s="1">
        <v>653935.63085122127</v>
      </c>
      <c r="M395" s="1">
        <v>398306.24788210751</v>
      </c>
      <c r="N395" s="1">
        <v>398306.24788210751</v>
      </c>
      <c r="O395" s="1">
        <v>331921.87323508959</v>
      </c>
      <c r="P395" s="1">
        <v>331921.87323508959</v>
      </c>
      <c r="Q395" s="1">
        <v>464690.62252912536</v>
      </c>
      <c r="R395" s="1">
        <v>464690.62252912536</v>
      </c>
      <c r="S395" s="1">
        <v>464690.62252912536</v>
      </c>
      <c r="T395" s="1">
        <v>464690.62252912536</v>
      </c>
      <c r="U395" s="1">
        <v>464690.62252912536</v>
      </c>
      <c r="V395" s="1">
        <v>464690.62252912536</v>
      </c>
      <c r="W395" s="4">
        <f t="shared" si="12"/>
        <v>4609255.3859392144</v>
      </c>
      <c r="X395" s="4">
        <f t="shared" si="12"/>
        <v>4609255.3859392144</v>
      </c>
      <c r="Y395" s="5">
        <f t="shared" si="13"/>
        <v>0.58150000000000002</v>
      </c>
    </row>
    <row r="396" spans="1:25" x14ac:dyDescent="0.25">
      <c r="A396" s="1" t="s">
        <v>93</v>
      </c>
      <c r="B396" s="1" t="s">
        <v>50</v>
      </c>
      <c r="C396" s="1" t="s">
        <v>25</v>
      </c>
      <c r="D396" s="1">
        <v>7600416.9056188837</v>
      </c>
      <c r="E396" s="1">
        <v>501627.51577084634</v>
      </c>
      <c r="F396" s="1">
        <v>501627.51577084634</v>
      </c>
      <c r="G396" s="1">
        <v>627034.39471355791</v>
      </c>
      <c r="H396" s="1">
        <v>627034.39471355791</v>
      </c>
      <c r="I396" s="1">
        <v>627034.39471355791</v>
      </c>
      <c r="J396" s="1">
        <v>627034.39471355791</v>
      </c>
      <c r="K396" s="1">
        <v>627034.39471355791</v>
      </c>
      <c r="L396" s="1">
        <v>627034.39471355791</v>
      </c>
      <c r="M396" s="1">
        <v>381920.94950734894</v>
      </c>
      <c r="N396" s="1">
        <v>381920.94950734894</v>
      </c>
      <c r="O396" s="1">
        <v>318267.45792279078</v>
      </c>
      <c r="P396" s="1">
        <v>318267.45792279078</v>
      </c>
      <c r="Q396" s="1">
        <v>445574.44109190709</v>
      </c>
      <c r="R396" s="1">
        <v>445574.44109190709</v>
      </c>
      <c r="S396" s="1">
        <v>445574.44109190709</v>
      </c>
      <c r="T396" s="1">
        <v>445574.44109190709</v>
      </c>
      <c r="U396" s="1">
        <v>445574.44109190709</v>
      </c>
      <c r="V396" s="1">
        <v>445574.44109190709</v>
      </c>
      <c r="W396" s="4">
        <f t="shared" si="12"/>
        <v>4419642.4306173809</v>
      </c>
      <c r="X396" s="4">
        <f t="shared" si="12"/>
        <v>4419642.4306173809</v>
      </c>
      <c r="Y396" s="5">
        <f t="shared" si="13"/>
        <v>0.58150000000000002</v>
      </c>
    </row>
    <row r="397" spans="1:25" x14ac:dyDescent="0.25">
      <c r="A397" s="1" t="s">
        <v>94</v>
      </c>
      <c r="B397" s="1" t="s">
        <v>59</v>
      </c>
      <c r="C397" s="1" t="s">
        <v>26</v>
      </c>
      <c r="D397" s="1">
        <v>38958953.120000005</v>
      </c>
      <c r="E397" s="1">
        <v>4271680.5728799049</v>
      </c>
      <c r="F397" s="1">
        <v>4271680.5728799049</v>
      </c>
      <c r="G397" s="1">
        <v>5339600.7160998806</v>
      </c>
      <c r="H397" s="1">
        <v>5339600.7160998806</v>
      </c>
      <c r="I397" s="1">
        <v>5339600.7160998806</v>
      </c>
      <c r="J397" s="1">
        <v>5339600.7160998806</v>
      </c>
      <c r="K397" s="1">
        <v>5339600.7160998806</v>
      </c>
      <c r="L397" s="1">
        <v>5339600.7160998806</v>
      </c>
      <c r="M397" s="1">
        <v>2200068.7819500603</v>
      </c>
      <c r="N397" s="1">
        <v>2200068.7819500603</v>
      </c>
      <c r="O397" s="1">
        <v>2200068.7819500603</v>
      </c>
      <c r="P397" s="1">
        <v>2200068.7819500603</v>
      </c>
      <c r="Q397" s="1">
        <v>2200068.7819500603</v>
      </c>
      <c r="R397" s="1">
        <v>2200068.7819500603</v>
      </c>
      <c r="S397" s="1">
        <v>2200068.7819500603</v>
      </c>
      <c r="T397" s="1">
        <v>2200068.7819500603</v>
      </c>
      <c r="U397" s="1">
        <v>2200068.7819500603</v>
      </c>
      <c r="V397" s="1">
        <v>2200068.7819500603</v>
      </c>
      <c r="W397" s="4">
        <f t="shared" si="12"/>
        <v>31290826.63092985</v>
      </c>
      <c r="X397" s="4">
        <f t="shared" si="12"/>
        <v>31290826.63092985</v>
      </c>
      <c r="Y397" s="5">
        <f t="shared" si="13"/>
        <v>0.80317421606655959</v>
      </c>
    </row>
    <row r="398" spans="1:25" x14ac:dyDescent="0.25">
      <c r="A398" s="1" t="s">
        <v>94</v>
      </c>
      <c r="B398" s="1" t="s">
        <v>59</v>
      </c>
      <c r="C398" s="1" t="s">
        <v>26</v>
      </c>
      <c r="D398" s="1">
        <v>25763479.879999999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12881739.939999999</v>
      </c>
      <c r="N398" s="1">
        <v>12881739.939999999</v>
      </c>
      <c r="O398" s="1">
        <v>12881739.939999999</v>
      </c>
      <c r="P398" s="1">
        <v>12881739.939999999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4">
        <f t="shared" si="12"/>
        <v>25763479.879999999</v>
      </c>
      <c r="X398" s="4">
        <f t="shared" si="12"/>
        <v>25763479.879999999</v>
      </c>
      <c r="Y398" s="5">
        <f t="shared" si="13"/>
        <v>1</v>
      </c>
    </row>
    <row r="399" spans="1:25" x14ac:dyDescent="0.25">
      <c r="A399" s="1" t="s">
        <v>94</v>
      </c>
      <c r="B399" s="1" t="s">
        <v>33</v>
      </c>
      <c r="C399" s="1" t="s">
        <v>34</v>
      </c>
      <c r="D399" s="1">
        <v>72000000</v>
      </c>
      <c r="E399" s="1">
        <v>0</v>
      </c>
      <c r="F399" s="1">
        <v>0</v>
      </c>
      <c r="G399" s="1">
        <v>14400000</v>
      </c>
      <c r="H399" s="1">
        <v>14400000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21600000</v>
      </c>
      <c r="P399" s="1">
        <v>21600000</v>
      </c>
      <c r="Q399" s="1">
        <v>0</v>
      </c>
      <c r="R399" s="1">
        <v>0</v>
      </c>
      <c r="S399" s="1">
        <v>21600000</v>
      </c>
      <c r="T399" s="1">
        <v>21600000</v>
      </c>
      <c r="U399" s="1">
        <v>14400000</v>
      </c>
      <c r="V399" s="1">
        <v>14400000</v>
      </c>
      <c r="W399" s="4">
        <f t="shared" si="12"/>
        <v>72000000</v>
      </c>
      <c r="X399" s="4">
        <f t="shared" si="12"/>
        <v>72000000</v>
      </c>
      <c r="Y399" s="5">
        <f t="shared" si="13"/>
        <v>1</v>
      </c>
    </row>
    <row r="400" spans="1:25" x14ac:dyDescent="0.25">
      <c r="A400" s="1" t="s">
        <v>94</v>
      </c>
      <c r="B400" s="1" t="s">
        <v>35</v>
      </c>
      <c r="C400" s="1" t="s">
        <v>34</v>
      </c>
      <c r="D400" s="1">
        <v>180000000</v>
      </c>
      <c r="E400" s="1">
        <v>0</v>
      </c>
      <c r="F400" s="1">
        <v>0</v>
      </c>
      <c r="G400" s="1">
        <v>49500000</v>
      </c>
      <c r="H400" s="1">
        <v>49500000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43500000</v>
      </c>
      <c r="P400" s="1">
        <v>43500000</v>
      </c>
      <c r="Q400" s="1">
        <v>0</v>
      </c>
      <c r="R400" s="1">
        <v>0</v>
      </c>
      <c r="S400" s="1">
        <v>43500000</v>
      </c>
      <c r="T400" s="1">
        <v>43500000</v>
      </c>
      <c r="U400" s="1">
        <v>43500000</v>
      </c>
      <c r="V400" s="1">
        <v>43500000</v>
      </c>
      <c r="W400" s="4">
        <f t="shared" si="12"/>
        <v>180000000</v>
      </c>
      <c r="X400" s="4">
        <f t="shared" si="12"/>
        <v>180000000</v>
      </c>
      <c r="Y400" s="5">
        <f t="shared" si="13"/>
        <v>1</v>
      </c>
    </row>
    <row r="401" spans="1:25" x14ac:dyDescent="0.25">
      <c r="A401" s="1" t="s">
        <v>94</v>
      </c>
      <c r="B401" s="1" t="s">
        <v>38</v>
      </c>
      <c r="C401" s="1" t="s">
        <v>39</v>
      </c>
      <c r="D401" s="1">
        <v>8323668.0433047041</v>
      </c>
      <c r="E401" s="1">
        <v>549362.09085811058</v>
      </c>
      <c r="F401" s="1">
        <v>549362.09085811058</v>
      </c>
      <c r="G401" s="1">
        <v>686702.61357263813</v>
      </c>
      <c r="H401" s="1">
        <v>686702.61357263813</v>
      </c>
      <c r="I401" s="1">
        <v>686702.61357263813</v>
      </c>
      <c r="J401" s="1">
        <v>686702.61357263813</v>
      </c>
      <c r="K401" s="1">
        <v>686702.61357263813</v>
      </c>
      <c r="L401" s="1">
        <v>686702.61357263813</v>
      </c>
      <c r="M401" s="1">
        <v>418264.31917606125</v>
      </c>
      <c r="N401" s="1">
        <v>418264.31917606125</v>
      </c>
      <c r="O401" s="1">
        <v>348553.59931338439</v>
      </c>
      <c r="P401" s="1">
        <v>348553.59931338439</v>
      </c>
      <c r="Q401" s="1">
        <v>487975.03903873812</v>
      </c>
      <c r="R401" s="1">
        <v>487975.03903873812</v>
      </c>
      <c r="S401" s="1">
        <v>487975.03903873812</v>
      </c>
      <c r="T401" s="1">
        <v>487975.03903873812</v>
      </c>
      <c r="U401" s="1">
        <v>487975.03903873812</v>
      </c>
      <c r="V401" s="1">
        <v>487975.03903873812</v>
      </c>
      <c r="W401" s="4">
        <f t="shared" si="12"/>
        <v>4840212.9671816844</v>
      </c>
      <c r="X401" s="4">
        <f t="shared" si="12"/>
        <v>4840212.9671816844</v>
      </c>
      <c r="Y401" s="5">
        <f t="shared" si="13"/>
        <v>0.58149999999999991</v>
      </c>
    </row>
    <row r="402" spans="1:25" x14ac:dyDescent="0.25">
      <c r="A402" s="1" t="s">
        <v>94</v>
      </c>
      <c r="B402" s="1" t="s">
        <v>61</v>
      </c>
      <c r="C402" s="1" t="s">
        <v>34</v>
      </c>
      <c r="D402" s="1">
        <v>122695098</v>
      </c>
      <c r="E402" s="1">
        <v>0</v>
      </c>
      <c r="F402" s="1">
        <v>0</v>
      </c>
      <c r="G402" s="1">
        <v>9815607.8388819825</v>
      </c>
      <c r="H402" s="1">
        <v>9815607.8388819825</v>
      </c>
      <c r="I402" s="1">
        <v>0</v>
      </c>
      <c r="J402" s="1">
        <v>0</v>
      </c>
      <c r="K402" s="1">
        <v>0</v>
      </c>
      <c r="L402" s="1">
        <v>0</v>
      </c>
      <c r="M402" s="1">
        <v>28219872.540279504</v>
      </c>
      <c r="N402" s="1">
        <v>28219872.540279504</v>
      </c>
      <c r="O402" s="1">
        <v>0</v>
      </c>
      <c r="P402" s="1">
        <v>0</v>
      </c>
      <c r="Q402" s="1">
        <v>0</v>
      </c>
      <c r="R402" s="1">
        <v>0</v>
      </c>
      <c r="S402" s="1">
        <v>42329808.810419254</v>
      </c>
      <c r="T402" s="1">
        <v>42329808.810419254</v>
      </c>
      <c r="U402" s="1">
        <v>0</v>
      </c>
      <c r="V402" s="1">
        <v>0</v>
      </c>
      <c r="W402" s="4">
        <f t="shared" ref="W402:X465" si="14">U402+S402+Q402+O402+M402+K402+I402+G402+E402</f>
        <v>80365289.189580739</v>
      </c>
      <c r="X402" s="4">
        <f t="shared" si="14"/>
        <v>80365289.189580739</v>
      </c>
      <c r="Y402" s="5">
        <f t="shared" si="13"/>
        <v>0.65499999999658287</v>
      </c>
    </row>
    <row r="403" spans="1:25" x14ac:dyDescent="0.25">
      <c r="A403" s="1" t="s">
        <v>94</v>
      </c>
      <c r="B403" s="1" t="s">
        <v>62</v>
      </c>
      <c r="C403" s="1" t="s">
        <v>63</v>
      </c>
      <c r="D403" s="1">
        <v>26642857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1998214.2857142854</v>
      </c>
      <c r="N403" s="1">
        <v>1998214.2857142854</v>
      </c>
      <c r="O403" s="1">
        <v>1665178.5714285714</v>
      </c>
      <c r="P403" s="1">
        <v>1665178.5714285714</v>
      </c>
      <c r="Q403" s="1">
        <v>2331249.9999999995</v>
      </c>
      <c r="R403" s="1">
        <v>2331249.9999999995</v>
      </c>
      <c r="S403" s="1">
        <v>2331249.9999999995</v>
      </c>
      <c r="T403" s="1">
        <v>2331249.9999999995</v>
      </c>
      <c r="U403" s="1">
        <v>2331249.9999999995</v>
      </c>
      <c r="V403" s="1">
        <v>2331249.9999999995</v>
      </c>
      <c r="W403" s="4">
        <f t="shared" si="14"/>
        <v>10657142.857142854</v>
      </c>
      <c r="X403" s="4">
        <f t="shared" si="14"/>
        <v>10657142.857142854</v>
      </c>
      <c r="Y403" s="5">
        <f t="shared" si="13"/>
        <v>0.40000000214477205</v>
      </c>
    </row>
    <row r="404" spans="1:25" x14ac:dyDescent="0.25">
      <c r="A404" s="1" t="s">
        <v>94</v>
      </c>
      <c r="B404" s="1" t="s">
        <v>40</v>
      </c>
      <c r="C404" s="1" t="s">
        <v>27</v>
      </c>
      <c r="D404" s="1">
        <v>154340809</v>
      </c>
      <c r="E404" s="1">
        <v>12096481.007991999</v>
      </c>
      <c r="F404" s="1">
        <v>12096481.007991999</v>
      </c>
      <c r="G404" s="1">
        <v>15839068</v>
      </c>
      <c r="H404" s="1">
        <v>15839068</v>
      </c>
      <c r="I404" s="1">
        <v>12031994.012262633</v>
      </c>
      <c r="J404" s="1">
        <v>12031994.012262633</v>
      </c>
      <c r="K404" s="1">
        <v>15285085</v>
      </c>
      <c r="L404" s="1">
        <v>15285085</v>
      </c>
      <c r="M404" s="1">
        <v>31499999.999999993</v>
      </c>
      <c r="N404" s="1">
        <v>31499999.999999993</v>
      </c>
      <c r="O404" s="1">
        <v>28475827.005078152</v>
      </c>
      <c r="P404" s="1">
        <v>28475827.005078152</v>
      </c>
      <c r="Q404" s="1">
        <v>12823290.011619443</v>
      </c>
      <c r="R404" s="1">
        <v>12823290.011619443</v>
      </c>
      <c r="S404" s="1">
        <v>8620503.0007636566</v>
      </c>
      <c r="T404" s="1">
        <v>8620503.0007636566</v>
      </c>
      <c r="U404" s="1">
        <v>4983256.9512485303</v>
      </c>
      <c r="V404" s="1">
        <v>4983256.9512485303</v>
      </c>
      <c r="W404" s="4">
        <f t="shared" si="14"/>
        <v>141655504.98896438</v>
      </c>
      <c r="X404" s="4">
        <f t="shared" si="14"/>
        <v>141655504.98896438</v>
      </c>
      <c r="Y404" s="5">
        <f t="shared" si="13"/>
        <v>0.91780978671016544</v>
      </c>
    </row>
    <row r="405" spans="1:25" x14ac:dyDescent="0.25">
      <c r="A405" s="1" t="s">
        <v>94</v>
      </c>
      <c r="B405" s="1" t="s">
        <v>40</v>
      </c>
      <c r="C405" s="1" t="s">
        <v>27</v>
      </c>
      <c r="D405" s="1">
        <v>151613253</v>
      </c>
      <c r="E405" s="1">
        <v>0</v>
      </c>
      <c r="F405" s="1">
        <v>0</v>
      </c>
      <c r="G405" s="1">
        <v>0</v>
      </c>
      <c r="H405" s="1">
        <v>0</v>
      </c>
      <c r="I405" s="1">
        <v>38026067.496329501</v>
      </c>
      <c r="J405" s="1">
        <v>38026067.496329501</v>
      </c>
      <c r="K405" s="1">
        <v>0</v>
      </c>
      <c r="L405" s="1">
        <v>0</v>
      </c>
      <c r="M405" s="1">
        <v>42595194.563876435</v>
      </c>
      <c r="N405" s="1">
        <v>42595194.563876435</v>
      </c>
      <c r="O405" s="1">
        <v>28396796.375917625</v>
      </c>
      <c r="P405" s="1">
        <v>28396796.375917625</v>
      </c>
      <c r="Q405" s="1">
        <v>42595194.563876435</v>
      </c>
      <c r="R405" s="1">
        <v>42595194.563876435</v>
      </c>
      <c r="S405" s="1">
        <v>0</v>
      </c>
      <c r="T405" s="1">
        <v>0</v>
      </c>
      <c r="U405" s="1">
        <v>0</v>
      </c>
      <c r="V405" s="1">
        <v>0</v>
      </c>
      <c r="W405" s="4">
        <f t="shared" si="14"/>
        <v>151613253</v>
      </c>
      <c r="X405" s="4">
        <f t="shared" si="14"/>
        <v>151613253</v>
      </c>
      <c r="Y405" s="5">
        <f t="shared" si="13"/>
        <v>1</v>
      </c>
    </row>
    <row r="406" spans="1:25" x14ac:dyDescent="0.25">
      <c r="A406" s="1" t="s">
        <v>94</v>
      </c>
      <c r="B406" s="1" t="s">
        <v>40</v>
      </c>
      <c r="C406" s="1" t="s">
        <v>27</v>
      </c>
      <c r="D406" s="1">
        <v>39830067</v>
      </c>
      <c r="E406" s="1">
        <v>20830067</v>
      </c>
      <c r="F406" s="1">
        <v>20830067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7125000</v>
      </c>
      <c r="N406" s="1">
        <v>7125000</v>
      </c>
      <c r="O406" s="1">
        <v>4750000</v>
      </c>
      <c r="P406" s="1">
        <v>4750000</v>
      </c>
      <c r="Q406" s="1">
        <v>7125000</v>
      </c>
      <c r="R406" s="1">
        <v>7125000</v>
      </c>
      <c r="S406" s="1">
        <v>0</v>
      </c>
      <c r="T406" s="1">
        <v>0</v>
      </c>
      <c r="U406" s="1">
        <v>0</v>
      </c>
      <c r="V406" s="1">
        <v>0</v>
      </c>
      <c r="W406" s="4">
        <f t="shared" si="14"/>
        <v>39830067</v>
      </c>
      <c r="X406" s="4">
        <f t="shared" si="14"/>
        <v>39830067</v>
      </c>
      <c r="Y406" s="5">
        <f t="shared" si="13"/>
        <v>1</v>
      </c>
    </row>
    <row r="407" spans="1:25" x14ac:dyDescent="0.25">
      <c r="A407" s="1" t="s">
        <v>94</v>
      </c>
      <c r="B407" s="1" t="s">
        <v>43</v>
      </c>
      <c r="C407" s="1" t="s">
        <v>31</v>
      </c>
      <c r="D407" s="1">
        <v>5972123</v>
      </c>
      <c r="E407" s="1">
        <v>346911.08941924229</v>
      </c>
      <c r="F407" s="1">
        <v>346911.08941924229</v>
      </c>
      <c r="G407" s="1">
        <v>433638.86177405284</v>
      </c>
      <c r="H407" s="1">
        <v>433638.86177405284</v>
      </c>
      <c r="I407" s="1">
        <v>433638.86177405284</v>
      </c>
      <c r="J407" s="1">
        <v>433638.86177405284</v>
      </c>
      <c r="K407" s="1">
        <v>433638.86177405284</v>
      </c>
      <c r="L407" s="1">
        <v>433638.86177405284</v>
      </c>
      <c r="M407" s="1">
        <v>322442.83197637845</v>
      </c>
      <c r="N407" s="1">
        <v>322442.83197637845</v>
      </c>
      <c r="O407" s="1">
        <v>268702.35998031538</v>
      </c>
      <c r="P407" s="1">
        <v>268702.35998031538</v>
      </c>
      <c r="Q407" s="1">
        <v>333014.1592255623</v>
      </c>
      <c r="R407" s="1">
        <v>333014.1592255623</v>
      </c>
      <c r="S407" s="1">
        <v>376183.30397244153</v>
      </c>
      <c r="T407" s="1">
        <v>376183.30397244153</v>
      </c>
      <c r="U407" s="1">
        <v>376183.30397244153</v>
      </c>
      <c r="V407" s="1">
        <v>376183.30397244153</v>
      </c>
      <c r="W407" s="4">
        <f t="shared" si="14"/>
        <v>3324353.6338685406</v>
      </c>
      <c r="X407" s="4">
        <f t="shared" si="14"/>
        <v>3324353.6338685406</v>
      </c>
      <c r="Y407" s="5">
        <f t="shared" si="13"/>
        <v>0.55664520537647011</v>
      </c>
    </row>
    <row r="408" spans="1:25" x14ac:dyDescent="0.25">
      <c r="A408" s="1" t="s">
        <v>94</v>
      </c>
      <c r="B408" s="1" t="s">
        <v>64</v>
      </c>
      <c r="C408" s="1" t="s">
        <v>23</v>
      </c>
      <c r="D408" s="1">
        <v>5626914.0819133446</v>
      </c>
      <c r="E408" s="1">
        <v>371376.32940628077</v>
      </c>
      <c r="F408" s="1">
        <v>371376.32940628077</v>
      </c>
      <c r="G408" s="1">
        <v>464220.41175785096</v>
      </c>
      <c r="H408" s="1">
        <v>464220.41175785096</v>
      </c>
      <c r="I408" s="1">
        <v>464220.41175785096</v>
      </c>
      <c r="J408" s="1">
        <v>464220.41175785096</v>
      </c>
      <c r="K408" s="1">
        <v>464220.41175785096</v>
      </c>
      <c r="L408" s="1">
        <v>464220.41175785096</v>
      </c>
      <c r="M408" s="1">
        <v>282752.43261614552</v>
      </c>
      <c r="N408" s="1">
        <v>282752.43261614552</v>
      </c>
      <c r="O408" s="1">
        <v>235627.02718012128</v>
      </c>
      <c r="P408" s="1">
        <v>235627.02718012128</v>
      </c>
      <c r="Q408" s="1">
        <v>329877.83805216977</v>
      </c>
      <c r="R408" s="1">
        <v>329877.83805216977</v>
      </c>
      <c r="S408" s="1">
        <v>329877.83805216977</v>
      </c>
      <c r="T408" s="1">
        <v>329877.83805216977</v>
      </c>
      <c r="U408" s="1">
        <v>329877.83805216977</v>
      </c>
      <c r="V408" s="1">
        <v>329877.83805216977</v>
      </c>
      <c r="W408" s="4">
        <f t="shared" si="14"/>
        <v>3272050.5386326099</v>
      </c>
      <c r="X408" s="4">
        <f t="shared" si="14"/>
        <v>3272050.5386326099</v>
      </c>
      <c r="Y408" s="5">
        <f t="shared" si="13"/>
        <v>0.58150000000000002</v>
      </c>
    </row>
    <row r="409" spans="1:25" x14ac:dyDescent="0.25">
      <c r="A409" s="1" t="s">
        <v>94</v>
      </c>
      <c r="B409" s="1" t="s">
        <v>65</v>
      </c>
      <c r="C409" s="1" t="s">
        <v>31</v>
      </c>
      <c r="D409" s="1">
        <v>5881318.482322379</v>
      </c>
      <c r="E409" s="1">
        <v>388167.01983327704</v>
      </c>
      <c r="F409" s="1">
        <v>388167.01983327704</v>
      </c>
      <c r="G409" s="1">
        <v>485208.77479159628</v>
      </c>
      <c r="H409" s="1">
        <v>485208.77479159628</v>
      </c>
      <c r="I409" s="1">
        <v>485208.77479159628</v>
      </c>
      <c r="J409" s="1">
        <v>485208.77479159628</v>
      </c>
      <c r="K409" s="1">
        <v>485208.77479159628</v>
      </c>
      <c r="L409" s="1">
        <v>485208.77479159628</v>
      </c>
      <c r="M409" s="1">
        <v>295536.25373669952</v>
      </c>
      <c r="N409" s="1">
        <v>295536.25373669952</v>
      </c>
      <c r="O409" s="1">
        <v>246280.21144724963</v>
      </c>
      <c r="P409" s="1">
        <v>246280.21144724963</v>
      </c>
      <c r="Q409" s="1">
        <v>344792.29602614947</v>
      </c>
      <c r="R409" s="1">
        <v>344792.29602614947</v>
      </c>
      <c r="S409" s="1">
        <v>344792.29602614947</v>
      </c>
      <c r="T409" s="1">
        <v>344792.29602614947</v>
      </c>
      <c r="U409" s="1">
        <v>344792.29602614947</v>
      </c>
      <c r="V409" s="1">
        <v>344792.29602614947</v>
      </c>
      <c r="W409" s="4">
        <f t="shared" si="14"/>
        <v>3419986.6974704633</v>
      </c>
      <c r="X409" s="4">
        <f t="shared" si="14"/>
        <v>3419986.6974704633</v>
      </c>
      <c r="Y409" s="5">
        <f t="shared" si="13"/>
        <v>0.58150000000000002</v>
      </c>
    </row>
    <row r="410" spans="1:25" x14ac:dyDescent="0.25">
      <c r="A410" s="1" t="s">
        <v>94</v>
      </c>
      <c r="B410" s="1" t="s">
        <v>44</v>
      </c>
      <c r="C410" s="1" t="s">
        <v>45</v>
      </c>
      <c r="D410" s="1">
        <v>8323668.0433047041</v>
      </c>
      <c r="E410" s="1">
        <v>549362.09085811058</v>
      </c>
      <c r="F410" s="1">
        <v>549362.09085811058</v>
      </c>
      <c r="G410" s="1">
        <v>686702.61357263813</v>
      </c>
      <c r="H410" s="1">
        <v>686702.61357263813</v>
      </c>
      <c r="I410" s="1">
        <v>686702.61357263813</v>
      </c>
      <c r="J410" s="1">
        <v>686702.61357263813</v>
      </c>
      <c r="K410" s="1">
        <v>686702.61357263813</v>
      </c>
      <c r="L410" s="1">
        <v>686702.61357263813</v>
      </c>
      <c r="M410" s="1">
        <v>418264.31917606125</v>
      </c>
      <c r="N410" s="1">
        <v>418264.31917606125</v>
      </c>
      <c r="O410" s="1">
        <v>348553.59931338439</v>
      </c>
      <c r="P410" s="1">
        <v>348553.59931338439</v>
      </c>
      <c r="Q410" s="1">
        <v>487975.03903873812</v>
      </c>
      <c r="R410" s="1">
        <v>487975.03903873812</v>
      </c>
      <c r="S410" s="1">
        <v>487975.03903873812</v>
      </c>
      <c r="T410" s="1">
        <v>487975.03903873812</v>
      </c>
      <c r="U410" s="1">
        <v>487975.03903873812</v>
      </c>
      <c r="V410" s="1">
        <v>487975.03903873812</v>
      </c>
      <c r="W410" s="4">
        <f t="shared" si="14"/>
        <v>4840212.9671816844</v>
      </c>
      <c r="X410" s="4">
        <f t="shared" si="14"/>
        <v>4840212.9671816844</v>
      </c>
      <c r="Y410" s="5">
        <f t="shared" si="13"/>
        <v>0.58149999999999991</v>
      </c>
    </row>
    <row r="411" spans="1:25" x14ac:dyDescent="0.25">
      <c r="A411" s="1" t="s">
        <v>94</v>
      </c>
      <c r="B411" s="1" t="s">
        <v>46</v>
      </c>
      <c r="C411" s="1" t="s">
        <v>22</v>
      </c>
      <c r="D411" s="1">
        <v>91180433.863948688</v>
      </c>
      <c r="E411" s="1">
        <v>6023545.7748404276</v>
      </c>
      <c r="F411" s="1">
        <v>6023545.7748404276</v>
      </c>
      <c r="G411" s="1">
        <v>7529432.218550534</v>
      </c>
      <c r="H411" s="1">
        <v>7529432.218550534</v>
      </c>
      <c r="I411" s="1">
        <v>7529432.218550534</v>
      </c>
      <c r="J411" s="1">
        <v>7529432.218550534</v>
      </c>
      <c r="K411" s="1">
        <v>7529432.218550534</v>
      </c>
      <c r="L411" s="1">
        <v>7529432.218550534</v>
      </c>
      <c r="M411" s="1">
        <v>4724471.1610659715</v>
      </c>
      <c r="N411" s="1">
        <v>4724471.1610659715</v>
      </c>
      <c r="O411" s="1">
        <v>3841890.3164665722</v>
      </c>
      <c r="P411" s="1">
        <v>3841890.3164665722</v>
      </c>
      <c r="Q411" s="1">
        <v>5318858.6466370253</v>
      </c>
      <c r="R411" s="1">
        <v>5318858.6466370253</v>
      </c>
      <c r="S411" s="1">
        <v>5318858.6466370253</v>
      </c>
      <c r="T411" s="1">
        <v>5318858.6466370253</v>
      </c>
      <c r="U411" s="1">
        <v>5318858.6466370253</v>
      </c>
      <c r="V411" s="1">
        <v>5318858.6466370253</v>
      </c>
      <c r="W411" s="4">
        <f t="shared" si="14"/>
        <v>53134779.847935647</v>
      </c>
      <c r="X411" s="4">
        <f t="shared" si="14"/>
        <v>53134779.847935647</v>
      </c>
      <c r="Y411" s="5">
        <f t="shared" si="13"/>
        <v>0.58274322238056719</v>
      </c>
    </row>
    <row r="412" spans="1:25" x14ac:dyDescent="0.25">
      <c r="A412" s="1" t="s">
        <v>94</v>
      </c>
      <c r="B412" s="1" t="s">
        <v>66</v>
      </c>
      <c r="C412" s="1" t="s">
        <v>24</v>
      </c>
      <c r="D412" s="1">
        <v>288839439.17101151</v>
      </c>
      <c r="E412" s="1">
        <v>23829253.73160845</v>
      </c>
      <c r="F412" s="1">
        <v>23829253.73160845</v>
      </c>
      <c r="G412" s="1">
        <v>23829253.73160845</v>
      </c>
      <c r="H412" s="1">
        <v>23829253.73160845</v>
      </c>
      <c r="I412" s="1">
        <v>23829253.73160845</v>
      </c>
      <c r="J412" s="1">
        <v>23829253.73160845</v>
      </c>
      <c r="K412" s="1">
        <v>23829253.73160845</v>
      </c>
      <c r="L412" s="1">
        <v>23829253.73160845</v>
      </c>
      <c r="M412" s="1">
        <v>25248525.906899538</v>
      </c>
      <c r="N412" s="1">
        <v>25248525.906899538</v>
      </c>
      <c r="O412" s="1">
        <v>24113108.166666668</v>
      </c>
      <c r="P412" s="1">
        <v>24113108.166666668</v>
      </c>
      <c r="Q412" s="1">
        <v>24113108.166666668</v>
      </c>
      <c r="R412" s="1">
        <v>24113108.166666668</v>
      </c>
      <c r="S412" s="1">
        <v>24113108.166666668</v>
      </c>
      <c r="T412" s="1">
        <v>24113108.166666668</v>
      </c>
      <c r="U412" s="1">
        <v>24113108.166666668</v>
      </c>
      <c r="V412" s="1">
        <v>24113108.166666668</v>
      </c>
      <c r="W412" s="4">
        <f t="shared" si="14"/>
        <v>217017973.5</v>
      </c>
      <c r="X412" s="4">
        <f t="shared" si="14"/>
        <v>217017973.5</v>
      </c>
      <c r="Y412" s="5">
        <f t="shared" si="13"/>
        <v>0.75134467136086436</v>
      </c>
    </row>
    <row r="413" spans="1:25" x14ac:dyDescent="0.25">
      <c r="A413" s="1" t="s">
        <v>94</v>
      </c>
      <c r="B413" s="1" t="s">
        <v>67</v>
      </c>
      <c r="C413" s="1" t="s">
        <v>68</v>
      </c>
      <c r="D413" s="1">
        <v>5916750.6585043678</v>
      </c>
      <c r="E413" s="1">
        <v>390505.54346128833</v>
      </c>
      <c r="F413" s="1">
        <v>390505.54346128833</v>
      </c>
      <c r="G413" s="1">
        <v>488131.92932661035</v>
      </c>
      <c r="H413" s="1">
        <v>488131.92932661035</v>
      </c>
      <c r="I413" s="1">
        <v>488131.92932661035</v>
      </c>
      <c r="J413" s="1">
        <v>488131.92932661035</v>
      </c>
      <c r="K413" s="1">
        <v>488131.92932661035</v>
      </c>
      <c r="L413" s="1">
        <v>488131.92932661035</v>
      </c>
      <c r="M413" s="1">
        <v>307671.03424222715</v>
      </c>
      <c r="N413" s="1">
        <v>307671.03424222715</v>
      </c>
      <c r="O413" s="1">
        <v>246531.277437682</v>
      </c>
      <c r="P413" s="1">
        <v>246531.277437682</v>
      </c>
      <c r="Q413" s="1">
        <v>345143.78841275477</v>
      </c>
      <c r="R413" s="1">
        <v>345143.78841275477</v>
      </c>
      <c r="S413" s="1">
        <v>345143.78841275477</v>
      </c>
      <c r="T413" s="1">
        <v>345143.78841275477</v>
      </c>
      <c r="U413" s="1">
        <v>345143.78841275477</v>
      </c>
      <c r="V413" s="1">
        <v>345143.78841275477</v>
      </c>
      <c r="W413" s="4">
        <f t="shared" si="14"/>
        <v>3444535.0083592925</v>
      </c>
      <c r="X413" s="4">
        <f t="shared" si="14"/>
        <v>3444535.0083592925</v>
      </c>
      <c r="Y413" s="5">
        <f t="shared" si="13"/>
        <v>0.58216666666666661</v>
      </c>
    </row>
    <row r="414" spans="1:25" x14ac:dyDescent="0.25">
      <c r="A414" s="1" t="s">
        <v>94</v>
      </c>
      <c r="B414" s="1" t="s">
        <v>69</v>
      </c>
      <c r="C414" s="1" t="s">
        <v>28</v>
      </c>
      <c r="D414" s="1">
        <v>8218719.8248512559</v>
      </c>
      <c r="E414" s="1">
        <v>542435.50844018289</v>
      </c>
      <c r="F414" s="1">
        <v>542435.50844018289</v>
      </c>
      <c r="G414" s="1">
        <v>678044.38555022865</v>
      </c>
      <c r="H414" s="1">
        <v>678044.38555022865</v>
      </c>
      <c r="I414" s="1">
        <v>678044.38555022865</v>
      </c>
      <c r="J414" s="1">
        <v>678044.38555022865</v>
      </c>
      <c r="K414" s="1">
        <v>678044.38555022865</v>
      </c>
      <c r="L414" s="1">
        <v>678044.38555022865</v>
      </c>
      <c r="M414" s="1">
        <v>412990.67119877558</v>
      </c>
      <c r="N414" s="1">
        <v>412990.67119877558</v>
      </c>
      <c r="O414" s="1">
        <v>344158.89266564633</v>
      </c>
      <c r="P414" s="1">
        <v>344158.89266564633</v>
      </c>
      <c r="Q414" s="1">
        <v>481822.44973190484</v>
      </c>
      <c r="R414" s="1">
        <v>481822.44973190484</v>
      </c>
      <c r="S414" s="1">
        <v>481822.44973190484</v>
      </c>
      <c r="T414" s="1">
        <v>481822.44973190484</v>
      </c>
      <c r="U414" s="1">
        <v>481822.44973190484</v>
      </c>
      <c r="V414" s="1">
        <v>481822.44973190484</v>
      </c>
      <c r="W414" s="4">
        <f t="shared" si="14"/>
        <v>4779185.5781510053</v>
      </c>
      <c r="X414" s="4">
        <f t="shared" si="14"/>
        <v>4779185.5781510053</v>
      </c>
      <c r="Y414" s="5">
        <f t="shared" si="13"/>
        <v>0.58150000000000002</v>
      </c>
    </row>
    <row r="415" spans="1:25" x14ac:dyDescent="0.25">
      <c r="A415" s="1" t="s">
        <v>94</v>
      </c>
      <c r="B415" s="1" t="s">
        <v>70</v>
      </c>
      <c r="C415" s="1" t="s">
        <v>23</v>
      </c>
      <c r="D415" s="1">
        <v>8268750.0182812503</v>
      </c>
      <c r="E415" s="1">
        <v>545737.50120656262</v>
      </c>
      <c r="F415" s="1">
        <v>545737.50120656262</v>
      </c>
      <c r="G415" s="1">
        <v>682171.87650820322</v>
      </c>
      <c r="H415" s="1">
        <v>682171.87650820322</v>
      </c>
      <c r="I415" s="1">
        <v>682171.87650820322</v>
      </c>
      <c r="J415" s="1">
        <v>682171.87650820322</v>
      </c>
      <c r="K415" s="1">
        <v>682171.87650820322</v>
      </c>
      <c r="L415" s="1">
        <v>682171.87650820322</v>
      </c>
      <c r="M415" s="1">
        <v>415504.68841863284</v>
      </c>
      <c r="N415" s="1">
        <v>415504.68841863284</v>
      </c>
      <c r="O415" s="1">
        <v>346253.90701552737</v>
      </c>
      <c r="P415" s="1">
        <v>346253.90701552737</v>
      </c>
      <c r="Q415" s="1">
        <v>484755.46982173825</v>
      </c>
      <c r="R415" s="1">
        <v>484755.46982173825</v>
      </c>
      <c r="S415" s="1">
        <v>484755.46982173825</v>
      </c>
      <c r="T415" s="1">
        <v>484755.46982173825</v>
      </c>
      <c r="U415" s="1">
        <v>484755.46982173825</v>
      </c>
      <c r="V415" s="1">
        <v>484755.46982173825</v>
      </c>
      <c r="W415" s="4">
        <f t="shared" si="14"/>
        <v>4808278.135630548</v>
      </c>
      <c r="X415" s="4">
        <f t="shared" si="14"/>
        <v>4808278.135630548</v>
      </c>
      <c r="Y415" s="5">
        <f t="shared" si="13"/>
        <v>0.58150000000000013</v>
      </c>
    </row>
    <row r="416" spans="1:25" x14ac:dyDescent="0.25">
      <c r="A416" s="1" t="s">
        <v>94</v>
      </c>
      <c r="B416" s="1" t="s">
        <v>71</v>
      </c>
      <c r="C416" s="1" t="s">
        <v>29</v>
      </c>
      <c r="D416" s="1">
        <v>7159463.9711538423</v>
      </c>
      <c r="E416" s="1">
        <v>472524.62209615367</v>
      </c>
      <c r="F416" s="1">
        <v>472524.62209615367</v>
      </c>
      <c r="G416" s="1">
        <v>590655.77762019204</v>
      </c>
      <c r="H416" s="1">
        <v>590655.77762019204</v>
      </c>
      <c r="I416" s="1">
        <v>590655.77762019204</v>
      </c>
      <c r="J416" s="1">
        <v>590655.77762019204</v>
      </c>
      <c r="K416" s="1">
        <v>590655.77762019204</v>
      </c>
      <c r="L416" s="1">
        <v>590655.77762019204</v>
      </c>
      <c r="M416" s="1">
        <v>359763.06455048051</v>
      </c>
      <c r="N416" s="1">
        <v>359763.06455048051</v>
      </c>
      <c r="O416" s="1">
        <v>299802.5537920671</v>
      </c>
      <c r="P416" s="1">
        <v>299802.5537920671</v>
      </c>
      <c r="Q416" s="1">
        <v>419723.57530889392</v>
      </c>
      <c r="R416" s="1">
        <v>419723.57530889392</v>
      </c>
      <c r="S416" s="1">
        <v>419723.57530889392</v>
      </c>
      <c r="T416" s="1">
        <v>419723.57530889392</v>
      </c>
      <c r="U416" s="1">
        <v>419723.57530889392</v>
      </c>
      <c r="V416" s="1">
        <v>419723.57530889392</v>
      </c>
      <c r="W416" s="4">
        <f t="shared" si="14"/>
        <v>4163228.2992259599</v>
      </c>
      <c r="X416" s="4">
        <f t="shared" si="14"/>
        <v>4163228.2992259599</v>
      </c>
      <c r="Y416" s="5">
        <f t="shared" si="13"/>
        <v>0.58150000000000013</v>
      </c>
    </row>
    <row r="417" spans="1:25" x14ac:dyDescent="0.25">
      <c r="A417" s="1" t="s">
        <v>94</v>
      </c>
      <c r="B417" s="1" t="s">
        <v>72</v>
      </c>
      <c r="C417" s="1" t="s">
        <v>73</v>
      </c>
      <c r="D417" s="1">
        <v>7981928.015009556</v>
      </c>
      <c r="E417" s="1">
        <v>526807.24899063073</v>
      </c>
      <c r="F417" s="1">
        <v>526807.24899063073</v>
      </c>
      <c r="G417" s="1">
        <v>658509.06123828841</v>
      </c>
      <c r="H417" s="1">
        <v>658509.06123828841</v>
      </c>
      <c r="I417" s="1">
        <v>658509.06123828841</v>
      </c>
      <c r="J417" s="1">
        <v>658509.06123828841</v>
      </c>
      <c r="K417" s="1">
        <v>658509.06123828841</v>
      </c>
      <c r="L417" s="1">
        <v>658509.06123828841</v>
      </c>
      <c r="M417" s="1">
        <v>401091.88275423017</v>
      </c>
      <c r="N417" s="1">
        <v>401091.88275423017</v>
      </c>
      <c r="O417" s="1">
        <v>334243.23562852514</v>
      </c>
      <c r="P417" s="1">
        <v>334243.23562852514</v>
      </c>
      <c r="Q417" s="1">
        <v>467940.52987993514</v>
      </c>
      <c r="R417" s="1">
        <v>467940.52987993514</v>
      </c>
      <c r="S417" s="1">
        <v>467940.52987993514</v>
      </c>
      <c r="T417" s="1">
        <v>467940.52987993514</v>
      </c>
      <c r="U417" s="1">
        <v>467940.52987993514</v>
      </c>
      <c r="V417" s="1">
        <v>467940.52987993514</v>
      </c>
      <c r="W417" s="4">
        <f t="shared" si="14"/>
        <v>4641491.1407280564</v>
      </c>
      <c r="X417" s="4">
        <f t="shared" si="14"/>
        <v>4641491.1407280564</v>
      </c>
      <c r="Y417" s="5">
        <f t="shared" si="13"/>
        <v>0.58149999999999991</v>
      </c>
    </row>
    <row r="418" spans="1:25" x14ac:dyDescent="0.25">
      <c r="A418" s="1" t="s">
        <v>94</v>
      </c>
      <c r="B418" s="1" t="s">
        <v>48</v>
      </c>
      <c r="C418" s="1" t="s">
        <v>49</v>
      </c>
      <c r="D418" s="1">
        <v>5461302.7304711919</v>
      </c>
      <c r="E418" s="1">
        <v>360445.98021109868</v>
      </c>
      <c r="F418" s="1">
        <v>360445.98021109868</v>
      </c>
      <c r="G418" s="1">
        <v>450557.47526387335</v>
      </c>
      <c r="H418" s="1">
        <v>450557.47526387335</v>
      </c>
      <c r="I418" s="1">
        <v>450557.47526387335</v>
      </c>
      <c r="J418" s="1">
        <v>450557.47526387335</v>
      </c>
      <c r="K418" s="1">
        <v>450557.47526387335</v>
      </c>
      <c r="L418" s="1">
        <v>450557.47526387335</v>
      </c>
      <c r="M418" s="1">
        <v>274430.46220617747</v>
      </c>
      <c r="N418" s="1">
        <v>274430.46220617747</v>
      </c>
      <c r="O418" s="1">
        <v>228692.05183848122</v>
      </c>
      <c r="P418" s="1">
        <v>228692.05183848122</v>
      </c>
      <c r="Q418" s="1">
        <v>320168.87257387367</v>
      </c>
      <c r="R418" s="1">
        <v>320168.87257387367</v>
      </c>
      <c r="S418" s="1">
        <v>320168.87257387367</v>
      </c>
      <c r="T418" s="1">
        <v>320168.87257387367</v>
      </c>
      <c r="U418" s="1">
        <v>320168.87257387367</v>
      </c>
      <c r="V418" s="1">
        <v>320168.87257387367</v>
      </c>
      <c r="W418" s="4">
        <f t="shared" si="14"/>
        <v>3175747.5377689982</v>
      </c>
      <c r="X418" s="4">
        <f t="shared" si="14"/>
        <v>3175747.5377689982</v>
      </c>
      <c r="Y418" s="5">
        <f t="shared" si="13"/>
        <v>0.58150000000000002</v>
      </c>
    </row>
    <row r="419" spans="1:25" x14ac:dyDescent="0.25">
      <c r="A419" s="1" t="s">
        <v>94</v>
      </c>
      <c r="B419" s="1" t="s">
        <v>53</v>
      </c>
      <c r="C419" s="1" t="s">
        <v>30</v>
      </c>
      <c r="D419" s="1">
        <v>9688786.1158917695</v>
      </c>
      <c r="E419" s="1">
        <v>639459.88364885689</v>
      </c>
      <c r="F419" s="1">
        <v>639459.88364885689</v>
      </c>
      <c r="G419" s="1">
        <v>799324.85456107103</v>
      </c>
      <c r="H419" s="1">
        <v>799324.85456107103</v>
      </c>
      <c r="I419" s="1">
        <v>799324.85456107103</v>
      </c>
      <c r="J419" s="1">
        <v>799324.85456107103</v>
      </c>
      <c r="K419" s="1">
        <v>799324.85456107103</v>
      </c>
      <c r="L419" s="1">
        <v>799324.85456107103</v>
      </c>
      <c r="M419" s="1">
        <v>486861.50232356141</v>
      </c>
      <c r="N419" s="1">
        <v>486861.50232356141</v>
      </c>
      <c r="O419" s="1">
        <v>405717.91860296787</v>
      </c>
      <c r="P419" s="1">
        <v>405717.91860296787</v>
      </c>
      <c r="Q419" s="1">
        <v>568005.08604415494</v>
      </c>
      <c r="R419" s="1">
        <v>568005.08604415494</v>
      </c>
      <c r="S419" s="1">
        <v>568005.08604415494</v>
      </c>
      <c r="T419" s="1">
        <v>568005.08604415494</v>
      </c>
      <c r="U419" s="1">
        <v>568005.08604415494</v>
      </c>
      <c r="V419" s="1">
        <v>568005.08604415494</v>
      </c>
      <c r="W419" s="4">
        <f t="shared" si="14"/>
        <v>5634029.1263910634</v>
      </c>
      <c r="X419" s="4">
        <f t="shared" si="14"/>
        <v>5634029.1263910634</v>
      </c>
      <c r="Y419" s="5">
        <f t="shared" si="13"/>
        <v>0.58149999999999991</v>
      </c>
    </row>
    <row r="420" spans="1:25" x14ac:dyDescent="0.25">
      <c r="A420" s="1" t="s">
        <v>94</v>
      </c>
      <c r="B420" s="1" t="s">
        <v>74</v>
      </c>
      <c r="C420" s="1" t="s">
        <v>75</v>
      </c>
      <c r="D420" s="1">
        <v>5940301.0640891325</v>
      </c>
      <c r="E420" s="1">
        <v>392059.87022988277</v>
      </c>
      <c r="F420" s="1">
        <v>392059.87022988277</v>
      </c>
      <c r="G420" s="1">
        <v>490074.83778735343</v>
      </c>
      <c r="H420" s="1">
        <v>490074.83778735343</v>
      </c>
      <c r="I420" s="1">
        <v>490074.83778735343</v>
      </c>
      <c r="J420" s="1">
        <v>490074.83778735343</v>
      </c>
      <c r="K420" s="1">
        <v>490074.83778735343</v>
      </c>
      <c r="L420" s="1">
        <v>490074.83778735343</v>
      </c>
      <c r="M420" s="1">
        <v>298500.12847047887</v>
      </c>
      <c r="N420" s="1">
        <v>298500.12847047887</v>
      </c>
      <c r="O420" s="1">
        <v>248750.10705873242</v>
      </c>
      <c r="P420" s="1">
        <v>248750.10705873242</v>
      </c>
      <c r="Q420" s="1">
        <v>348250.14988222538</v>
      </c>
      <c r="R420" s="1">
        <v>348250.14988222538</v>
      </c>
      <c r="S420" s="1">
        <v>348250.14988222538</v>
      </c>
      <c r="T420" s="1">
        <v>348250.14988222538</v>
      </c>
      <c r="U420" s="1">
        <v>348250.14988222538</v>
      </c>
      <c r="V420" s="1">
        <v>348250.14988222538</v>
      </c>
      <c r="W420" s="4">
        <f t="shared" si="14"/>
        <v>3454285.0687678303</v>
      </c>
      <c r="X420" s="4">
        <f t="shared" si="14"/>
        <v>3454285.0687678303</v>
      </c>
      <c r="Y420" s="5">
        <f t="shared" si="13"/>
        <v>0.58149999999999991</v>
      </c>
    </row>
    <row r="421" spans="1:25" x14ac:dyDescent="0.25">
      <c r="A421" s="1" t="s">
        <v>94</v>
      </c>
      <c r="B421" s="1" t="s">
        <v>50</v>
      </c>
      <c r="C421" s="1" t="s">
        <v>25</v>
      </c>
      <c r="D421" s="1">
        <v>5734367.8669947507</v>
      </c>
      <c r="E421" s="1">
        <v>378468.27922165359</v>
      </c>
      <c r="F421" s="1">
        <v>378468.27922165359</v>
      </c>
      <c r="G421" s="1">
        <v>473085.34902706696</v>
      </c>
      <c r="H421" s="1">
        <v>473085.34902706696</v>
      </c>
      <c r="I421" s="1">
        <v>473085.34902706696</v>
      </c>
      <c r="J421" s="1">
        <v>473085.34902706696</v>
      </c>
      <c r="K421" s="1">
        <v>473085.34902706696</v>
      </c>
      <c r="L421" s="1">
        <v>473085.34902706696</v>
      </c>
      <c r="M421" s="1">
        <v>288151.98531648621</v>
      </c>
      <c r="N421" s="1">
        <v>288151.98531648621</v>
      </c>
      <c r="O421" s="1">
        <v>240126.65443040518</v>
      </c>
      <c r="P421" s="1">
        <v>240126.65443040518</v>
      </c>
      <c r="Q421" s="1">
        <v>336177.31620256725</v>
      </c>
      <c r="R421" s="1">
        <v>336177.31620256725</v>
      </c>
      <c r="S421" s="1">
        <v>336177.31620256725</v>
      </c>
      <c r="T421" s="1">
        <v>336177.31620256725</v>
      </c>
      <c r="U421" s="1">
        <v>336177.31620256725</v>
      </c>
      <c r="V421" s="1">
        <v>336177.31620256725</v>
      </c>
      <c r="W421" s="4">
        <f t="shared" si="14"/>
        <v>3334534.9146574475</v>
      </c>
      <c r="X421" s="4">
        <f t="shared" si="14"/>
        <v>3334534.9146574475</v>
      </c>
      <c r="Y421" s="5">
        <f t="shared" si="13"/>
        <v>0.58150000000000002</v>
      </c>
    </row>
    <row r="422" spans="1:25" x14ac:dyDescent="0.25">
      <c r="A422" s="1" t="s">
        <v>95</v>
      </c>
      <c r="B422" s="1" t="s">
        <v>59</v>
      </c>
      <c r="C422" s="1" t="s">
        <v>26</v>
      </c>
      <c r="D422" s="1">
        <v>40083728.003333338</v>
      </c>
      <c r="E422" s="1">
        <v>2645526.0586532424</v>
      </c>
      <c r="F422" s="1">
        <v>2645526.0586532424</v>
      </c>
      <c r="G422" s="1">
        <v>3306907.5733165527</v>
      </c>
      <c r="H422" s="1">
        <v>3306907.5733165527</v>
      </c>
      <c r="I422" s="1">
        <v>3306907.5733165527</v>
      </c>
      <c r="J422" s="1">
        <v>3306907.5733165527</v>
      </c>
      <c r="K422" s="1">
        <v>3306907.5733165527</v>
      </c>
      <c r="L422" s="1">
        <v>3306907.5733165527</v>
      </c>
      <c r="M422" s="1">
        <v>3357012.2137583913</v>
      </c>
      <c r="N422" s="1">
        <v>3357012.2137583913</v>
      </c>
      <c r="O422" s="1">
        <v>3357012.2137583913</v>
      </c>
      <c r="P422" s="1">
        <v>3357012.2137583913</v>
      </c>
      <c r="Q422" s="1">
        <v>7857012.2137583904</v>
      </c>
      <c r="R422" s="1">
        <v>7857012.2137583904</v>
      </c>
      <c r="S422" s="1">
        <v>7857012.2137583904</v>
      </c>
      <c r="T422" s="1">
        <v>7857012.2137583904</v>
      </c>
      <c r="U422" s="1">
        <v>3357012.2137583913</v>
      </c>
      <c r="V422" s="1">
        <v>3357012.2137583913</v>
      </c>
      <c r="W422" s="4">
        <f t="shared" si="14"/>
        <v>38351309.847394854</v>
      </c>
      <c r="X422" s="4">
        <f t="shared" si="14"/>
        <v>38351309.847394854</v>
      </c>
      <c r="Y422" s="5">
        <f t="shared" si="13"/>
        <v>0.95678001417945913</v>
      </c>
    </row>
    <row r="423" spans="1:25" x14ac:dyDescent="0.25">
      <c r="A423" s="1" t="s">
        <v>95</v>
      </c>
      <c r="B423" s="1" t="s">
        <v>59</v>
      </c>
      <c r="C423" s="1" t="s">
        <v>26</v>
      </c>
      <c r="D423" s="1">
        <v>50558675</v>
      </c>
      <c r="E423" s="1">
        <v>3336872.5419848245</v>
      </c>
      <c r="F423" s="1">
        <v>3336872.5419848245</v>
      </c>
      <c r="G423" s="1">
        <v>4171090.6774810306</v>
      </c>
      <c r="H423" s="1">
        <v>4171090.6774810306</v>
      </c>
      <c r="I423" s="1">
        <v>4171090.6774810306</v>
      </c>
      <c r="J423" s="1">
        <v>4171090.6774810306</v>
      </c>
      <c r="K423" s="1">
        <v>4171090.6774810306</v>
      </c>
      <c r="L423" s="1">
        <v>4171090.6774810306</v>
      </c>
      <c r="M423" s="1">
        <v>4234289.0362594835</v>
      </c>
      <c r="N423" s="1">
        <v>4234289.0362594835</v>
      </c>
      <c r="O423" s="1">
        <v>4234289.0362594835</v>
      </c>
      <c r="P423" s="1">
        <v>4234289.0362594835</v>
      </c>
      <c r="Q423" s="1">
        <v>9234289.0362594798</v>
      </c>
      <c r="R423" s="1">
        <v>9234289.0362594798</v>
      </c>
      <c r="S423" s="1">
        <v>9234289.0362594798</v>
      </c>
      <c r="T423" s="1">
        <v>9234289.0362594798</v>
      </c>
      <c r="U423" s="1">
        <v>4234289.0362594835</v>
      </c>
      <c r="V423" s="1">
        <v>4234289.0362594835</v>
      </c>
      <c r="W423" s="4">
        <f t="shared" si="14"/>
        <v>47021589.755725332</v>
      </c>
      <c r="X423" s="4">
        <f t="shared" si="14"/>
        <v>47021589.755725332</v>
      </c>
      <c r="Y423" s="5">
        <f t="shared" si="13"/>
        <v>0.93003999324992859</v>
      </c>
    </row>
    <row r="424" spans="1:25" x14ac:dyDescent="0.25">
      <c r="A424" s="1" t="s">
        <v>95</v>
      </c>
      <c r="B424" s="1" t="s">
        <v>33</v>
      </c>
      <c r="C424" s="1" t="s">
        <v>34</v>
      </c>
      <c r="D424" s="1">
        <v>132000000</v>
      </c>
      <c r="E424" s="1">
        <v>0</v>
      </c>
      <c r="F424" s="1">
        <v>0</v>
      </c>
      <c r="G424" s="1">
        <v>26400000</v>
      </c>
      <c r="H424" s="1">
        <v>26400000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39600000</v>
      </c>
      <c r="P424" s="1">
        <v>39600000</v>
      </c>
      <c r="Q424" s="1">
        <v>0</v>
      </c>
      <c r="R424" s="1">
        <v>0</v>
      </c>
      <c r="S424" s="1">
        <v>39600000</v>
      </c>
      <c r="T424" s="1">
        <v>39600000</v>
      </c>
      <c r="U424" s="1">
        <v>26400000</v>
      </c>
      <c r="V424" s="1">
        <v>26400000</v>
      </c>
      <c r="W424" s="4">
        <f t="shared" si="14"/>
        <v>132000000</v>
      </c>
      <c r="X424" s="4">
        <f t="shared" si="14"/>
        <v>132000000</v>
      </c>
      <c r="Y424" s="5">
        <f t="shared" si="13"/>
        <v>1</v>
      </c>
    </row>
    <row r="425" spans="1:25" x14ac:dyDescent="0.25">
      <c r="A425" s="1" t="s">
        <v>95</v>
      </c>
      <c r="B425" s="1" t="s">
        <v>35</v>
      </c>
      <c r="C425" s="1" t="s">
        <v>34</v>
      </c>
      <c r="D425" s="1">
        <v>330000000</v>
      </c>
      <c r="E425" s="1">
        <v>0</v>
      </c>
      <c r="F425" s="1">
        <v>0</v>
      </c>
      <c r="G425" s="1">
        <v>90750000</v>
      </c>
      <c r="H425" s="1">
        <v>90750000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79750000</v>
      </c>
      <c r="P425" s="1">
        <v>79750000</v>
      </c>
      <c r="Q425" s="1">
        <v>0</v>
      </c>
      <c r="R425" s="1">
        <v>0</v>
      </c>
      <c r="S425" s="1">
        <v>79750000</v>
      </c>
      <c r="T425" s="1">
        <v>79750000</v>
      </c>
      <c r="U425" s="1">
        <v>79750000</v>
      </c>
      <c r="V425" s="1">
        <v>79750000</v>
      </c>
      <c r="W425" s="4">
        <f t="shared" si="14"/>
        <v>330000000</v>
      </c>
      <c r="X425" s="4">
        <f t="shared" si="14"/>
        <v>330000000</v>
      </c>
      <c r="Y425" s="5">
        <f t="shared" si="13"/>
        <v>1</v>
      </c>
    </row>
    <row r="426" spans="1:25" x14ac:dyDescent="0.25">
      <c r="A426" s="1" t="s">
        <v>95</v>
      </c>
      <c r="B426" s="1" t="s">
        <v>38</v>
      </c>
      <c r="C426" s="1" t="s">
        <v>39</v>
      </c>
      <c r="D426" s="1">
        <v>11434502.200064346</v>
      </c>
      <c r="E426" s="1">
        <v>754677.14520424698</v>
      </c>
      <c r="F426" s="1">
        <v>754677.14520424698</v>
      </c>
      <c r="G426" s="1">
        <v>943346.4315053086</v>
      </c>
      <c r="H426" s="1">
        <v>943346.4315053086</v>
      </c>
      <c r="I426" s="1">
        <v>943346.4315053086</v>
      </c>
      <c r="J426" s="1">
        <v>943346.4315053086</v>
      </c>
      <c r="K426" s="1">
        <v>943346.4315053086</v>
      </c>
      <c r="L426" s="1">
        <v>943346.4315053086</v>
      </c>
      <c r="M426" s="1">
        <v>574583.73555323319</v>
      </c>
      <c r="N426" s="1">
        <v>574583.73555323319</v>
      </c>
      <c r="O426" s="1">
        <v>478819.77962769434</v>
      </c>
      <c r="P426" s="1">
        <v>478819.77962769434</v>
      </c>
      <c r="Q426" s="1">
        <v>670347.69147877209</v>
      </c>
      <c r="R426" s="1">
        <v>670347.69147877209</v>
      </c>
      <c r="S426" s="1">
        <v>670347.69147877209</v>
      </c>
      <c r="T426" s="1">
        <v>670347.69147877209</v>
      </c>
      <c r="U426" s="1">
        <v>670347.69147877209</v>
      </c>
      <c r="V426" s="1">
        <v>670347.69147877209</v>
      </c>
      <c r="W426" s="4">
        <f t="shared" si="14"/>
        <v>6649163.0293374164</v>
      </c>
      <c r="X426" s="4">
        <f t="shared" si="14"/>
        <v>6649163.0293374164</v>
      </c>
      <c r="Y426" s="5">
        <f t="shared" si="13"/>
        <v>0.58149999999999991</v>
      </c>
    </row>
    <row r="427" spans="1:25" x14ac:dyDescent="0.25">
      <c r="A427" s="1" t="s">
        <v>95</v>
      </c>
      <c r="B427" s="1" t="s">
        <v>61</v>
      </c>
      <c r="C427" s="1" t="s">
        <v>34</v>
      </c>
      <c r="D427" s="1">
        <v>154598927</v>
      </c>
      <c r="E427" s="1">
        <v>0</v>
      </c>
      <c r="F427" s="1">
        <v>0</v>
      </c>
      <c r="G427" s="1">
        <v>12367914.158591269</v>
      </c>
      <c r="H427" s="1">
        <v>12367914.158591269</v>
      </c>
      <c r="I427" s="1">
        <v>0</v>
      </c>
      <c r="J427" s="1">
        <v>0</v>
      </c>
      <c r="K427" s="1">
        <v>0</v>
      </c>
      <c r="L427" s="1">
        <v>0</v>
      </c>
      <c r="M427" s="1">
        <v>35557753.210352182</v>
      </c>
      <c r="N427" s="1">
        <v>35557753.210352182</v>
      </c>
      <c r="O427" s="1">
        <v>0</v>
      </c>
      <c r="P427" s="1">
        <v>0</v>
      </c>
      <c r="Q427" s="1">
        <v>0</v>
      </c>
      <c r="R427" s="1">
        <v>0</v>
      </c>
      <c r="S427" s="1">
        <v>53336629.815528274</v>
      </c>
      <c r="T427" s="1">
        <v>53336629.815528274</v>
      </c>
      <c r="U427" s="1">
        <v>0</v>
      </c>
      <c r="V427" s="1">
        <v>0</v>
      </c>
      <c r="W427" s="4">
        <f t="shared" si="14"/>
        <v>101262297.18447173</v>
      </c>
      <c r="X427" s="4">
        <f t="shared" si="14"/>
        <v>101262297.18447173</v>
      </c>
      <c r="Y427" s="5">
        <f t="shared" si="13"/>
        <v>0.65499999999658298</v>
      </c>
    </row>
    <row r="428" spans="1:25" x14ac:dyDescent="0.25">
      <c r="A428" s="1" t="s">
        <v>95</v>
      </c>
      <c r="B428" s="1" t="s">
        <v>62</v>
      </c>
      <c r="C428" s="1" t="s">
        <v>63</v>
      </c>
      <c r="D428" s="1">
        <v>44142857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3310714.2857142854</v>
      </c>
      <c r="N428" s="1">
        <v>3310714.2857142854</v>
      </c>
      <c r="O428" s="1">
        <v>2758928.5714285714</v>
      </c>
      <c r="P428" s="1">
        <v>2758928.5714285714</v>
      </c>
      <c r="Q428" s="1">
        <v>3862499.9999999995</v>
      </c>
      <c r="R428" s="1">
        <v>3862499.9999999995</v>
      </c>
      <c r="S428" s="1">
        <v>3862499.9999999995</v>
      </c>
      <c r="T428" s="1">
        <v>3862499.9999999995</v>
      </c>
      <c r="U428" s="1">
        <v>3862499.9999999995</v>
      </c>
      <c r="V428" s="1">
        <v>3862499.9999999995</v>
      </c>
      <c r="W428" s="4">
        <f t="shared" si="14"/>
        <v>17657142.857142854</v>
      </c>
      <c r="X428" s="4">
        <f t="shared" si="14"/>
        <v>17657142.857142854</v>
      </c>
      <c r="Y428" s="5">
        <f t="shared" si="13"/>
        <v>0.40000000129449831</v>
      </c>
    </row>
    <row r="429" spans="1:25" x14ac:dyDescent="0.25">
      <c r="A429" s="1" t="s">
        <v>95</v>
      </c>
      <c r="B429" s="1" t="s">
        <v>40</v>
      </c>
      <c r="C429" s="1" t="s">
        <v>27</v>
      </c>
      <c r="D429" s="1">
        <v>390282209</v>
      </c>
      <c r="E429" s="1">
        <v>32198282.216032006</v>
      </c>
      <c r="F429" s="1">
        <v>32198282.216032006</v>
      </c>
      <c r="G429" s="1">
        <v>32198282.216032006</v>
      </c>
      <c r="H429" s="1">
        <v>32198282.216032006</v>
      </c>
      <c r="I429" s="1">
        <v>32198282.216032006</v>
      </c>
      <c r="J429" s="1">
        <v>32198282.216032006</v>
      </c>
      <c r="K429" s="1">
        <v>32198282.216032006</v>
      </c>
      <c r="L429" s="1">
        <v>32198282.216032006</v>
      </c>
      <c r="M429" s="1">
        <v>60000000</v>
      </c>
      <c r="N429" s="1">
        <v>60000000</v>
      </c>
      <c r="O429" s="1">
        <v>83530209.283968002</v>
      </c>
      <c r="P429" s="1">
        <v>83530209.283968002</v>
      </c>
      <c r="Q429" s="1">
        <v>30058386.212975964</v>
      </c>
      <c r="R429" s="1">
        <v>30058386.212975964</v>
      </c>
      <c r="S429" s="1">
        <v>55217102.638927862</v>
      </c>
      <c r="T429" s="1">
        <v>55217102.638927862</v>
      </c>
      <c r="U429" s="1">
        <v>5325492</v>
      </c>
      <c r="V429" s="1">
        <v>5325492</v>
      </c>
      <c r="W429" s="4">
        <f t="shared" si="14"/>
        <v>362924318.99999988</v>
      </c>
      <c r="X429" s="4">
        <f t="shared" si="14"/>
        <v>362924318.99999988</v>
      </c>
      <c r="Y429" s="5">
        <f t="shared" si="13"/>
        <v>0.92990228770586847</v>
      </c>
    </row>
    <row r="430" spans="1:25" x14ac:dyDescent="0.25">
      <c r="A430" s="1" t="s">
        <v>95</v>
      </c>
      <c r="B430" s="1" t="s">
        <v>40</v>
      </c>
      <c r="C430" s="1" t="s">
        <v>27</v>
      </c>
      <c r="D430" s="1">
        <v>460644755</v>
      </c>
      <c r="E430" s="1">
        <v>38003192.263751768</v>
      </c>
      <c r="F430" s="1">
        <v>38003192.263751768</v>
      </c>
      <c r="G430" s="1">
        <v>38003192.263751768</v>
      </c>
      <c r="H430" s="1">
        <v>38003192.263751768</v>
      </c>
      <c r="I430" s="1">
        <v>38003192.263751768</v>
      </c>
      <c r="J430" s="1">
        <v>38003192.263751768</v>
      </c>
      <c r="K430" s="1">
        <v>38003192.263751768</v>
      </c>
      <c r="L430" s="1">
        <v>38003192.263751768</v>
      </c>
      <c r="M430" s="1">
        <v>70000000</v>
      </c>
      <c r="N430" s="1">
        <v>70000000</v>
      </c>
      <c r="O430" s="1">
        <v>133817656.23624828</v>
      </c>
      <c r="P430" s="1">
        <v>133817656.23624828</v>
      </c>
      <c r="Q430" s="1">
        <v>24906173.177186176</v>
      </c>
      <c r="R430" s="1">
        <v>24906173.177186176</v>
      </c>
      <c r="S430" s="1">
        <v>68364185.531558439</v>
      </c>
      <c r="T430" s="1">
        <v>68364185.531558439</v>
      </c>
      <c r="U430" s="1">
        <v>4987500</v>
      </c>
      <c r="V430" s="1">
        <v>4987500</v>
      </c>
      <c r="W430" s="4">
        <f t="shared" si="14"/>
        <v>454088283.99999988</v>
      </c>
      <c r="X430" s="4">
        <f t="shared" si="14"/>
        <v>454088283.99999988</v>
      </c>
      <c r="Y430" s="5">
        <f t="shared" si="13"/>
        <v>0.98576675208208953</v>
      </c>
    </row>
    <row r="431" spans="1:25" x14ac:dyDescent="0.25">
      <c r="A431" s="1" t="s">
        <v>95</v>
      </c>
      <c r="B431" s="1" t="s">
        <v>43</v>
      </c>
      <c r="C431" s="1" t="s">
        <v>31</v>
      </c>
      <c r="D431" s="1">
        <v>7102089</v>
      </c>
      <c r="E431" s="1">
        <v>412549.01498708915</v>
      </c>
      <c r="F431" s="1">
        <v>412549.01498708915</v>
      </c>
      <c r="G431" s="1">
        <v>515686.26873386139</v>
      </c>
      <c r="H431" s="1">
        <v>515686.26873386139</v>
      </c>
      <c r="I431" s="1">
        <v>515686.26873386139</v>
      </c>
      <c r="J431" s="1">
        <v>515686.26873386139</v>
      </c>
      <c r="K431" s="1">
        <v>515686.26873386139</v>
      </c>
      <c r="L431" s="1">
        <v>515686.26873386139</v>
      </c>
      <c r="M431" s="1">
        <v>383451.19766622229</v>
      </c>
      <c r="N431" s="1">
        <v>383451.19766622229</v>
      </c>
      <c r="O431" s="1">
        <v>319542.66472185194</v>
      </c>
      <c r="P431" s="1">
        <v>319542.66472185194</v>
      </c>
      <c r="Q431" s="1">
        <v>396022.63327104039</v>
      </c>
      <c r="R431" s="1">
        <v>396022.63327104039</v>
      </c>
      <c r="S431" s="1">
        <v>447359.7306105927</v>
      </c>
      <c r="T431" s="1">
        <v>447359.7306105927</v>
      </c>
      <c r="U431" s="1">
        <v>447359.7306105927</v>
      </c>
      <c r="V431" s="1">
        <v>447359.7306105927</v>
      </c>
      <c r="W431" s="4">
        <f t="shared" si="14"/>
        <v>3953343.7780689732</v>
      </c>
      <c r="X431" s="4">
        <f t="shared" si="14"/>
        <v>3953343.7780689732</v>
      </c>
      <c r="Y431" s="5">
        <f t="shared" si="13"/>
        <v>0.55664520369555681</v>
      </c>
    </row>
    <row r="432" spans="1:25" x14ac:dyDescent="0.25">
      <c r="A432" s="1" t="s">
        <v>95</v>
      </c>
      <c r="B432" s="1" t="s">
        <v>64</v>
      </c>
      <c r="C432" s="1" t="s">
        <v>23</v>
      </c>
      <c r="D432" s="1">
        <v>7145736.7195929913</v>
      </c>
      <c r="E432" s="1">
        <v>471618.62349313754</v>
      </c>
      <c r="F432" s="1">
        <v>471618.62349313754</v>
      </c>
      <c r="G432" s="1">
        <v>589523.27936642186</v>
      </c>
      <c r="H432" s="1">
        <v>589523.27936642186</v>
      </c>
      <c r="I432" s="1">
        <v>589523.27936642186</v>
      </c>
      <c r="J432" s="1">
        <v>589523.27936642186</v>
      </c>
      <c r="K432" s="1">
        <v>589523.27936642186</v>
      </c>
      <c r="L432" s="1">
        <v>589523.27936642186</v>
      </c>
      <c r="M432" s="1">
        <v>359073.2701595478</v>
      </c>
      <c r="N432" s="1">
        <v>359073.2701595478</v>
      </c>
      <c r="O432" s="1">
        <v>299227.72513295652</v>
      </c>
      <c r="P432" s="1">
        <v>299227.72513295652</v>
      </c>
      <c r="Q432" s="1">
        <v>418918.81518613908</v>
      </c>
      <c r="R432" s="1">
        <v>418918.81518613908</v>
      </c>
      <c r="S432" s="1">
        <v>418918.81518613908</v>
      </c>
      <c r="T432" s="1">
        <v>418918.81518613908</v>
      </c>
      <c r="U432" s="1">
        <v>418918.81518613908</v>
      </c>
      <c r="V432" s="1">
        <v>418918.81518613908</v>
      </c>
      <c r="W432" s="4">
        <f t="shared" si="14"/>
        <v>4155245.9024433251</v>
      </c>
      <c r="X432" s="4">
        <f t="shared" si="14"/>
        <v>4155245.9024433251</v>
      </c>
      <c r="Y432" s="5">
        <f t="shared" si="13"/>
        <v>0.58150000000000013</v>
      </c>
    </row>
    <row r="433" spans="1:25" x14ac:dyDescent="0.25">
      <c r="A433" s="1" t="s">
        <v>95</v>
      </c>
      <c r="B433" s="1" t="s">
        <v>65</v>
      </c>
      <c r="C433" s="1" t="s">
        <v>31</v>
      </c>
      <c r="D433" s="1">
        <v>12387052.413270088</v>
      </c>
      <c r="E433" s="1">
        <v>817545.45927582588</v>
      </c>
      <c r="F433" s="1">
        <v>817545.45927582588</v>
      </c>
      <c r="G433" s="1">
        <v>1021931.8240947824</v>
      </c>
      <c r="H433" s="1">
        <v>1021931.8240947824</v>
      </c>
      <c r="I433" s="1">
        <v>1021931.8240947824</v>
      </c>
      <c r="J433" s="1">
        <v>1021931.8240947824</v>
      </c>
      <c r="K433" s="1">
        <v>1021931.8240947824</v>
      </c>
      <c r="L433" s="1">
        <v>1021931.8240947824</v>
      </c>
      <c r="M433" s="1">
        <v>622449.38376682182</v>
      </c>
      <c r="N433" s="1">
        <v>622449.38376682182</v>
      </c>
      <c r="O433" s="1">
        <v>518707.81980568491</v>
      </c>
      <c r="P433" s="1">
        <v>518707.81980568491</v>
      </c>
      <c r="Q433" s="1">
        <v>726190.94772795879</v>
      </c>
      <c r="R433" s="1">
        <v>726190.94772795879</v>
      </c>
      <c r="S433" s="1">
        <v>726190.94772795879</v>
      </c>
      <c r="T433" s="1">
        <v>726190.94772795879</v>
      </c>
      <c r="U433" s="1">
        <v>726190.94772795879</v>
      </c>
      <c r="V433" s="1">
        <v>726190.94772795879</v>
      </c>
      <c r="W433" s="4">
        <f t="shared" si="14"/>
        <v>7203070.9783165567</v>
      </c>
      <c r="X433" s="4">
        <f t="shared" si="14"/>
        <v>7203070.9783165567</v>
      </c>
      <c r="Y433" s="5">
        <f t="shared" si="13"/>
        <v>0.58150000000000002</v>
      </c>
    </row>
    <row r="434" spans="1:25" x14ac:dyDescent="0.25">
      <c r="A434" s="1" t="s">
        <v>95</v>
      </c>
      <c r="B434" s="1" t="s">
        <v>44</v>
      </c>
      <c r="C434" s="1" t="s">
        <v>45</v>
      </c>
      <c r="D434" s="1">
        <v>11434502.200064346</v>
      </c>
      <c r="E434" s="1">
        <v>754677.14520424698</v>
      </c>
      <c r="F434" s="1">
        <v>754677.14520424698</v>
      </c>
      <c r="G434" s="1">
        <v>943346.4315053086</v>
      </c>
      <c r="H434" s="1">
        <v>943346.4315053086</v>
      </c>
      <c r="I434" s="1">
        <v>943346.4315053086</v>
      </c>
      <c r="J434" s="1">
        <v>943346.4315053086</v>
      </c>
      <c r="K434" s="1">
        <v>943346.4315053086</v>
      </c>
      <c r="L434" s="1">
        <v>943346.4315053086</v>
      </c>
      <c r="M434" s="1">
        <v>574583.73555323319</v>
      </c>
      <c r="N434" s="1">
        <v>574583.73555323319</v>
      </c>
      <c r="O434" s="1">
        <v>478819.77962769434</v>
      </c>
      <c r="P434" s="1">
        <v>478819.77962769434</v>
      </c>
      <c r="Q434" s="1">
        <v>670347.69147877209</v>
      </c>
      <c r="R434" s="1">
        <v>670347.69147877209</v>
      </c>
      <c r="S434" s="1">
        <v>670347.69147877209</v>
      </c>
      <c r="T434" s="1">
        <v>670347.69147877209</v>
      </c>
      <c r="U434" s="1">
        <v>670347.69147877209</v>
      </c>
      <c r="V434" s="1">
        <v>670347.69147877209</v>
      </c>
      <c r="W434" s="4">
        <f t="shared" si="14"/>
        <v>6649163.0293374164</v>
      </c>
      <c r="X434" s="4">
        <f t="shared" si="14"/>
        <v>6649163.0293374164</v>
      </c>
      <c r="Y434" s="5">
        <f t="shared" si="13"/>
        <v>0.58149999999999991</v>
      </c>
    </row>
    <row r="435" spans="1:25" x14ac:dyDescent="0.25">
      <c r="A435" s="1" t="s">
        <v>95</v>
      </c>
      <c r="B435" s="1" t="s">
        <v>46</v>
      </c>
      <c r="C435" s="1" t="s">
        <v>22</v>
      </c>
      <c r="D435" s="1">
        <v>141677849.86056554</v>
      </c>
      <c r="E435" s="1">
        <v>9359497.1832384337</v>
      </c>
      <c r="F435" s="1">
        <v>9359497.1832384337</v>
      </c>
      <c r="G435" s="1">
        <v>11699371.479048042</v>
      </c>
      <c r="H435" s="1">
        <v>11699371.479048042</v>
      </c>
      <c r="I435" s="1">
        <v>11699371.479048042</v>
      </c>
      <c r="J435" s="1">
        <v>11699371.479048042</v>
      </c>
      <c r="K435" s="1">
        <v>11699371.479048042</v>
      </c>
      <c r="L435" s="1">
        <v>11699371.479048042</v>
      </c>
      <c r="M435" s="1">
        <v>7340970.9458810547</v>
      </c>
      <c r="N435" s="1">
        <v>7340970.9458810547</v>
      </c>
      <c r="O435" s="1">
        <v>5969600.4545151005</v>
      </c>
      <c r="P435" s="1">
        <v>5969600.4545151005</v>
      </c>
      <c r="Q435" s="1">
        <v>8264541.248972482</v>
      </c>
      <c r="R435" s="1">
        <v>8264541.248972482</v>
      </c>
      <c r="S435" s="1">
        <v>8264541.248972482</v>
      </c>
      <c r="T435" s="1">
        <v>8264541.248972482</v>
      </c>
      <c r="U435" s="1">
        <v>8264541.248972482</v>
      </c>
      <c r="V435" s="1">
        <v>8264541.248972482</v>
      </c>
      <c r="W435" s="4">
        <f t="shared" si="14"/>
        <v>82561806.767696157</v>
      </c>
      <c r="X435" s="4">
        <f t="shared" si="14"/>
        <v>82561806.767696157</v>
      </c>
      <c r="Y435" s="5">
        <f t="shared" si="13"/>
        <v>0.58274322238056719</v>
      </c>
    </row>
    <row r="436" spans="1:25" x14ac:dyDescent="0.25">
      <c r="A436" s="1" t="s">
        <v>95</v>
      </c>
      <c r="B436" s="1" t="s">
        <v>66</v>
      </c>
      <c r="C436" s="1" t="s">
        <v>24</v>
      </c>
      <c r="D436" s="1">
        <v>158383072.61084571</v>
      </c>
      <c r="E436" s="1">
        <v>13066603.490394773</v>
      </c>
      <c r="F436" s="1">
        <v>13066603.490394773</v>
      </c>
      <c r="G436" s="1">
        <v>13066603.490394773</v>
      </c>
      <c r="H436" s="1">
        <v>13066603.490394773</v>
      </c>
      <c r="I436" s="1">
        <v>23066603.490394801</v>
      </c>
      <c r="J436" s="1">
        <v>23066603.490394801</v>
      </c>
      <c r="K436" s="1">
        <v>3066603.4903948</v>
      </c>
      <c r="L436" s="1">
        <v>3066603.4903948</v>
      </c>
      <c r="M436" s="1">
        <v>27408036.278420899</v>
      </c>
      <c r="N436" s="1">
        <v>27408036.278420899</v>
      </c>
      <c r="O436" s="1">
        <v>14371086.25</v>
      </c>
      <c r="P436" s="1">
        <v>14371086.25</v>
      </c>
      <c r="Q436" s="1">
        <v>12036464.58</v>
      </c>
      <c r="R436" s="1">
        <v>12036464.58</v>
      </c>
      <c r="S436" s="1">
        <v>13040649.83</v>
      </c>
      <c r="T436" s="1">
        <v>13040649.83</v>
      </c>
      <c r="U436" s="1">
        <v>12295909.08</v>
      </c>
      <c r="V436" s="1">
        <v>12295909.08</v>
      </c>
      <c r="W436" s="4">
        <f t="shared" si="14"/>
        <v>131418559.98000005</v>
      </c>
      <c r="X436" s="4">
        <f t="shared" si="14"/>
        <v>131418559.98000005</v>
      </c>
      <c r="Y436" s="5">
        <f t="shared" si="13"/>
        <v>0.82975129736813047</v>
      </c>
    </row>
    <row r="437" spans="1:25" x14ac:dyDescent="0.25">
      <c r="A437" s="1" t="s">
        <v>95</v>
      </c>
      <c r="B437" s="1" t="s">
        <v>66</v>
      </c>
      <c r="C437" s="1" t="s">
        <v>24</v>
      </c>
      <c r="D437" s="1">
        <v>310995753.07757747</v>
      </c>
      <c r="E437" s="1">
        <v>25657149.628900144</v>
      </c>
      <c r="F437" s="1">
        <v>25657149.628900144</v>
      </c>
      <c r="G437" s="1">
        <v>25657149.628900144</v>
      </c>
      <c r="H437" s="1">
        <v>25657149.628900144</v>
      </c>
      <c r="I437" s="1">
        <v>35657149.628900103</v>
      </c>
      <c r="J437" s="1">
        <v>35657149.628900103</v>
      </c>
      <c r="K437" s="1">
        <v>15657149.6289001</v>
      </c>
      <c r="L437" s="1">
        <v>15657149.6289001</v>
      </c>
      <c r="M437" s="1">
        <v>45211296.484399401</v>
      </c>
      <c r="N437" s="1">
        <v>45211296.484399401</v>
      </c>
      <c r="O437" s="1">
        <v>25350878</v>
      </c>
      <c r="P437" s="1">
        <v>25350878</v>
      </c>
      <c r="Q437" s="1">
        <v>25337080</v>
      </c>
      <c r="R437" s="1">
        <v>25337080</v>
      </c>
      <c r="S437" s="1">
        <v>26944150</v>
      </c>
      <c r="T437" s="1">
        <v>26944150</v>
      </c>
      <c r="U437" s="1">
        <v>24261750</v>
      </c>
      <c r="V437" s="1">
        <v>24261750</v>
      </c>
      <c r="W437" s="4">
        <f t="shared" si="14"/>
        <v>249733752.99999991</v>
      </c>
      <c r="X437" s="4">
        <f t="shared" si="14"/>
        <v>249733752.99999991</v>
      </c>
      <c r="Y437" s="5">
        <f t="shared" si="13"/>
        <v>0.80301338693105617</v>
      </c>
    </row>
    <row r="438" spans="1:25" x14ac:dyDescent="0.25">
      <c r="A438" s="1" t="s">
        <v>95</v>
      </c>
      <c r="B438" s="1" t="s">
        <v>67</v>
      </c>
      <c r="C438" s="1" t="s">
        <v>68</v>
      </c>
      <c r="D438" s="1">
        <v>11061752.304765295</v>
      </c>
      <c r="E438" s="1">
        <v>730075.6521145096</v>
      </c>
      <c r="F438" s="1">
        <v>730075.6521145096</v>
      </c>
      <c r="G438" s="1">
        <v>912594.56514313689</v>
      </c>
      <c r="H438" s="1">
        <v>912594.56514313689</v>
      </c>
      <c r="I438" s="1">
        <v>912594.56514313689</v>
      </c>
      <c r="J438" s="1">
        <v>912594.56514313689</v>
      </c>
      <c r="K438" s="1">
        <v>912594.56514313689</v>
      </c>
      <c r="L438" s="1">
        <v>912594.56514313689</v>
      </c>
      <c r="M438" s="1">
        <v>575211.11984779511</v>
      </c>
      <c r="N438" s="1">
        <v>575211.11984779511</v>
      </c>
      <c r="O438" s="1">
        <v>460906.34603188728</v>
      </c>
      <c r="P438" s="1">
        <v>460906.34603188728</v>
      </c>
      <c r="Q438" s="1">
        <v>645268.88444464211</v>
      </c>
      <c r="R438" s="1">
        <v>645268.88444464211</v>
      </c>
      <c r="S438" s="1">
        <v>645268.88444464211</v>
      </c>
      <c r="T438" s="1">
        <v>645268.88444464211</v>
      </c>
      <c r="U438" s="1">
        <v>645268.88444464211</v>
      </c>
      <c r="V438" s="1">
        <v>645268.88444464211</v>
      </c>
      <c r="W438" s="4">
        <f t="shared" si="14"/>
        <v>6439783.4667575294</v>
      </c>
      <c r="X438" s="4">
        <f t="shared" si="14"/>
        <v>6439783.4667575294</v>
      </c>
      <c r="Y438" s="5">
        <f t="shared" si="13"/>
        <v>0.58216666666666672</v>
      </c>
    </row>
    <row r="439" spans="1:25" x14ac:dyDescent="0.25">
      <c r="A439" s="1" t="s">
        <v>95</v>
      </c>
      <c r="B439" s="1" t="s">
        <v>69</v>
      </c>
      <c r="C439" s="1" t="s">
        <v>28</v>
      </c>
      <c r="D439" s="1">
        <v>18047887.837086983</v>
      </c>
      <c r="E439" s="1">
        <v>1191160.597247741</v>
      </c>
      <c r="F439" s="1">
        <v>1191160.597247741</v>
      </c>
      <c r="G439" s="1">
        <v>1488950.7465596762</v>
      </c>
      <c r="H439" s="1">
        <v>1488950.7465596762</v>
      </c>
      <c r="I439" s="1">
        <v>1488950.7465596762</v>
      </c>
      <c r="J439" s="1">
        <v>1488950.7465596762</v>
      </c>
      <c r="K439" s="1">
        <v>1488950.7465596762</v>
      </c>
      <c r="L439" s="1">
        <v>1488950.7465596762</v>
      </c>
      <c r="M439" s="1">
        <v>906906.36381362088</v>
      </c>
      <c r="N439" s="1">
        <v>906906.36381362088</v>
      </c>
      <c r="O439" s="1">
        <v>755755.30317801738</v>
      </c>
      <c r="P439" s="1">
        <v>755755.30317801738</v>
      </c>
      <c r="Q439" s="1">
        <v>1058057.4244492243</v>
      </c>
      <c r="R439" s="1">
        <v>1058057.4244492243</v>
      </c>
      <c r="S439" s="1">
        <v>1058057.4244492243</v>
      </c>
      <c r="T439" s="1">
        <v>1058057.4244492243</v>
      </c>
      <c r="U439" s="1">
        <v>1058057.4244492243</v>
      </c>
      <c r="V439" s="1">
        <v>1058057.4244492243</v>
      </c>
      <c r="W439" s="4">
        <f t="shared" si="14"/>
        <v>10494846.77726608</v>
      </c>
      <c r="X439" s="4">
        <f t="shared" si="14"/>
        <v>10494846.77726608</v>
      </c>
      <c r="Y439" s="5">
        <f t="shared" si="13"/>
        <v>0.58149999999999991</v>
      </c>
    </row>
    <row r="440" spans="1:25" x14ac:dyDescent="0.25">
      <c r="A440" s="1" t="s">
        <v>95</v>
      </c>
      <c r="B440" s="1" t="s">
        <v>70</v>
      </c>
      <c r="C440" s="1" t="s">
        <v>23</v>
      </c>
      <c r="D440" s="1">
        <v>8268750.0182812503</v>
      </c>
      <c r="E440" s="1">
        <v>545737.50120656262</v>
      </c>
      <c r="F440" s="1">
        <v>545737.50120656262</v>
      </c>
      <c r="G440" s="1">
        <v>682171.87650820322</v>
      </c>
      <c r="H440" s="1">
        <v>682171.87650820322</v>
      </c>
      <c r="I440" s="1">
        <v>682171.87650820322</v>
      </c>
      <c r="J440" s="1">
        <v>682171.87650820322</v>
      </c>
      <c r="K440" s="1">
        <v>682171.87650820322</v>
      </c>
      <c r="L440" s="1">
        <v>682171.87650820322</v>
      </c>
      <c r="M440" s="1">
        <v>415504.68841863284</v>
      </c>
      <c r="N440" s="1">
        <v>415504.68841863284</v>
      </c>
      <c r="O440" s="1">
        <v>346253.90701552737</v>
      </c>
      <c r="P440" s="1">
        <v>346253.90701552737</v>
      </c>
      <c r="Q440" s="1">
        <v>484755.46982173825</v>
      </c>
      <c r="R440" s="1">
        <v>484755.46982173825</v>
      </c>
      <c r="S440" s="1">
        <v>484755.46982173825</v>
      </c>
      <c r="T440" s="1">
        <v>484755.46982173825</v>
      </c>
      <c r="U440" s="1">
        <v>484755.46982173825</v>
      </c>
      <c r="V440" s="1">
        <v>484755.46982173825</v>
      </c>
      <c r="W440" s="4">
        <f t="shared" si="14"/>
        <v>4808278.135630548</v>
      </c>
      <c r="X440" s="4">
        <f t="shared" si="14"/>
        <v>4808278.135630548</v>
      </c>
      <c r="Y440" s="5">
        <f t="shared" si="13"/>
        <v>0.58150000000000013</v>
      </c>
    </row>
    <row r="441" spans="1:25" x14ac:dyDescent="0.25">
      <c r="A441" s="1" t="s">
        <v>95</v>
      </c>
      <c r="B441" s="1" t="s">
        <v>71</v>
      </c>
      <c r="C441" s="1" t="s">
        <v>29</v>
      </c>
      <c r="D441" s="1">
        <v>7923132.242307689</v>
      </c>
      <c r="E441" s="1">
        <v>522926.72799230751</v>
      </c>
      <c r="F441" s="1">
        <v>522926.72799230751</v>
      </c>
      <c r="G441" s="1">
        <v>653658.40999038436</v>
      </c>
      <c r="H441" s="1">
        <v>653658.40999038436</v>
      </c>
      <c r="I441" s="1">
        <v>653658.40999038436</v>
      </c>
      <c r="J441" s="1">
        <v>653658.40999038436</v>
      </c>
      <c r="K441" s="1">
        <v>653658.40999038436</v>
      </c>
      <c r="L441" s="1">
        <v>653658.40999038436</v>
      </c>
      <c r="M441" s="1">
        <v>398137.39517596137</v>
      </c>
      <c r="N441" s="1">
        <v>398137.39517596137</v>
      </c>
      <c r="O441" s="1">
        <v>331781.1626466345</v>
      </c>
      <c r="P441" s="1">
        <v>331781.1626466345</v>
      </c>
      <c r="Q441" s="1">
        <v>464493.62770528829</v>
      </c>
      <c r="R441" s="1">
        <v>464493.62770528829</v>
      </c>
      <c r="S441" s="1">
        <v>464493.62770528829</v>
      </c>
      <c r="T441" s="1">
        <v>464493.62770528829</v>
      </c>
      <c r="U441" s="1">
        <v>464493.62770528829</v>
      </c>
      <c r="V441" s="1">
        <v>464493.62770528829</v>
      </c>
      <c r="W441" s="4">
        <f t="shared" si="14"/>
        <v>4607301.3989019208</v>
      </c>
      <c r="X441" s="4">
        <f t="shared" si="14"/>
        <v>4607301.3989019208</v>
      </c>
      <c r="Y441" s="5">
        <f t="shared" si="13"/>
        <v>0.58149999999999991</v>
      </c>
    </row>
    <row r="442" spans="1:25" x14ac:dyDescent="0.25">
      <c r="A442" s="1" t="s">
        <v>95</v>
      </c>
      <c r="B442" s="1" t="s">
        <v>72</v>
      </c>
      <c r="C442" s="1" t="s">
        <v>73</v>
      </c>
      <c r="D442" s="1">
        <v>13980385.439206261</v>
      </c>
      <c r="E442" s="1">
        <v>922705.43898761331</v>
      </c>
      <c r="F442" s="1">
        <v>922705.43898761331</v>
      </c>
      <c r="G442" s="1">
        <v>1153381.7987345166</v>
      </c>
      <c r="H442" s="1">
        <v>1153381.7987345166</v>
      </c>
      <c r="I442" s="1">
        <v>1153381.7987345166</v>
      </c>
      <c r="J442" s="1">
        <v>1153381.7987345166</v>
      </c>
      <c r="K442" s="1">
        <v>1153381.7987345166</v>
      </c>
      <c r="L442" s="1">
        <v>1153381.7987345166</v>
      </c>
      <c r="M442" s="1">
        <v>702514.36832011456</v>
      </c>
      <c r="N442" s="1">
        <v>702514.36832011456</v>
      </c>
      <c r="O442" s="1">
        <v>585428.64026676212</v>
      </c>
      <c r="P442" s="1">
        <v>585428.64026676212</v>
      </c>
      <c r="Q442" s="1">
        <v>819600.09637346689</v>
      </c>
      <c r="R442" s="1">
        <v>819600.09637346689</v>
      </c>
      <c r="S442" s="1">
        <v>819600.09637346689</v>
      </c>
      <c r="T442" s="1">
        <v>819600.09637346689</v>
      </c>
      <c r="U442" s="1">
        <v>819600.09637346689</v>
      </c>
      <c r="V442" s="1">
        <v>819600.09637346689</v>
      </c>
      <c r="W442" s="4">
        <f t="shared" si="14"/>
        <v>8129594.1328984415</v>
      </c>
      <c r="X442" s="4">
        <f t="shared" si="14"/>
        <v>8129594.1328984415</v>
      </c>
      <c r="Y442" s="5">
        <f t="shared" si="13"/>
        <v>0.58150000000000002</v>
      </c>
    </row>
    <row r="443" spans="1:25" x14ac:dyDescent="0.25">
      <c r="A443" s="1" t="s">
        <v>95</v>
      </c>
      <c r="B443" s="1" t="s">
        <v>48</v>
      </c>
      <c r="C443" s="1" t="s">
        <v>49</v>
      </c>
      <c r="D443" s="1">
        <v>8060786.4190023541</v>
      </c>
      <c r="E443" s="1">
        <v>532011.90365415544</v>
      </c>
      <c r="F443" s="1">
        <v>532011.90365415544</v>
      </c>
      <c r="G443" s="1">
        <v>665014.87956769427</v>
      </c>
      <c r="H443" s="1">
        <v>665014.87956769427</v>
      </c>
      <c r="I443" s="1">
        <v>665014.87956769427</v>
      </c>
      <c r="J443" s="1">
        <v>665014.87956769427</v>
      </c>
      <c r="K443" s="1">
        <v>665014.87956769427</v>
      </c>
      <c r="L443" s="1">
        <v>665014.87956769427</v>
      </c>
      <c r="M443" s="1">
        <v>405054.51755486836</v>
      </c>
      <c r="N443" s="1">
        <v>405054.51755486836</v>
      </c>
      <c r="O443" s="1">
        <v>337545.43129572365</v>
      </c>
      <c r="P443" s="1">
        <v>337545.43129572365</v>
      </c>
      <c r="Q443" s="1">
        <v>472563.60381401307</v>
      </c>
      <c r="R443" s="1">
        <v>472563.60381401307</v>
      </c>
      <c r="S443" s="1">
        <v>472563.60381401307</v>
      </c>
      <c r="T443" s="1">
        <v>472563.60381401307</v>
      </c>
      <c r="U443" s="1">
        <v>472563.60381401307</v>
      </c>
      <c r="V443" s="1">
        <v>472563.60381401307</v>
      </c>
      <c r="W443" s="4">
        <f t="shared" si="14"/>
        <v>4687347.3026498696</v>
      </c>
      <c r="X443" s="4">
        <f t="shared" si="14"/>
        <v>4687347.3026498696</v>
      </c>
      <c r="Y443" s="5">
        <f t="shared" si="13"/>
        <v>0.58150000000000013</v>
      </c>
    </row>
    <row r="444" spans="1:25" x14ac:dyDescent="0.25">
      <c r="A444" s="1" t="s">
        <v>95</v>
      </c>
      <c r="B444" s="1" t="s">
        <v>53</v>
      </c>
      <c r="C444" s="1" t="s">
        <v>30</v>
      </c>
      <c r="D444" s="1">
        <v>3286014.9262045384</v>
      </c>
      <c r="E444" s="1">
        <v>216876.98512949955</v>
      </c>
      <c r="F444" s="1">
        <v>216876.98512949955</v>
      </c>
      <c r="G444" s="1">
        <v>271096.23141187441</v>
      </c>
      <c r="H444" s="1">
        <v>271096.23141187441</v>
      </c>
      <c r="I444" s="1">
        <v>271096.23141187441</v>
      </c>
      <c r="J444" s="1">
        <v>271096.23141187441</v>
      </c>
      <c r="K444" s="1">
        <v>271096.23141187441</v>
      </c>
      <c r="L444" s="1">
        <v>271096.23141187441</v>
      </c>
      <c r="M444" s="1">
        <v>165122.25004177805</v>
      </c>
      <c r="N444" s="1">
        <v>165122.25004177805</v>
      </c>
      <c r="O444" s="1">
        <v>137601.87503481505</v>
      </c>
      <c r="P444" s="1">
        <v>137601.87503481505</v>
      </c>
      <c r="Q444" s="1">
        <v>192642.62504874106</v>
      </c>
      <c r="R444" s="1">
        <v>192642.62504874106</v>
      </c>
      <c r="S444" s="1">
        <v>192642.62504874106</v>
      </c>
      <c r="T444" s="1">
        <v>192642.62504874106</v>
      </c>
      <c r="U444" s="1">
        <v>192642.62504874106</v>
      </c>
      <c r="V444" s="1">
        <v>192642.62504874106</v>
      </c>
      <c r="W444" s="4">
        <f t="shared" si="14"/>
        <v>1910817.6795879391</v>
      </c>
      <c r="X444" s="4">
        <f t="shared" si="14"/>
        <v>1910817.6795879391</v>
      </c>
      <c r="Y444" s="5">
        <f t="shared" si="13"/>
        <v>0.58150000000000002</v>
      </c>
    </row>
    <row r="445" spans="1:25" x14ac:dyDescent="0.25">
      <c r="A445" s="1" t="s">
        <v>95</v>
      </c>
      <c r="B445" s="1" t="s">
        <v>74</v>
      </c>
      <c r="C445" s="1" t="s">
        <v>75</v>
      </c>
      <c r="D445" s="1">
        <v>8324784.2064751815</v>
      </c>
      <c r="E445" s="1">
        <v>549435.75762736204</v>
      </c>
      <c r="F445" s="1">
        <v>549435.75762736204</v>
      </c>
      <c r="G445" s="1">
        <v>686794.69703420252</v>
      </c>
      <c r="H445" s="1">
        <v>686794.69703420252</v>
      </c>
      <c r="I445" s="1">
        <v>686794.69703420252</v>
      </c>
      <c r="J445" s="1">
        <v>686794.69703420252</v>
      </c>
      <c r="K445" s="1">
        <v>686794.69703420252</v>
      </c>
      <c r="L445" s="1">
        <v>686794.69703420252</v>
      </c>
      <c r="M445" s="1">
        <v>418320.40637537785</v>
      </c>
      <c r="N445" s="1">
        <v>418320.40637537785</v>
      </c>
      <c r="O445" s="1">
        <v>348600.33864614822</v>
      </c>
      <c r="P445" s="1">
        <v>348600.33864614822</v>
      </c>
      <c r="Q445" s="1">
        <v>488040.47410460748</v>
      </c>
      <c r="R445" s="1">
        <v>488040.47410460748</v>
      </c>
      <c r="S445" s="1">
        <v>488040.47410460748</v>
      </c>
      <c r="T445" s="1">
        <v>488040.47410460748</v>
      </c>
      <c r="U445" s="1">
        <v>488040.47410460748</v>
      </c>
      <c r="V445" s="1">
        <v>488040.47410460748</v>
      </c>
      <c r="W445" s="4">
        <f t="shared" si="14"/>
        <v>4840862.0160653181</v>
      </c>
      <c r="X445" s="4">
        <f t="shared" si="14"/>
        <v>4840862.0160653181</v>
      </c>
      <c r="Y445" s="5">
        <f t="shared" si="13"/>
        <v>0.58150000000000002</v>
      </c>
    </row>
    <row r="446" spans="1:25" x14ac:dyDescent="0.25">
      <c r="A446" s="1" t="s">
        <v>95</v>
      </c>
      <c r="B446" s="1" t="s">
        <v>50</v>
      </c>
      <c r="C446" s="1" t="s">
        <v>25</v>
      </c>
      <c r="D446" s="1">
        <v>8463825.7399524692</v>
      </c>
      <c r="E446" s="1">
        <v>558612.49883686309</v>
      </c>
      <c r="F446" s="1">
        <v>558612.49883686309</v>
      </c>
      <c r="G446" s="1">
        <v>698265.6235460788</v>
      </c>
      <c r="H446" s="1">
        <v>698265.6235460788</v>
      </c>
      <c r="I446" s="1">
        <v>698265.6235460788</v>
      </c>
      <c r="J446" s="1">
        <v>698265.6235460788</v>
      </c>
      <c r="K446" s="1">
        <v>698265.6235460788</v>
      </c>
      <c r="L446" s="1">
        <v>698265.6235460788</v>
      </c>
      <c r="M446" s="1">
        <v>425307.24343261152</v>
      </c>
      <c r="N446" s="1">
        <v>425307.24343261152</v>
      </c>
      <c r="O446" s="1">
        <v>354422.70286050963</v>
      </c>
      <c r="P446" s="1">
        <v>354422.70286050963</v>
      </c>
      <c r="Q446" s="1">
        <v>496191.78400471347</v>
      </c>
      <c r="R446" s="1">
        <v>496191.78400471347</v>
      </c>
      <c r="S446" s="1">
        <v>496191.78400471347</v>
      </c>
      <c r="T446" s="1">
        <v>496191.78400471347</v>
      </c>
      <c r="U446" s="1">
        <v>496191.78400471347</v>
      </c>
      <c r="V446" s="1">
        <v>496191.78400471347</v>
      </c>
      <c r="W446" s="4">
        <f t="shared" si="14"/>
        <v>4921714.6677823616</v>
      </c>
      <c r="X446" s="4">
        <f t="shared" si="14"/>
        <v>4921714.6677823616</v>
      </c>
      <c r="Y446" s="5">
        <f t="shared" si="13"/>
        <v>0.58150000000000013</v>
      </c>
    </row>
    <row r="447" spans="1:25" x14ac:dyDescent="0.25">
      <c r="A447" s="1" t="s">
        <v>100</v>
      </c>
      <c r="B447" s="1" t="s">
        <v>59</v>
      </c>
      <c r="C447" s="1" t="s">
        <v>26</v>
      </c>
      <c r="D447" s="1">
        <v>35101944.600000001</v>
      </c>
      <c r="E447" s="1">
        <v>3388898.3517532707</v>
      </c>
      <c r="F447" s="1">
        <v>3388898.3517532707</v>
      </c>
      <c r="G447" s="1">
        <v>4236122.9396915883</v>
      </c>
      <c r="H447" s="1">
        <v>4236122.9396915883</v>
      </c>
      <c r="I447" s="1">
        <v>4236122.9396915883</v>
      </c>
      <c r="J447" s="1">
        <v>4236122.9396915883</v>
      </c>
      <c r="K447" s="1">
        <v>4236122.9396915883</v>
      </c>
      <c r="L447" s="1">
        <v>4236122.9396915883</v>
      </c>
      <c r="M447" s="1">
        <v>2269681.605154206</v>
      </c>
      <c r="N447" s="1">
        <v>2269681.605154206</v>
      </c>
      <c r="O447" s="1">
        <v>2269681.605154206</v>
      </c>
      <c r="P447" s="1">
        <v>2269681.605154206</v>
      </c>
      <c r="Q447" s="1">
        <v>2269681.605154206</v>
      </c>
      <c r="R447" s="1">
        <v>2269681.605154206</v>
      </c>
      <c r="S447" s="1">
        <v>2269681.605154206</v>
      </c>
      <c r="T447" s="1">
        <v>2269681.605154206</v>
      </c>
      <c r="U447" s="1">
        <v>2269681.605154206</v>
      </c>
      <c r="V447" s="1">
        <v>2269681.605154206</v>
      </c>
      <c r="W447" s="4">
        <f t="shared" si="14"/>
        <v>27445675.196599066</v>
      </c>
      <c r="X447" s="4">
        <f t="shared" si="14"/>
        <v>27445675.196599066</v>
      </c>
      <c r="Y447" s="5">
        <f t="shared" si="13"/>
        <v>0.78188475052744133</v>
      </c>
    </row>
    <row r="448" spans="1:25" x14ac:dyDescent="0.25">
      <c r="A448" s="1" t="s">
        <v>100</v>
      </c>
      <c r="B448" s="1" t="s">
        <v>59</v>
      </c>
      <c r="C448" s="1" t="s">
        <v>26</v>
      </c>
      <c r="D448" s="1">
        <v>16245000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8122500</v>
      </c>
      <c r="N448" s="1">
        <v>8122500</v>
      </c>
      <c r="O448" s="1">
        <v>8122500</v>
      </c>
      <c r="P448" s="1">
        <v>8122500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4">
        <f t="shared" si="14"/>
        <v>16245000</v>
      </c>
      <c r="X448" s="4">
        <f t="shared" si="14"/>
        <v>16245000</v>
      </c>
      <c r="Y448" s="5">
        <f t="shared" si="13"/>
        <v>1</v>
      </c>
    </row>
    <row r="449" spans="1:25" x14ac:dyDescent="0.25">
      <c r="A449" s="1" t="s">
        <v>100</v>
      </c>
      <c r="B449" s="1" t="s">
        <v>33</v>
      </c>
      <c r="C449" s="1" t="s">
        <v>34</v>
      </c>
      <c r="D449" s="1">
        <v>108000000</v>
      </c>
      <c r="E449" s="1">
        <v>0</v>
      </c>
      <c r="F449" s="1">
        <v>0</v>
      </c>
      <c r="G449" s="1">
        <v>21600000</v>
      </c>
      <c r="H449" s="1">
        <v>21600000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32400000</v>
      </c>
      <c r="P449" s="1">
        <v>32400000</v>
      </c>
      <c r="Q449" s="1">
        <v>0</v>
      </c>
      <c r="R449" s="1">
        <v>0</v>
      </c>
      <c r="S449" s="1">
        <v>32400000</v>
      </c>
      <c r="T449" s="1">
        <v>32400000</v>
      </c>
      <c r="U449" s="1">
        <v>21600000</v>
      </c>
      <c r="V449" s="1">
        <v>21600000</v>
      </c>
      <c r="W449" s="4">
        <f t="shared" si="14"/>
        <v>108000000</v>
      </c>
      <c r="X449" s="4">
        <f t="shared" si="14"/>
        <v>108000000</v>
      </c>
      <c r="Y449" s="5">
        <f t="shared" si="13"/>
        <v>1</v>
      </c>
    </row>
    <row r="450" spans="1:25" x14ac:dyDescent="0.25">
      <c r="A450" s="1" t="s">
        <v>100</v>
      </c>
      <c r="B450" s="1" t="s">
        <v>35</v>
      </c>
      <c r="C450" s="1" t="s">
        <v>34</v>
      </c>
      <c r="D450" s="1">
        <v>270000000</v>
      </c>
      <c r="E450" s="1">
        <v>0</v>
      </c>
      <c r="F450" s="1">
        <v>0</v>
      </c>
      <c r="G450" s="1">
        <v>74250000</v>
      </c>
      <c r="H450" s="1">
        <v>74250000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65250000</v>
      </c>
      <c r="P450" s="1">
        <v>65250000</v>
      </c>
      <c r="Q450" s="1">
        <v>0</v>
      </c>
      <c r="R450" s="1">
        <v>0</v>
      </c>
      <c r="S450" s="1">
        <v>65250000</v>
      </c>
      <c r="T450" s="1">
        <v>65250000</v>
      </c>
      <c r="U450" s="1">
        <v>65250000</v>
      </c>
      <c r="V450" s="1">
        <v>65250000</v>
      </c>
      <c r="W450" s="4">
        <f t="shared" si="14"/>
        <v>270000000</v>
      </c>
      <c r="X450" s="4">
        <f t="shared" si="14"/>
        <v>270000000</v>
      </c>
      <c r="Y450" s="5">
        <f t="shared" si="13"/>
        <v>1</v>
      </c>
    </row>
    <row r="451" spans="1:25" x14ac:dyDescent="0.25">
      <c r="A451" s="1" t="s">
        <v>100</v>
      </c>
      <c r="B451" s="1" t="s">
        <v>38</v>
      </c>
      <c r="C451" s="1" t="s">
        <v>39</v>
      </c>
      <c r="D451" s="1">
        <v>9132298.4133879058</v>
      </c>
      <c r="E451" s="1">
        <v>602731.69528360188</v>
      </c>
      <c r="F451" s="1">
        <v>602731.69528360188</v>
      </c>
      <c r="G451" s="1">
        <v>753414.61910450226</v>
      </c>
      <c r="H451" s="1">
        <v>753414.61910450226</v>
      </c>
      <c r="I451" s="1">
        <v>753414.61910450226</v>
      </c>
      <c r="J451" s="1">
        <v>753414.61910450226</v>
      </c>
      <c r="K451" s="1">
        <v>753414.61910450226</v>
      </c>
      <c r="L451" s="1">
        <v>753414.61910450226</v>
      </c>
      <c r="M451" s="1">
        <v>458897.99527274212</v>
      </c>
      <c r="N451" s="1">
        <v>458897.99527274212</v>
      </c>
      <c r="O451" s="1">
        <v>382414.99606061843</v>
      </c>
      <c r="P451" s="1">
        <v>382414.99606061843</v>
      </c>
      <c r="Q451" s="1">
        <v>535380.99448486581</v>
      </c>
      <c r="R451" s="1">
        <v>535380.99448486581</v>
      </c>
      <c r="S451" s="1">
        <v>535380.99448486581</v>
      </c>
      <c r="T451" s="1">
        <v>535380.99448486581</v>
      </c>
      <c r="U451" s="1">
        <v>535380.99448486581</v>
      </c>
      <c r="V451" s="1">
        <v>535380.99448486581</v>
      </c>
      <c r="W451" s="4">
        <f t="shared" si="14"/>
        <v>5310431.5273850663</v>
      </c>
      <c r="X451" s="4">
        <f t="shared" si="14"/>
        <v>5310431.5273850663</v>
      </c>
      <c r="Y451" s="5">
        <f t="shared" ref="Y451:Y514" si="15">X451/D451</f>
        <v>0.58149999999999991</v>
      </c>
    </row>
    <row r="452" spans="1:25" x14ac:dyDescent="0.25">
      <c r="A452" s="1" t="s">
        <v>100</v>
      </c>
      <c r="B452" s="1" t="s">
        <v>61</v>
      </c>
      <c r="C452" s="1" t="s">
        <v>34</v>
      </c>
      <c r="D452" s="1">
        <v>136455799</v>
      </c>
      <c r="E452" s="1">
        <v>0</v>
      </c>
      <c r="F452" s="1">
        <v>0</v>
      </c>
      <c r="G452" s="1">
        <v>10916463.918756593</v>
      </c>
      <c r="H452" s="1">
        <v>10916463.918756593</v>
      </c>
      <c r="I452" s="1">
        <v>0</v>
      </c>
      <c r="J452" s="1">
        <v>0</v>
      </c>
      <c r="K452" s="1">
        <v>0</v>
      </c>
      <c r="L452" s="1">
        <v>0</v>
      </c>
      <c r="M452" s="1">
        <v>31384833.770310853</v>
      </c>
      <c r="N452" s="1">
        <v>31384833.770310853</v>
      </c>
      <c r="O452" s="1">
        <v>0</v>
      </c>
      <c r="P452" s="1">
        <v>0</v>
      </c>
      <c r="Q452" s="1">
        <v>0</v>
      </c>
      <c r="R452" s="1">
        <v>0</v>
      </c>
      <c r="S452" s="1">
        <v>47077250.655466281</v>
      </c>
      <c r="T452" s="1">
        <v>47077250.655466281</v>
      </c>
      <c r="U452" s="1">
        <v>0</v>
      </c>
      <c r="V452" s="1">
        <v>0</v>
      </c>
      <c r="W452" s="4">
        <f t="shared" si="14"/>
        <v>89378548.344533727</v>
      </c>
      <c r="X452" s="4">
        <f t="shared" si="14"/>
        <v>89378548.344533727</v>
      </c>
      <c r="Y452" s="5">
        <f t="shared" si="15"/>
        <v>0.65499999999658298</v>
      </c>
    </row>
    <row r="453" spans="1:25" x14ac:dyDescent="0.25">
      <c r="A453" s="1" t="s">
        <v>100</v>
      </c>
      <c r="B453" s="1" t="s">
        <v>62</v>
      </c>
      <c r="C453" s="1" t="s">
        <v>63</v>
      </c>
      <c r="D453" s="1">
        <v>32142857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2410714.2857142854</v>
      </c>
      <c r="N453" s="1">
        <v>2410714.2857142854</v>
      </c>
      <c r="O453" s="1">
        <v>2008928.5714285714</v>
      </c>
      <c r="P453" s="1">
        <v>2008928.5714285714</v>
      </c>
      <c r="Q453" s="1">
        <v>2812499.9999999995</v>
      </c>
      <c r="R453" s="1">
        <v>2812499.9999999995</v>
      </c>
      <c r="S453" s="1">
        <v>2812499.9999999995</v>
      </c>
      <c r="T453" s="1">
        <v>2812499.9999999995</v>
      </c>
      <c r="U453" s="1">
        <v>2812499.9999999995</v>
      </c>
      <c r="V453" s="1">
        <v>2812499.9999999995</v>
      </c>
      <c r="W453" s="4">
        <f t="shared" si="14"/>
        <v>12857142.857142854</v>
      </c>
      <c r="X453" s="4">
        <f t="shared" si="14"/>
        <v>12857142.857142854</v>
      </c>
      <c r="Y453" s="5">
        <f t="shared" si="15"/>
        <v>0.40000000177777773</v>
      </c>
    </row>
    <row r="454" spans="1:25" x14ac:dyDescent="0.25">
      <c r="A454" s="1" t="s">
        <v>100</v>
      </c>
      <c r="B454" s="1" t="s">
        <v>40</v>
      </c>
      <c r="C454" s="1" t="s">
        <v>27</v>
      </c>
      <c r="D454" s="1">
        <v>151958085</v>
      </c>
      <c r="E454" s="1">
        <v>17233053.5666667</v>
      </c>
      <c r="F454" s="1">
        <v>17233053.5666667</v>
      </c>
      <c r="G454" s="1">
        <v>23346951.166666701</v>
      </c>
      <c r="H454" s="1">
        <v>23346951.166666701</v>
      </c>
      <c r="I454" s="1">
        <v>7073341.5666666627</v>
      </c>
      <c r="J454" s="1">
        <v>7073341.5666666627</v>
      </c>
      <c r="K454" s="1">
        <v>15707696.566666666</v>
      </c>
      <c r="L454" s="1">
        <v>15707696.566666666</v>
      </c>
      <c r="M454" s="1">
        <v>11999999.99999995</v>
      </c>
      <c r="N454" s="1">
        <v>11999999.99999995</v>
      </c>
      <c r="O454" s="1">
        <v>31185553.733333319</v>
      </c>
      <c r="P454" s="1">
        <v>31185553.733333319</v>
      </c>
      <c r="Q454" s="1">
        <v>6945880.5666666673</v>
      </c>
      <c r="R454" s="1">
        <v>6945880.5666666673</v>
      </c>
      <c r="S454" s="1">
        <v>11203341.566666666</v>
      </c>
      <c r="T454" s="1">
        <v>11203341.566666666</v>
      </c>
      <c r="U454" s="1">
        <v>8671124.5666666664</v>
      </c>
      <c r="V454" s="1">
        <v>8671124.5666666664</v>
      </c>
      <c r="W454" s="4">
        <f t="shared" si="14"/>
        <v>133366943.30000001</v>
      </c>
      <c r="X454" s="4">
        <f t="shared" si="14"/>
        <v>133366943.30000001</v>
      </c>
      <c r="Y454" s="5">
        <f t="shared" si="15"/>
        <v>0.87765612010706773</v>
      </c>
    </row>
    <row r="455" spans="1:25" x14ac:dyDescent="0.25">
      <c r="A455" s="1" t="s">
        <v>100</v>
      </c>
      <c r="B455" s="1" t="s">
        <v>40</v>
      </c>
      <c r="C455" s="1" t="s">
        <v>27</v>
      </c>
      <c r="D455" s="1">
        <v>45919009</v>
      </c>
      <c r="E455" s="1">
        <v>0</v>
      </c>
      <c r="F455" s="1">
        <v>0</v>
      </c>
      <c r="G455" s="1">
        <v>15635687.443828613</v>
      </c>
      <c r="H455" s="1">
        <v>15635687.443828613</v>
      </c>
      <c r="I455" s="1">
        <v>0</v>
      </c>
      <c r="J455" s="1">
        <v>0</v>
      </c>
      <c r="K455" s="1">
        <v>0</v>
      </c>
      <c r="L455" s="1">
        <v>0</v>
      </c>
      <c r="M455" s="1">
        <v>11356245.58356427</v>
      </c>
      <c r="N455" s="1">
        <v>11356245.58356427</v>
      </c>
      <c r="O455" s="1">
        <v>7570830.3890428469</v>
      </c>
      <c r="P455" s="1">
        <v>7570830.3890428469</v>
      </c>
      <c r="Q455" s="1">
        <v>11356245.58356427</v>
      </c>
      <c r="R455" s="1">
        <v>11356245.58356427</v>
      </c>
      <c r="S455" s="1">
        <v>0</v>
      </c>
      <c r="T455" s="1">
        <v>0</v>
      </c>
      <c r="U455" s="1">
        <v>0</v>
      </c>
      <c r="V455" s="1">
        <v>0</v>
      </c>
      <c r="W455" s="4">
        <f t="shared" si="14"/>
        <v>45919009</v>
      </c>
      <c r="X455" s="4">
        <f t="shared" si="14"/>
        <v>45919009</v>
      </c>
      <c r="Y455" s="5">
        <f t="shared" si="15"/>
        <v>1</v>
      </c>
    </row>
    <row r="456" spans="1:25" x14ac:dyDescent="0.25">
      <c r="A456" s="1" t="s">
        <v>100</v>
      </c>
      <c r="B456" s="1" t="s">
        <v>40</v>
      </c>
      <c r="C456" s="1" t="s">
        <v>27</v>
      </c>
      <c r="D456" s="1">
        <v>158660762.25299197</v>
      </c>
      <c r="E456" s="1">
        <v>0</v>
      </c>
      <c r="F456" s="1">
        <v>0</v>
      </c>
      <c r="G456" s="1">
        <v>4648795</v>
      </c>
      <c r="H456" s="1">
        <v>4648795</v>
      </c>
      <c r="I456" s="1">
        <v>34011967.252991997</v>
      </c>
      <c r="J456" s="1">
        <v>34011967.252991997</v>
      </c>
      <c r="K456" s="1">
        <v>0</v>
      </c>
      <c r="L456" s="1">
        <v>0</v>
      </c>
      <c r="M456" s="1">
        <v>44999999.999999985</v>
      </c>
      <c r="N456" s="1">
        <v>44999999.999999985</v>
      </c>
      <c r="O456" s="1">
        <v>29999999.999999993</v>
      </c>
      <c r="P456" s="1">
        <v>29999999.999999993</v>
      </c>
      <c r="Q456" s="1">
        <v>44999999.999999985</v>
      </c>
      <c r="R456" s="1">
        <v>44999999.999999985</v>
      </c>
      <c r="S456" s="1">
        <v>0</v>
      </c>
      <c r="T456" s="1">
        <v>0</v>
      </c>
      <c r="U456" s="1">
        <v>0</v>
      </c>
      <c r="V456" s="1">
        <v>0</v>
      </c>
      <c r="W456" s="4">
        <f t="shared" si="14"/>
        <v>158660762.25299194</v>
      </c>
      <c r="X456" s="4">
        <f t="shared" si="14"/>
        <v>158660762.25299194</v>
      </c>
      <c r="Y456" s="5">
        <f t="shared" si="15"/>
        <v>0.99999999999999978</v>
      </c>
    </row>
    <row r="457" spans="1:25" x14ac:dyDescent="0.25">
      <c r="A457" s="1" t="s">
        <v>100</v>
      </c>
      <c r="B457" s="1" t="s">
        <v>43</v>
      </c>
      <c r="C457" s="1" t="s">
        <v>31</v>
      </c>
      <c r="D457" s="1">
        <v>4626233</v>
      </c>
      <c r="E457" s="1">
        <v>268730.477439849</v>
      </c>
      <c r="F457" s="1">
        <v>268730.477439849</v>
      </c>
      <c r="G457" s="1">
        <v>335913.09679981123</v>
      </c>
      <c r="H457" s="1">
        <v>335913.09679981123</v>
      </c>
      <c r="I457" s="1">
        <v>335913.09679981123</v>
      </c>
      <c r="J457" s="1">
        <v>335913.09679981123</v>
      </c>
      <c r="K457" s="1">
        <v>335913.09679981123</v>
      </c>
      <c r="L457" s="1">
        <v>335913.09679981123</v>
      </c>
      <c r="M457" s="1">
        <v>249776.43790265894</v>
      </c>
      <c r="N457" s="1">
        <v>249776.43790265894</v>
      </c>
      <c r="O457" s="1">
        <v>208147.03158554912</v>
      </c>
      <c r="P457" s="1">
        <v>208147.03158554912</v>
      </c>
      <c r="Q457" s="1">
        <v>257965.51942214681</v>
      </c>
      <c r="R457" s="1">
        <v>257965.51942214681</v>
      </c>
      <c r="S457" s="1">
        <v>291405.84421976877</v>
      </c>
      <c r="T457" s="1">
        <v>291405.84421976877</v>
      </c>
      <c r="U457" s="1">
        <v>291405.84421976877</v>
      </c>
      <c r="V457" s="1">
        <v>291405.84421976877</v>
      </c>
      <c r="W457" s="4">
        <f t="shared" si="14"/>
        <v>2575170.4451891757</v>
      </c>
      <c r="X457" s="4">
        <f t="shared" si="14"/>
        <v>2575170.4451891757</v>
      </c>
      <c r="Y457" s="5">
        <f t="shared" si="15"/>
        <v>0.55664521116622867</v>
      </c>
    </row>
    <row r="458" spans="1:25" x14ac:dyDescent="0.25">
      <c r="A458" s="1" t="s">
        <v>100</v>
      </c>
      <c r="B458" s="1" t="s">
        <v>64</v>
      </c>
      <c r="C458" s="1" t="s">
        <v>23</v>
      </c>
      <c r="D458" s="1">
        <v>5238913.3615314132</v>
      </c>
      <c r="E458" s="1">
        <v>345768.28186107334</v>
      </c>
      <c r="F458" s="1">
        <v>345768.28186107334</v>
      </c>
      <c r="G458" s="1">
        <v>432210.35232634161</v>
      </c>
      <c r="H458" s="1">
        <v>432210.35232634161</v>
      </c>
      <c r="I458" s="1">
        <v>432210.35232634161</v>
      </c>
      <c r="J458" s="1">
        <v>432210.35232634161</v>
      </c>
      <c r="K458" s="1">
        <v>432210.35232634161</v>
      </c>
      <c r="L458" s="1">
        <v>432210.35232634161</v>
      </c>
      <c r="M458" s="1">
        <v>263255.39641695347</v>
      </c>
      <c r="N458" s="1">
        <v>263255.39641695347</v>
      </c>
      <c r="O458" s="1">
        <v>219379.4970141279</v>
      </c>
      <c r="P458" s="1">
        <v>219379.4970141279</v>
      </c>
      <c r="Q458" s="1">
        <v>307131.29581977904</v>
      </c>
      <c r="R458" s="1">
        <v>307131.29581977904</v>
      </c>
      <c r="S458" s="1">
        <v>307131.29581977904</v>
      </c>
      <c r="T458" s="1">
        <v>307131.29581977904</v>
      </c>
      <c r="U458" s="1">
        <v>307131.29581977904</v>
      </c>
      <c r="V458" s="1">
        <v>307131.29581977904</v>
      </c>
      <c r="W458" s="4">
        <f t="shared" si="14"/>
        <v>3046428.1197305163</v>
      </c>
      <c r="X458" s="4">
        <f t="shared" si="14"/>
        <v>3046428.1197305163</v>
      </c>
      <c r="Y458" s="5">
        <f t="shared" si="15"/>
        <v>0.58149999999999991</v>
      </c>
    </row>
    <row r="459" spans="1:25" x14ac:dyDescent="0.25">
      <c r="A459" s="1" t="s">
        <v>100</v>
      </c>
      <c r="B459" s="1" t="s">
        <v>65</v>
      </c>
      <c r="C459" s="1" t="s">
        <v>31</v>
      </c>
      <c r="D459" s="1">
        <v>5047121.4988431269</v>
      </c>
      <c r="E459" s="1">
        <v>333110.01892364642</v>
      </c>
      <c r="F459" s="1">
        <v>333110.01892364642</v>
      </c>
      <c r="G459" s="1">
        <v>416387.523654558</v>
      </c>
      <c r="H459" s="1">
        <v>416387.523654558</v>
      </c>
      <c r="I459" s="1">
        <v>416387.523654558</v>
      </c>
      <c r="J459" s="1">
        <v>416387.523654558</v>
      </c>
      <c r="K459" s="1">
        <v>416387.523654558</v>
      </c>
      <c r="L459" s="1">
        <v>416387.523654558</v>
      </c>
      <c r="M459" s="1">
        <v>253617.85531686712</v>
      </c>
      <c r="N459" s="1">
        <v>253617.85531686712</v>
      </c>
      <c r="O459" s="1">
        <v>211348.21276405593</v>
      </c>
      <c r="P459" s="1">
        <v>211348.21276405593</v>
      </c>
      <c r="Q459" s="1">
        <v>295887.49786967831</v>
      </c>
      <c r="R459" s="1">
        <v>295887.49786967831</v>
      </c>
      <c r="S459" s="1">
        <v>295887.49786967831</v>
      </c>
      <c r="T459" s="1">
        <v>295887.49786967831</v>
      </c>
      <c r="U459" s="1">
        <v>295887.49786967831</v>
      </c>
      <c r="V459" s="1">
        <v>295887.49786967831</v>
      </c>
      <c r="W459" s="4">
        <f t="shared" si="14"/>
        <v>2934901.1515772785</v>
      </c>
      <c r="X459" s="4">
        <f t="shared" si="14"/>
        <v>2934901.1515772785</v>
      </c>
      <c r="Y459" s="5">
        <f t="shared" si="15"/>
        <v>0.58150000000000002</v>
      </c>
    </row>
    <row r="460" spans="1:25" x14ac:dyDescent="0.25">
      <c r="A460" s="1" t="s">
        <v>100</v>
      </c>
      <c r="B460" s="1" t="s">
        <v>44</v>
      </c>
      <c r="C460" s="1" t="s">
        <v>45</v>
      </c>
      <c r="D460" s="1">
        <v>9132298.4133879058</v>
      </c>
      <c r="E460" s="1">
        <v>602731.69528360188</v>
      </c>
      <c r="F460" s="1">
        <v>602731.69528360188</v>
      </c>
      <c r="G460" s="1">
        <v>753414.61910450226</v>
      </c>
      <c r="H460" s="1">
        <v>753414.61910450226</v>
      </c>
      <c r="I460" s="1">
        <v>753414.61910450226</v>
      </c>
      <c r="J460" s="1">
        <v>753414.61910450226</v>
      </c>
      <c r="K460" s="1">
        <v>753414.61910450226</v>
      </c>
      <c r="L460" s="1">
        <v>753414.61910450226</v>
      </c>
      <c r="M460" s="1">
        <v>458897.99527274212</v>
      </c>
      <c r="N460" s="1">
        <v>458897.99527274212</v>
      </c>
      <c r="O460" s="1">
        <v>382414.99606061843</v>
      </c>
      <c r="P460" s="1">
        <v>382414.99606061843</v>
      </c>
      <c r="Q460" s="1">
        <v>535380.99448486581</v>
      </c>
      <c r="R460" s="1">
        <v>535380.99448486581</v>
      </c>
      <c r="S460" s="1">
        <v>535380.99448486581</v>
      </c>
      <c r="T460" s="1">
        <v>535380.99448486581</v>
      </c>
      <c r="U460" s="1">
        <v>535380.99448486581</v>
      </c>
      <c r="V460" s="1">
        <v>535380.99448486581</v>
      </c>
      <c r="W460" s="4">
        <f t="shared" si="14"/>
        <v>5310431.5273850663</v>
      </c>
      <c r="X460" s="4">
        <f t="shared" si="14"/>
        <v>5310431.5273850663</v>
      </c>
      <c r="Y460" s="5">
        <f t="shared" si="15"/>
        <v>0.58149999999999991</v>
      </c>
    </row>
    <row r="461" spans="1:25" x14ac:dyDescent="0.25">
      <c r="A461" s="1" t="s">
        <v>100</v>
      </c>
      <c r="B461" s="1" t="s">
        <v>46</v>
      </c>
      <c r="C461" s="1" t="s">
        <v>22</v>
      </c>
      <c r="D461" s="1">
        <v>111973873.21931852</v>
      </c>
      <c r="E461" s="1">
        <v>7397198.3060438409</v>
      </c>
      <c r="F461" s="1">
        <v>7397198.3060438409</v>
      </c>
      <c r="G461" s="1">
        <v>9246497.8825548012</v>
      </c>
      <c r="H461" s="1">
        <v>9246497.8825548012</v>
      </c>
      <c r="I461" s="1">
        <v>9246497.8825548012</v>
      </c>
      <c r="J461" s="1">
        <v>9246497.8825548012</v>
      </c>
      <c r="K461" s="1">
        <v>9246497.8825548012</v>
      </c>
      <c r="L461" s="1">
        <v>9246497.8825548012</v>
      </c>
      <c r="M461" s="1">
        <v>5801873.4107679315</v>
      </c>
      <c r="N461" s="1">
        <v>5801873.4107679315</v>
      </c>
      <c r="O461" s="1">
        <v>4718022.5075529758</v>
      </c>
      <c r="P461" s="1">
        <v>4718022.5075529758</v>
      </c>
      <c r="Q461" s="1">
        <v>6531809.2767432053</v>
      </c>
      <c r="R461" s="1">
        <v>6531809.2767432053</v>
      </c>
      <c r="S461" s="1">
        <v>6531809.2767432053</v>
      </c>
      <c r="T461" s="1">
        <v>6531809.2767432053</v>
      </c>
      <c r="U461" s="1">
        <v>6531809.2767432053</v>
      </c>
      <c r="V461" s="1">
        <v>6531809.2767432053</v>
      </c>
      <c r="W461" s="4">
        <f t="shared" si="14"/>
        <v>65252015.702258766</v>
      </c>
      <c r="X461" s="4">
        <f t="shared" si="14"/>
        <v>65252015.702258766</v>
      </c>
      <c r="Y461" s="5">
        <f t="shared" si="15"/>
        <v>0.58274322238056708</v>
      </c>
    </row>
    <row r="462" spans="1:25" x14ac:dyDescent="0.25">
      <c r="A462" s="1" t="s">
        <v>100</v>
      </c>
      <c r="B462" s="1" t="s">
        <v>66</v>
      </c>
      <c r="C462" s="1" t="s">
        <v>24</v>
      </c>
      <c r="D462" s="1">
        <v>348894655.25883234</v>
      </c>
      <c r="E462" s="1">
        <v>28783809.058853667</v>
      </c>
      <c r="F462" s="1">
        <v>28783809.058853667</v>
      </c>
      <c r="G462" s="1">
        <v>28783809.058853667</v>
      </c>
      <c r="H462" s="1">
        <v>28783809.058853667</v>
      </c>
      <c r="I462" s="1">
        <v>28783809.058853667</v>
      </c>
      <c r="J462" s="1">
        <v>28783809.058853667</v>
      </c>
      <c r="K462" s="1">
        <v>28783809.058853667</v>
      </c>
      <c r="L462" s="1">
        <v>28783809.058853667</v>
      </c>
      <c r="M462" s="1">
        <v>35590370.134585299</v>
      </c>
      <c r="N462" s="1">
        <v>35590370.134585299</v>
      </c>
      <c r="O462" s="1">
        <v>29366721.249999993</v>
      </c>
      <c r="P462" s="1">
        <v>29366721.249999993</v>
      </c>
      <c r="Q462" s="1">
        <v>28084221.249999996</v>
      </c>
      <c r="R462" s="1">
        <v>28084221.249999996</v>
      </c>
      <c r="S462" s="1">
        <v>28661721.249999996</v>
      </c>
      <c r="T462" s="1">
        <v>28661721.249999996</v>
      </c>
      <c r="U462" s="1">
        <v>27959221.248832401</v>
      </c>
      <c r="V462" s="1">
        <v>27959221.248832401</v>
      </c>
      <c r="W462" s="4">
        <f t="shared" si="14"/>
        <v>264797491.36883229</v>
      </c>
      <c r="X462" s="4">
        <f t="shared" si="14"/>
        <v>264797491.36883229</v>
      </c>
      <c r="Y462" s="5">
        <f t="shared" si="15"/>
        <v>0.75896115740835468</v>
      </c>
    </row>
    <row r="463" spans="1:25" x14ac:dyDescent="0.25">
      <c r="A463" s="1" t="s">
        <v>100</v>
      </c>
      <c r="B463" s="1" t="s">
        <v>67</v>
      </c>
      <c r="C463" s="1" t="s">
        <v>68</v>
      </c>
      <c r="D463" s="1">
        <v>5916750.6585043678</v>
      </c>
      <c r="E463" s="1">
        <v>390505.54346128833</v>
      </c>
      <c r="F463" s="1">
        <v>390505.54346128833</v>
      </c>
      <c r="G463" s="1">
        <v>488131.92932661035</v>
      </c>
      <c r="H463" s="1">
        <v>488131.92932661035</v>
      </c>
      <c r="I463" s="1">
        <v>488131.92932661035</v>
      </c>
      <c r="J463" s="1">
        <v>488131.92932661035</v>
      </c>
      <c r="K463" s="1">
        <v>488131.92932661035</v>
      </c>
      <c r="L463" s="1">
        <v>488131.92932661035</v>
      </c>
      <c r="M463" s="1">
        <v>307671.03424222715</v>
      </c>
      <c r="N463" s="1">
        <v>307671.03424222715</v>
      </c>
      <c r="O463" s="1">
        <v>246531.277437682</v>
      </c>
      <c r="P463" s="1">
        <v>246531.277437682</v>
      </c>
      <c r="Q463" s="1">
        <v>345143.78841275477</v>
      </c>
      <c r="R463" s="1">
        <v>345143.78841275477</v>
      </c>
      <c r="S463" s="1">
        <v>345143.78841275477</v>
      </c>
      <c r="T463" s="1">
        <v>345143.78841275477</v>
      </c>
      <c r="U463" s="1">
        <v>345143.78841275477</v>
      </c>
      <c r="V463" s="1">
        <v>345143.78841275477</v>
      </c>
      <c r="W463" s="4">
        <f t="shared" si="14"/>
        <v>3444535.0083592925</v>
      </c>
      <c r="X463" s="4">
        <f t="shared" si="14"/>
        <v>3444535.0083592925</v>
      </c>
      <c r="Y463" s="5">
        <f t="shared" si="15"/>
        <v>0.58216666666666661</v>
      </c>
    </row>
    <row r="464" spans="1:25" x14ac:dyDescent="0.25">
      <c r="A464" s="1" t="s">
        <v>100</v>
      </c>
      <c r="B464" s="1" t="s">
        <v>69</v>
      </c>
      <c r="C464" s="1" t="s">
        <v>28</v>
      </c>
      <c r="D464" s="1">
        <v>7417303.5764385499</v>
      </c>
      <c r="E464" s="1">
        <v>489542.03604494437</v>
      </c>
      <c r="F464" s="1">
        <v>489542.03604494437</v>
      </c>
      <c r="G464" s="1">
        <v>611927.54505618045</v>
      </c>
      <c r="H464" s="1">
        <v>611927.54505618045</v>
      </c>
      <c r="I464" s="1">
        <v>611927.54505618045</v>
      </c>
      <c r="J464" s="1">
        <v>611927.54505618045</v>
      </c>
      <c r="K464" s="1">
        <v>611927.54505618045</v>
      </c>
      <c r="L464" s="1">
        <v>611927.54505618045</v>
      </c>
      <c r="M464" s="1">
        <v>372719.50471603707</v>
      </c>
      <c r="N464" s="1">
        <v>372719.50471603707</v>
      </c>
      <c r="O464" s="1">
        <v>310599.58726336423</v>
      </c>
      <c r="P464" s="1">
        <v>310599.58726336423</v>
      </c>
      <c r="Q464" s="1">
        <v>434839.42216870992</v>
      </c>
      <c r="R464" s="1">
        <v>434839.42216870992</v>
      </c>
      <c r="S464" s="1">
        <v>434839.42216870992</v>
      </c>
      <c r="T464" s="1">
        <v>434839.42216870992</v>
      </c>
      <c r="U464" s="1">
        <v>434839.42216870992</v>
      </c>
      <c r="V464" s="1">
        <v>434839.42216870992</v>
      </c>
      <c r="W464" s="4">
        <f t="shared" si="14"/>
        <v>4313162.0296990173</v>
      </c>
      <c r="X464" s="4">
        <f t="shared" si="14"/>
        <v>4313162.0296990173</v>
      </c>
      <c r="Y464" s="5">
        <f t="shared" si="15"/>
        <v>0.58150000000000002</v>
      </c>
    </row>
    <row r="465" spans="1:25" x14ac:dyDescent="0.25">
      <c r="A465" s="1" t="s">
        <v>100</v>
      </c>
      <c r="B465" s="1" t="s">
        <v>70</v>
      </c>
      <c r="C465" s="1" t="s">
        <v>23</v>
      </c>
      <c r="D465" s="1">
        <v>9646874.9064843766</v>
      </c>
      <c r="E465" s="1">
        <v>636693.74382796895</v>
      </c>
      <c r="F465" s="1">
        <v>636693.74382796895</v>
      </c>
      <c r="G465" s="1">
        <v>795867.17978496116</v>
      </c>
      <c r="H465" s="1">
        <v>795867.17978496116</v>
      </c>
      <c r="I465" s="1">
        <v>795867.17978496116</v>
      </c>
      <c r="J465" s="1">
        <v>795867.17978496116</v>
      </c>
      <c r="K465" s="1">
        <v>795867.17978496116</v>
      </c>
      <c r="L465" s="1">
        <v>795867.17978496116</v>
      </c>
      <c r="M465" s="1">
        <v>484755.46405083989</v>
      </c>
      <c r="N465" s="1">
        <v>484755.46405083989</v>
      </c>
      <c r="O465" s="1">
        <v>403962.88670903328</v>
      </c>
      <c r="P465" s="1">
        <v>403962.88670903328</v>
      </c>
      <c r="Q465" s="1">
        <v>565548.0413926465</v>
      </c>
      <c r="R465" s="1">
        <v>565548.0413926465</v>
      </c>
      <c r="S465" s="1">
        <v>565548.0413926465</v>
      </c>
      <c r="T465" s="1">
        <v>565548.0413926465</v>
      </c>
      <c r="U465" s="1">
        <v>565548.0413926465</v>
      </c>
      <c r="V465" s="1">
        <v>565548.0413926465</v>
      </c>
      <c r="W465" s="4">
        <f t="shared" si="14"/>
        <v>5609657.7581206644</v>
      </c>
      <c r="X465" s="4">
        <f t="shared" si="14"/>
        <v>5609657.7581206644</v>
      </c>
      <c r="Y465" s="5">
        <f t="shared" si="15"/>
        <v>0.58149999999999991</v>
      </c>
    </row>
    <row r="466" spans="1:25" x14ac:dyDescent="0.25">
      <c r="A466" s="1" t="s">
        <v>100</v>
      </c>
      <c r="B466" s="1" t="s">
        <v>71</v>
      </c>
      <c r="C466" s="1" t="s">
        <v>29</v>
      </c>
      <c r="D466" s="1">
        <v>7294051.9211538434</v>
      </c>
      <c r="E466" s="1">
        <v>481407.42679615365</v>
      </c>
      <c r="F466" s="1">
        <v>481407.42679615365</v>
      </c>
      <c r="G466" s="1">
        <v>601759.28349519207</v>
      </c>
      <c r="H466" s="1">
        <v>601759.28349519207</v>
      </c>
      <c r="I466" s="1">
        <v>601759.28349519207</v>
      </c>
      <c r="J466" s="1">
        <v>601759.28349519207</v>
      </c>
      <c r="K466" s="1">
        <v>601759.28349519207</v>
      </c>
      <c r="L466" s="1">
        <v>601759.28349519207</v>
      </c>
      <c r="M466" s="1">
        <v>366526.10903798067</v>
      </c>
      <c r="N466" s="1">
        <v>366526.10903798067</v>
      </c>
      <c r="O466" s="1">
        <v>305438.42419831723</v>
      </c>
      <c r="P466" s="1">
        <v>305438.42419831723</v>
      </c>
      <c r="Q466" s="1">
        <v>427613.79387764412</v>
      </c>
      <c r="R466" s="1">
        <v>427613.79387764412</v>
      </c>
      <c r="S466" s="1">
        <v>427613.79387764412</v>
      </c>
      <c r="T466" s="1">
        <v>427613.79387764412</v>
      </c>
      <c r="U466" s="1">
        <v>427613.79387764412</v>
      </c>
      <c r="V466" s="1">
        <v>427613.79387764412</v>
      </c>
      <c r="W466" s="4">
        <f t="shared" ref="W466:X529" si="16">U466+S466+Q466+O466+M466+K466+I466+G466+E466</f>
        <v>4241491.1921509597</v>
      </c>
      <c r="X466" s="4">
        <f t="shared" si="16"/>
        <v>4241491.1921509597</v>
      </c>
      <c r="Y466" s="5">
        <f t="shared" si="15"/>
        <v>0.58150000000000002</v>
      </c>
    </row>
    <row r="467" spans="1:25" x14ac:dyDescent="0.25">
      <c r="A467" s="1" t="s">
        <v>100</v>
      </c>
      <c r="B467" s="1" t="s">
        <v>72</v>
      </c>
      <c r="C467" s="1" t="s">
        <v>73</v>
      </c>
      <c r="D467" s="1">
        <v>8750800.6731646769</v>
      </c>
      <c r="E467" s="1">
        <v>577552.84442886873</v>
      </c>
      <c r="F467" s="1">
        <v>577552.84442886873</v>
      </c>
      <c r="G467" s="1">
        <v>721941.05553608586</v>
      </c>
      <c r="H467" s="1">
        <v>721941.05553608586</v>
      </c>
      <c r="I467" s="1">
        <v>721941.05553608586</v>
      </c>
      <c r="J467" s="1">
        <v>721941.05553608586</v>
      </c>
      <c r="K467" s="1">
        <v>721941.05553608586</v>
      </c>
      <c r="L467" s="1">
        <v>721941.05553608586</v>
      </c>
      <c r="M467" s="1">
        <v>439727.73382652504</v>
      </c>
      <c r="N467" s="1">
        <v>439727.73382652504</v>
      </c>
      <c r="O467" s="1">
        <v>366439.77818877087</v>
      </c>
      <c r="P467" s="1">
        <v>366439.77818877087</v>
      </c>
      <c r="Q467" s="1">
        <v>513015.68946427916</v>
      </c>
      <c r="R467" s="1">
        <v>513015.68946427916</v>
      </c>
      <c r="S467" s="1">
        <v>513015.68946427916</v>
      </c>
      <c r="T467" s="1">
        <v>513015.68946427916</v>
      </c>
      <c r="U467" s="1">
        <v>513015.68946427916</v>
      </c>
      <c r="V467" s="1">
        <v>513015.68946427916</v>
      </c>
      <c r="W467" s="4">
        <f t="shared" si="16"/>
        <v>5088590.5914452597</v>
      </c>
      <c r="X467" s="4">
        <f t="shared" si="16"/>
        <v>5088590.5914452597</v>
      </c>
      <c r="Y467" s="5">
        <f t="shared" si="15"/>
        <v>0.58150000000000002</v>
      </c>
    </row>
    <row r="468" spans="1:25" x14ac:dyDescent="0.25">
      <c r="A468" s="1" t="s">
        <v>100</v>
      </c>
      <c r="B468" s="1" t="s">
        <v>48</v>
      </c>
      <c r="C468" s="1" t="s">
        <v>49</v>
      </c>
      <c r="D468" s="1">
        <v>5559222.0792183829</v>
      </c>
      <c r="E468" s="1">
        <v>366908.65722841327</v>
      </c>
      <c r="F468" s="1">
        <v>366908.65722841327</v>
      </c>
      <c r="G468" s="1">
        <v>458635.82153551659</v>
      </c>
      <c r="H468" s="1">
        <v>458635.82153551659</v>
      </c>
      <c r="I468" s="1">
        <v>458635.82153551659</v>
      </c>
      <c r="J468" s="1">
        <v>458635.82153551659</v>
      </c>
      <c r="K468" s="1">
        <v>458635.82153551659</v>
      </c>
      <c r="L468" s="1">
        <v>458635.82153551659</v>
      </c>
      <c r="M468" s="1">
        <v>279350.90948072373</v>
      </c>
      <c r="N468" s="1">
        <v>279350.90948072373</v>
      </c>
      <c r="O468" s="1">
        <v>232792.4245672698</v>
      </c>
      <c r="P468" s="1">
        <v>232792.4245672698</v>
      </c>
      <c r="Q468" s="1">
        <v>325909.39439417771</v>
      </c>
      <c r="R468" s="1">
        <v>325909.39439417771</v>
      </c>
      <c r="S468" s="1">
        <v>325909.39439417771</v>
      </c>
      <c r="T468" s="1">
        <v>325909.39439417771</v>
      </c>
      <c r="U468" s="1">
        <v>325909.39439417771</v>
      </c>
      <c r="V468" s="1">
        <v>325909.39439417771</v>
      </c>
      <c r="W468" s="4">
        <f t="shared" si="16"/>
        <v>3232687.6390654901</v>
      </c>
      <c r="X468" s="4">
        <f t="shared" si="16"/>
        <v>3232687.6390654901</v>
      </c>
      <c r="Y468" s="5">
        <f t="shared" si="15"/>
        <v>0.58150000000000013</v>
      </c>
    </row>
    <row r="469" spans="1:25" x14ac:dyDescent="0.25">
      <c r="A469" s="1" t="s">
        <v>100</v>
      </c>
      <c r="B469" s="1" t="s">
        <v>53</v>
      </c>
      <c r="C469" s="1" t="s">
        <v>30</v>
      </c>
      <c r="D469" s="1">
        <v>9688786.1158917695</v>
      </c>
      <c r="E469" s="1">
        <v>639459.88364885689</v>
      </c>
      <c r="F469" s="1">
        <v>639459.88364885689</v>
      </c>
      <c r="G469" s="1">
        <v>799324.85456107103</v>
      </c>
      <c r="H469" s="1">
        <v>799324.85456107103</v>
      </c>
      <c r="I469" s="1">
        <v>799324.85456107103</v>
      </c>
      <c r="J469" s="1">
        <v>799324.85456107103</v>
      </c>
      <c r="K469" s="1">
        <v>799324.85456107103</v>
      </c>
      <c r="L469" s="1">
        <v>799324.85456107103</v>
      </c>
      <c r="M469" s="1">
        <v>486861.50232356141</v>
      </c>
      <c r="N469" s="1">
        <v>486861.50232356141</v>
      </c>
      <c r="O469" s="1">
        <v>405717.91860296787</v>
      </c>
      <c r="P469" s="1">
        <v>405717.91860296787</v>
      </c>
      <c r="Q469" s="1">
        <v>568005.08604415494</v>
      </c>
      <c r="R469" s="1">
        <v>568005.08604415494</v>
      </c>
      <c r="S469" s="1">
        <v>568005.08604415494</v>
      </c>
      <c r="T469" s="1">
        <v>568005.08604415494</v>
      </c>
      <c r="U469" s="1">
        <v>568005.08604415494</v>
      </c>
      <c r="V469" s="1">
        <v>568005.08604415494</v>
      </c>
      <c r="W469" s="4">
        <f t="shared" si="16"/>
        <v>5634029.1263910634</v>
      </c>
      <c r="X469" s="4">
        <f t="shared" si="16"/>
        <v>5634029.1263910634</v>
      </c>
      <c r="Y469" s="5">
        <f t="shared" si="15"/>
        <v>0.58149999999999991</v>
      </c>
    </row>
    <row r="470" spans="1:25" x14ac:dyDescent="0.25">
      <c r="A470" s="1" t="s">
        <v>100</v>
      </c>
      <c r="B470" s="1" t="s">
        <v>74</v>
      </c>
      <c r="C470" s="1" t="s">
        <v>75</v>
      </c>
      <c r="D470" s="1">
        <v>8254809.9826160539</v>
      </c>
      <c r="E470" s="1">
        <v>544817.45885265956</v>
      </c>
      <c r="F470" s="1">
        <v>544817.45885265956</v>
      </c>
      <c r="G470" s="1">
        <v>681021.82356582442</v>
      </c>
      <c r="H470" s="1">
        <v>681021.82356582442</v>
      </c>
      <c r="I470" s="1">
        <v>681021.82356582442</v>
      </c>
      <c r="J470" s="1">
        <v>681021.82356582442</v>
      </c>
      <c r="K470" s="1">
        <v>681021.82356582442</v>
      </c>
      <c r="L470" s="1">
        <v>681021.82356582442</v>
      </c>
      <c r="M470" s="1">
        <v>414804.20162645669</v>
      </c>
      <c r="N470" s="1">
        <v>414804.20162645669</v>
      </c>
      <c r="O470" s="1">
        <v>345670.16802204726</v>
      </c>
      <c r="P470" s="1">
        <v>345670.16802204726</v>
      </c>
      <c r="Q470" s="1">
        <v>483938.23523086612</v>
      </c>
      <c r="R470" s="1">
        <v>483938.23523086612</v>
      </c>
      <c r="S470" s="1">
        <v>483938.23523086612</v>
      </c>
      <c r="T470" s="1">
        <v>483938.23523086612</v>
      </c>
      <c r="U470" s="1">
        <v>483938.23523086612</v>
      </c>
      <c r="V470" s="1">
        <v>483938.23523086612</v>
      </c>
      <c r="W470" s="4">
        <f t="shared" si="16"/>
        <v>4800172.0048912354</v>
      </c>
      <c r="X470" s="4">
        <f t="shared" si="16"/>
        <v>4800172.0048912354</v>
      </c>
      <c r="Y470" s="5">
        <f t="shared" si="15"/>
        <v>0.58150000000000002</v>
      </c>
    </row>
    <row r="471" spans="1:25" x14ac:dyDescent="0.25">
      <c r="A471" s="1" t="s">
        <v>100</v>
      </c>
      <c r="B471" s="1" t="s">
        <v>50</v>
      </c>
      <c r="C471" s="1" t="s">
        <v>25</v>
      </c>
      <c r="D471" s="1">
        <v>5837183.1831793012</v>
      </c>
      <c r="E471" s="1">
        <v>385254.09008983389</v>
      </c>
      <c r="F471" s="1">
        <v>385254.09008983389</v>
      </c>
      <c r="G471" s="1">
        <v>481567.61261229235</v>
      </c>
      <c r="H471" s="1">
        <v>481567.61261229235</v>
      </c>
      <c r="I471" s="1">
        <v>481567.61261229235</v>
      </c>
      <c r="J471" s="1">
        <v>481567.61261229235</v>
      </c>
      <c r="K471" s="1">
        <v>481567.61261229235</v>
      </c>
      <c r="L471" s="1">
        <v>481567.61261229235</v>
      </c>
      <c r="M471" s="1">
        <v>293318.45495475986</v>
      </c>
      <c r="N471" s="1">
        <v>293318.45495475986</v>
      </c>
      <c r="O471" s="1">
        <v>244432.04579563322</v>
      </c>
      <c r="P471" s="1">
        <v>244432.04579563322</v>
      </c>
      <c r="Q471" s="1">
        <v>342204.86411388649</v>
      </c>
      <c r="R471" s="1">
        <v>342204.86411388649</v>
      </c>
      <c r="S471" s="1">
        <v>342204.86411388649</v>
      </c>
      <c r="T471" s="1">
        <v>342204.86411388649</v>
      </c>
      <c r="U471" s="1">
        <v>342204.86411388649</v>
      </c>
      <c r="V471" s="1">
        <v>342204.86411388649</v>
      </c>
      <c r="W471" s="4">
        <f t="shared" si="16"/>
        <v>3394322.0210187631</v>
      </c>
      <c r="X471" s="4">
        <f t="shared" si="16"/>
        <v>3394322.0210187631</v>
      </c>
      <c r="Y471" s="5">
        <f t="shared" si="15"/>
        <v>0.58149999999999991</v>
      </c>
    </row>
    <row r="472" spans="1:25" x14ac:dyDescent="0.25">
      <c r="A472" s="1" t="s">
        <v>101</v>
      </c>
      <c r="B472" s="1" t="s">
        <v>59</v>
      </c>
      <c r="C472" s="1" t="s">
        <v>26</v>
      </c>
      <c r="D472" s="1">
        <v>31440432.579455975</v>
      </c>
      <c r="E472" s="1">
        <v>2577254.3292840943</v>
      </c>
      <c r="F472" s="1">
        <v>2577254.3292840943</v>
      </c>
      <c r="G472" s="1">
        <v>3221567.9116051178</v>
      </c>
      <c r="H472" s="1">
        <v>3221567.9116051178</v>
      </c>
      <c r="I472" s="1">
        <v>3221567.9116051178</v>
      </c>
      <c r="J472" s="1">
        <v>3221567.9116051178</v>
      </c>
      <c r="K472" s="1">
        <v>3221567.9116051178</v>
      </c>
      <c r="L472" s="1">
        <v>3221567.9116051178</v>
      </c>
      <c r="M472" s="1">
        <v>2319270.1166294375</v>
      </c>
      <c r="N472" s="1">
        <v>2319270.1166294375</v>
      </c>
      <c r="O472" s="1">
        <v>2319270.1166294375</v>
      </c>
      <c r="P472" s="1">
        <v>2319270.1166294375</v>
      </c>
      <c r="Q472" s="1">
        <v>2319270.1166294375</v>
      </c>
      <c r="R472" s="1">
        <v>2319270.1166294375</v>
      </c>
      <c r="S472" s="1">
        <v>2319270.1166294375</v>
      </c>
      <c r="T472" s="1">
        <v>2319270.1166294375</v>
      </c>
      <c r="U472" s="1">
        <v>2319270.1166294375</v>
      </c>
      <c r="V472" s="1">
        <v>2319270.1166294375</v>
      </c>
      <c r="W472" s="4">
        <f t="shared" si="16"/>
        <v>23838308.647246636</v>
      </c>
      <c r="X472" s="4">
        <f t="shared" si="16"/>
        <v>23838308.647246636</v>
      </c>
      <c r="Y472" s="5">
        <f t="shared" si="15"/>
        <v>0.75820549182975394</v>
      </c>
    </row>
    <row r="473" spans="1:25" x14ac:dyDescent="0.25">
      <c r="A473" s="1" t="s">
        <v>101</v>
      </c>
      <c r="B473" s="1" t="s">
        <v>59</v>
      </c>
      <c r="C473" s="1" t="s">
        <v>26</v>
      </c>
      <c r="D473" s="1">
        <v>7608875.4400000004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3804437.72</v>
      </c>
      <c r="N473" s="1">
        <v>3804437.72</v>
      </c>
      <c r="O473" s="1">
        <v>3804437.72</v>
      </c>
      <c r="P473" s="1">
        <v>3804437.72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4">
        <f t="shared" si="16"/>
        <v>7608875.4400000004</v>
      </c>
      <c r="X473" s="4">
        <f t="shared" si="16"/>
        <v>7608875.4400000004</v>
      </c>
      <c r="Y473" s="5">
        <f t="shared" si="15"/>
        <v>1</v>
      </c>
    </row>
    <row r="474" spans="1:25" x14ac:dyDescent="0.25">
      <c r="A474" s="1" t="s">
        <v>101</v>
      </c>
      <c r="B474" s="1" t="s">
        <v>33</v>
      </c>
      <c r="C474" s="1" t="s">
        <v>34</v>
      </c>
      <c r="D474" s="1">
        <v>24000000</v>
      </c>
      <c r="E474" s="1">
        <v>0</v>
      </c>
      <c r="F474" s="1">
        <v>0</v>
      </c>
      <c r="G474" s="1">
        <v>4800000</v>
      </c>
      <c r="H474" s="1">
        <v>4800000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7200000</v>
      </c>
      <c r="P474" s="1">
        <v>7200000</v>
      </c>
      <c r="Q474" s="1">
        <v>0</v>
      </c>
      <c r="R474" s="1">
        <v>0</v>
      </c>
      <c r="S474" s="1">
        <v>7200000</v>
      </c>
      <c r="T474" s="1">
        <v>7200000</v>
      </c>
      <c r="U474" s="1">
        <v>4800000</v>
      </c>
      <c r="V474" s="1">
        <v>4800000</v>
      </c>
      <c r="W474" s="4">
        <f t="shared" si="16"/>
        <v>24000000</v>
      </c>
      <c r="X474" s="4">
        <f t="shared" si="16"/>
        <v>24000000</v>
      </c>
      <c r="Y474" s="5">
        <f t="shared" si="15"/>
        <v>1</v>
      </c>
    </row>
    <row r="475" spans="1:25" x14ac:dyDescent="0.25">
      <c r="A475" s="1" t="s">
        <v>101</v>
      </c>
      <c r="B475" s="1" t="s">
        <v>35</v>
      </c>
      <c r="C475" s="1" t="s">
        <v>34</v>
      </c>
      <c r="D475" s="1">
        <v>60000000</v>
      </c>
      <c r="E475" s="1">
        <v>0</v>
      </c>
      <c r="F475" s="1">
        <v>0</v>
      </c>
      <c r="G475" s="1">
        <v>16500000</v>
      </c>
      <c r="H475" s="1">
        <v>16500000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14500000</v>
      </c>
      <c r="P475" s="1">
        <v>14500000</v>
      </c>
      <c r="Q475" s="1">
        <v>0</v>
      </c>
      <c r="R475" s="1">
        <v>0</v>
      </c>
      <c r="S475" s="1">
        <v>14500000</v>
      </c>
      <c r="T475" s="1">
        <v>14500000</v>
      </c>
      <c r="U475" s="1">
        <v>14500000</v>
      </c>
      <c r="V475" s="1">
        <v>14500000</v>
      </c>
      <c r="W475" s="4">
        <f t="shared" si="16"/>
        <v>60000000</v>
      </c>
      <c r="X475" s="4">
        <f t="shared" si="16"/>
        <v>60000000</v>
      </c>
      <c r="Y475" s="5">
        <f t="shared" si="15"/>
        <v>1</v>
      </c>
    </row>
    <row r="476" spans="1:25" x14ac:dyDescent="0.25">
      <c r="A476" s="1" t="s">
        <v>101</v>
      </c>
      <c r="B476" s="1" t="s">
        <v>38</v>
      </c>
      <c r="C476" s="1" t="s">
        <v>39</v>
      </c>
      <c r="D476" s="1">
        <v>6299513.2448365418</v>
      </c>
      <c r="E476" s="1">
        <v>415767.87415921176</v>
      </c>
      <c r="F476" s="1">
        <v>415767.87415921176</v>
      </c>
      <c r="G476" s="1">
        <v>519709.8426990147</v>
      </c>
      <c r="H476" s="1">
        <v>519709.8426990147</v>
      </c>
      <c r="I476" s="1">
        <v>519709.8426990147</v>
      </c>
      <c r="J476" s="1">
        <v>519709.8426990147</v>
      </c>
      <c r="K476" s="1">
        <v>519709.8426990147</v>
      </c>
      <c r="L476" s="1">
        <v>519709.8426990147</v>
      </c>
      <c r="M476" s="1">
        <v>316550.54055303626</v>
      </c>
      <c r="N476" s="1">
        <v>316550.54055303626</v>
      </c>
      <c r="O476" s="1">
        <v>263792.11712753022</v>
      </c>
      <c r="P476" s="1">
        <v>263792.11712753022</v>
      </c>
      <c r="Q476" s="1">
        <v>369308.96397854231</v>
      </c>
      <c r="R476" s="1">
        <v>369308.96397854231</v>
      </c>
      <c r="S476" s="1">
        <v>369308.96397854231</v>
      </c>
      <c r="T476" s="1">
        <v>369308.96397854231</v>
      </c>
      <c r="U476" s="1">
        <v>369308.96397854231</v>
      </c>
      <c r="V476" s="1">
        <v>369308.96397854231</v>
      </c>
      <c r="W476" s="4">
        <f t="shared" si="16"/>
        <v>3663166.9518724489</v>
      </c>
      <c r="X476" s="4">
        <f t="shared" si="16"/>
        <v>3663166.9518724489</v>
      </c>
      <c r="Y476" s="5">
        <f t="shared" si="15"/>
        <v>0.58150000000000002</v>
      </c>
    </row>
    <row r="477" spans="1:25" x14ac:dyDescent="0.25">
      <c r="A477" s="1" t="s">
        <v>101</v>
      </c>
      <c r="B477" s="1" t="s">
        <v>61</v>
      </c>
      <c r="C477" s="1" t="s">
        <v>34</v>
      </c>
      <c r="D477" s="1">
        <v>80895287</v>
      </c>
      <c r="E477" s="1">
        <v>0</v>
      </c>
      <c r="F477" s="1">
        <v>0</v>
      </c>
      <c r="G477" s="1">
        <v>6471622.9592628693</v>
      </c>
      <c r="H477" s="1">
        <v>6471622.9592628693</v>
      </c>
      <c r="I477" s="1">
        <v>0</v>
      </c>
      <c r="J477" s="1">
        <v>0</v>
      </c>
      <c r="K477" s="1">
        <v>0</v>
      </c>
      <c r="L477" s="1">
        <v>0</v>
      </c>
      <c r="M477" s="1">
        <v>18605916.010184284</v>
      </c>
      <c r="N477" s="1">
        <v>18605916.010184284</v>
      </c>
      <c r="O477" s="1">
        <v>0</v>
      </c>
      <c r="P477" s="1">
        <v>0</v>
      </c>
      <c r="Q477" s="1">
        <v>0</v>
      </c>
      <c r="R477" s="1">
        <v>0</v>
      </c>
      <c r="S477" s="1">
        <v>27908874.015276425</v>
      </c>
      <c r="T477" s="1">
        <v>27908874.015276425</v>
      </c>
      <c r="U477" s="1">
        <v>0</v>
      </c>
      <c r="V477" s="1">
        <v>0</v>
      </c>
      <c r="W477" s="4">
        <f t="shared" si="16"/>
        <v>52986412.984723575</v>
      </c>
      <c r="X477" s="4">
        <f t="shared" si="16"/>
        <v>52986412.984723575</v>
      </c>
      <c r="Y477" s="5">
        <f t="shared" si="15"/>
        <v>0.65499999999658298</v>
      </c>
    </row>
    <row r="478" spans="1:25" x14ac:dyDescent="0.25">
      <c r="A478" s="1" t="s">
        <v>101</v>
      </c>
      <c r="B478" s="1" t="s">
        <v>62</v>
      </c>
      <c r="C478" s="1" t="s">
        <v>63</v>
      </c>
      <c r="D478" s="1">
        <v>22142857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1660714.2857142857</v>
      </c>
      <c r="N478" s="1">
        <v>1660714.2857142857</v>
      </c>
      <c r="O478" s="1">
        <v>1383928.5714285714</v>
      </c>
      <c r="P478" s="1">
        <v>1383928.5714285714</v>
      </c>
      <c r="Q478" s="1">
        <v>1937499.9999999998</v>
      </c>
      <c r="R478" s="1">
        <v>1937499.9999999998</v>
      </c>
      <c r="S478" s="1">
        <v>1937499.9999999998</v>
      </c>
      <c r="T478" s="1">
        <v>1937499.9999999998</v>
      </c>
      <c r="U478" s="1">
        <v>1937499.9999999998</v>
      </c>
      <c r="V478" s="1">
        <v>1937499.9999999998</v>
      </c>
      <c r="W478" s="4">
        <f t="shared" si="16"/>
        <v>8857142.8571428563</v>
      </c>
      <c r="X478" s="4">
        <f t="shared" si="16"/>
        <v>8857142.8571428563</v>
      </c>
      <c r="Y478" s="5">
        <f t="shared" si="15"/>
        <v>0.40000000258064516</v>
      </c>
    </row>
    <row r="479" spans="1:25" x14ac:dyDescent="0.25">
      <c r="A479" s="1" t="s">
        <v>101</v>
      </c>
      <c r="B479" s="1" t="s">
        <v>40</v>
      </c>
      <c r="C479" s="1" t="s">
        <v>27</v>
      </c>
      <c r="D479" s="1">
        <v>36953904</v>
      </c>
      <c r="E479" s="1">
        <v>1889000</v>
      </c>
      <c r="F479" s="1">
        <v>1889000</v>
      </c>
      <c r="G479" s="1">
        <v>9956874</v>
      </c>
      <c r="H479" s="1">
        <v>9956874</v>
      </c>
      <c r="I479" s="1">
        <v>3222262</v>
      </c>
      <c r="J479" s="1">
        <v>3222262</v>
      </c>
      <c r="K479" s="1">
        <v>2690884</v>
      </c>
      <c r="L479" s="1">
        <v>2690884</v>
      </c>
      <c r="M479" s="1">
        <v>0</v>
      </c>
      <c r="N479" s="1">
        <v>0</v>
      </c>
      <c r="O479" s="1">
        <v>7363335</v>
      </c>
      <c r="P479" s="1">
        <v>7363335</v>
      </c>
      <c r="Q479" s="1">
        <v>1566457</v>
      </c>
      <c r="R479" s="1">
        <v>1566457</v>
      </c>
      <c r="S479" s="1">
        <v>3912370</v>
      </c>
      <c r="T479" s="1">
        <v>3912370</v>
      </c>
      <c r="U479" s="1">
        <v>3081025</v>
      </c>
      <c r="V479" s="1">
        <v>3081025</v>
      </c>
      <c r="W479" s="4">
        <f t="shared" si="16"/>
        <v>33682207</v>
      </c>
      <c r="X479" s="4">
        <f t="shared" si="16"/>
        <v>33682207</v>
      </c>
      <c r="Y479" s="5">
        <f t="shared" si="15"/>
        <v>0.91146545707322291</v>
      </c>
    </row>
    <row r="480" spans="1:25" x14ac:dyDescent="0.25">
      <c r="A480" s="1" t="s">
        <v>101</v>
      </c>
      <c r="B480" s="1" t="s">
        <v>40</v>
      </c>
      <c r="C480" s="1" t="s">
        <v>27</v>
      </c>
      <c r="D480" s="1">
        <v>47369339</v>
      </c>
      <c r="E480" s="1">
        <v>0</v>
      </c>
      <c r="F480" s="1">
        <v>0</v>
      </c>
      <c r="G480" s="1">
        <v>0</v>
      </c>
      <c r="H480" s="1">
        <v>0</v>
      </c>
      <c r="I480" s="1">
        <v>10115850.677937254</v>
      </c>
      <c r="J480" s="1">
        <v>10115850.677937254</v>
      </c>
      <c r="K480" s="1">
        <v>0</v>
      </c>
      <c r="L480" s="1">
        <v>0</v>
      </c>
      <c r="M480" s="1">
        <v>12865968.12077353</v>
      </c>
      <c r="N480" s="1">
        <v>12865968.12077353</v>
      </c>
      <c r="O480" s="1">
        <v>10049432.080515686</v>
      </c>
      <c r="P480" s="1">
        <v>10049432.080515686</v>
      </c>
      <c r="Q480" s="1">
        <v>12865968.12077353</v>
      </c>
      <c r="R480" s="1">
        <v>12865968.12077353</v>
      </c>
      <c r="S480" s="1">
        <v>1472120</v>
      </c>
      <c r="T480" s="1">
        <v>1472120</v>
      </c>
      <c r="U480" s="1">
        <v>0</v>
      </c>
      <c r="V480" s="1">
        <v>0</v>
      </c>
      <c r="W480" s="4">
        <f t="shared" si="16"/>
        <v>47369339</v>
      </c>
      <c r="X480" s="4">
        <f t="shared" si="16"/>
        <v>47369339</v>
      </c>
      <c r="Y480" s="5">
        <f t="shared" si="15"/>
        <v>1</v>
      </c>
    </row>
    <row r="481" spans="1:25" x14ac:dyDescent="0.25">
      <c r="A481" s="1" t="s">
        <v>101</v>
      </c>
      <c r="B481" s="1" t="s">
        <v>40</v>
      </c>
      <c r="C481" s="1" t="s">
        <v>27</v>
      </c>
      <c r="D481" s="1">
        <v>9236971</v>
      </c>
      <c r="E481" s="1">
        <v>0</v>
      </c>
      <c r="F481" s="1">
        <v>0</v>
      </c>
      <c r="G481" s="1">
        <v>3000000</v>
      </c>
      <c r="H481" s="1">
        <v>3000000</v>
      </c>
      <c r="I481" s="1">
        <v>0</v>
      </c>
      <c r="J481" s="1">
        <v>0</v>
      </c>
      <c r="K481" s="1">
        <v>0</v>
      </c>
      <c r="L481" s="1">
        <v>0</v>
      </c>
      <c r="M481" s="1">
        <v>2338864.125</v>
      </c>
      <c r="N481" s="1">
        <v>2338864.125</v>
      </c>
      <c r="O481" s="1">
        <v>1559242.75</v>
      </c>
      <c r="P481" s="1">
        <v>1559242.75</v>
      </c>
      <c r="Q481" s="1">
        <v>2338864.125</v>
      </c>
      <c r="R481" s="1">
        <v>2338864.125</v>
      </c>
      <c r="S481" s="1">
        <v>0</v>
      </c>
      <c r="T481" s="1">
        <v>0</v>
      </c>
      <c r="U481" s="1">
        <v>0</v>
      </c>
      <c r="V481" s="1">
        <v>0</v>
      </c>
      <c r="W481" s="4">
        <f t="shared" si="16"/>
        <v>9236971</v>
      </c>
      <c r="X481" s="4">
        <f t="shared" si="16"/>
        <v>9236971</v>
      </c>
      <c r="Y481" s="5">
        <f t="shared" si="15"/>
        <v>1</v>
      </c>
    </row>
    <row r="482" spans="1:25" x14ac:dyDescent="0.25">
      <c r="A482" s="1" t="s">
        <v>101</v>
      </c>
      <c r="B482" s="1" t="s">
        <v>43</v>
      </c>
      <c r="C482" s="1" t="s">
        <v>31</v>
      </c>
      <c r="D482" s="1">
        <v>4580499</v>
      </c>
      <c r="E482" s="1">
        <v>266073.87959672045</v>
      </c>
      <c r="F482" s="1">
        <v>266073.87959672045</v>
      </c>
      <c r="G482" s="1">
        <v>332592.34949590056</v>
      </c>
      <c r="H482" s="1">
        <v>332592.34949590056</v>
      </c>
      <c r="I482" s="1">
        <v>332592.34949590056</v>
      </c>
      <c r="J482" s="1">
        <v>332592.34949590056</v>
      </c>
      <c r="K482" s="1">
        <v>332592.34949590056</v>
      </c>
      <c r="L482" s="1">
        <v>332592.34949590056</v>
      </c>
      <c r="M482" s="1">
        <v>247307.2146403103</v>
      </c>
      <c r="N482" s="1">
        <v>247307.2146403103</v>
      </c>
      <c r="O482" s="1">
        <v>206089.34553359193</v>
      </c>
      <c r="P482" s="1">
        <v>206089.34553359193</v>
      </c>
      <c r="Q482" s="1">
        <v>255415.13518227686</v>
      </c>
      <c r="R482" s="1">
        <v>255415.13518227686</v>
      </c>
      <c r="S482" s="1">
        <v>288525.08374702866</v>
      </c>
      <c r="T482" s="1">
        <v>288525.08374702866</v>
      </c>
      <c r="U482" s="1">
        <v>288525.08374702866</v>
      </c>
      <c r="V482" s="1">
        <v>288525.08374702866</v>
      </c>
      <c r="W482" s="4">
        <f t="shared" si="16"/>
        <v>2549712.7909346586</v>
      </c>
      <c r="X482" s="4">
        <f t="shared" si="16"/>
        <v>2549712.7909346586</v>
      </c>
      <c r="Y482" s="5">
        <f t="shared" si="15"/>
        <v>0.55664520196045419</v>
      </c>
    </row>
    <row r="483" spans="1:25" x14ac:dyDescent="0.25">
      <c r="A483" s="1" t="s">
        <v>101</v>
      </c>
      <c r="B483" s="1" t="s">
        <v>64</v>
      </c>
      <c r="C483" s="1" t="s">
        <v>23</v>
      </c>
      <c r="D483" s="1">
        <v>4069662.2087626597</v>
      </c>
      <c r="E483" s="1">
        <v>268597.70577833557</v>
      </c>
      <c r="F483" s="1">
        <v>268597.70577833557</v>
      </c>
      <c r="G483" s="1">
        <v>335747.13222291943</v>
      </c>
      <c r="H483" s="1">
        <v>335747.13222291943</v>
      </c>
      <c r="I483" s="1">
        <v>335747.13222291943</v>
      </c>
      <c r="J483" s="1">
        <v>335747.13222291943</v>
      </c>
      <c r="K483" s="1">
        <v>335747.13222291943</v>
      </c>
      <c r="L483" s="1">
        <v>335747.13222291943</v>
      </c>
      <c r="M483" s="1">
        <v>204500.52599032363</v>
      </c>
      <c r="N483" s="1">
        <v>204500.52599032363</v>
      </c>
      <c r="O483" s="1">
        <v>170417.10499193636</v>
      </c>
      <c r="P483" s="1">
        <v>170417.10499193636</v>
      </c>
      <c r="Q483" s="1">
        <v>238583.94698871087</v>
      </c>
      <c r="R483" s="1">
        <v>238583.94698871087</v>
      </c>
      <c r="S483" s="1">
        <v>238583.94698871087</v>
      </c>
      <c r="T483" s="1">
        <v>238583.94698871087</v>
      </c>
      <c r="U483" s="1">
        <v>238583.94698871087</v>
      </c>
      <c r="V483" s="1">
        <v>238583.94698871087</v>
      </c>
      <c r="W483" s="4">
        <f t="shared" si="16"/>
        <v>2366508.5743954866</v>
      </c>
      <c r="X483" s="4">
        <f t="shared" si="16"/>
        <v>2366508.5743954866</v>
      </c>
      <c r="Y483" s="5">
        <f t="shared" si="15"/>
        <v>0.58150000000000002</v>
      </c>
    </row>
    <row r="484" spans="1:25" x14ac:dyDescent="0.25">
      <c r="A484" s="1" t="s">
        <v>101</v>
      </c>
      <c r="B484" s="1" t="s">
        <v>65</v>
      </c>
      <c r="C484" s="1" t="s">
        <v>31</v>
      </c>
      <c r="D484" s="1">
        <v>2730241.2898628335</v>
      </c>
      <c r="E484" s="1">
        <v>180195.92513094703</v>
      </c>
      <c r="F484" s="1">
        <v>180195.92513094703</v>
      </c>
      <c r="G484" s="1">
        <v>225244.90641368378</v>
      </c>
      <c r="H484" s="1">
        <v>225244.90641368378</v>
      </c>
      <c r="I484" s="1">
        <v>225244.90641368378</v>
      </c>
      <c r="J484" s="1">
        <v>225244.90641368378</v>
      </c>
      <c r="K484" s="1">
        <v>225244.90641368378</v>
      </c>
      <c r="L484" s="1">
        <v>225244.90641368378</v>
      </c>
      <c r="M484" s="1">
        <v>137194.62481560736</v>
      </c>
      <c r="N484" s="1">
        <v>137194.62481560736</v>
      </c>
      <c r="O484" s="1">
        <v>114328.85401300614</v>
      </c>
      <c r="P484" s="1">
        <v>114328.85401300614</v>
      </c>
      <c r="Q484" s="1">
        <v>160060.3956182086</v>
      </c>
      <c r="R484" s="1">
        <v>160060.3956182086</v>
      </c>
      <c r="S484" s="1">
        <v>160060.3956182086</v>
      </c>
      <c r="T484" s="1">
        <v>160060.3956182086</v>
      </c>
      <c r="U484" s="1">
        <v>160060.3956182086</v>
      </c>
      <c r="V484" s="1">
        <v>160060.3956182086</v>
      </c>
      <c r="W484" s="4">
        <f t="shared" si="16"/>
        <v>1587635.3100552377</v>
      </c>
      <c r="X484" s="4">
        <f t="shared" si="16"/>
        <v>1587635.3100552377</v>
      </c>
      <c r="Y484" s="5">
        <f t="shared" si="15"/>
        <v>0.58150000000000002</v>
      </c>
    </row>
    <row r="485" spans="1:25" x14ac:dyDescent="0.25">
      <c r="A485" s="1" t="s">
        <v>101</v>
      </c>
      <c r="B485" s="1" t="s">
        <v>44</v>
      </c>
      <c r="C485" s="1" t="s">
        <v>45</v>
      </c>
      <c r="D485" s="1">
        <v>6299513.2448365418</v>
      </c>
      <c r="E485" s="1">
        <v>415767.87415921176</v>
      </c>
      <c r="F485" s="1">
        <v>415767.87415921176</v>
      </c>
      <c r="G485" s="1">
        <v>519709.8426990147</v>
      </c>
      <c r="H485" s="1">
        <v>519709.8426990147</v>
      </c>
      <c r="I485" s="1">
        <v>519709.8426990147</v>
      </c>
      <c r="J485" s="1">
        <v>519709.8426990147</v>
      </c>
      <c r="K485" s="1">
        <v>519709.8426990147</v>
      </c>
      <c r="L485" s="1">
        <v>519709.8426990147</v>
      </c>
      <c r="M485" s="1">
        <v>316550.54055303626</v>
      </c>
      <c r="N485" s="1">
        <v>316550.54055303626</v>
      </c>
      <c r="O485" s="1">
        <v>263792.11712753022</v>
      </c>
      <c r="P485" s="1">
        <v>263792.11712753022</v>
      </c>
      <c r="Q485" s="1">
        <v>369308.96397854231</v>
      </c>
      <c r="R485" s="1">
        <v>369308.96397854231</v>
      </c>
      <c r="S485" s="1">
        <v>369308.96397854231</v>
      </c>
      <c r="T485" s="1">
        <v>369308.96397854231</v>
      </c>
      <c r="U485" s="1">
        <v>369308.96397854231</v>
      </c>
      <c r="V485" s="1">
        <v>369308.96397854231</v>
      </c>
      <c r="W485" s="4">
        <f t="shared" si="16"/>
        <v>3663166.9518724489</v>
      </c>
      <c r="X485" s="4">
        <f t="shared" si="16"/>
        <v>3663166.9518724489</v>
      </c>
      <c r="Y485" s="5">
        <f t="shared" si="15"/>
        <v>0.58150000000000002</v>
      </c>
    </row>
    <row r="486" spans="1:25" x14ac:dyDescent="0.25">
      <c r="A486" s="1" t="s">
        <v>101</v>
      </c>
      <c r="B486" s="1" t="s">
        <v>46</v>
      </c>
      <c r="C486" s="1" t="s">
        <v>22</v>
      </c>
      <c r="D486" s="1">
        <v>32468869.423103288</v>
      </c>
      <c r="E486" s="1">
        <v>2144952.7375489674</v>
      </c>
      <c r="F486" s="1">
        <v>2144952.7375489674</v>
      </c>
      <c r="G486" s="1">
        <v>2681190.9219362093</v>
      </c>
      <c r="H486" s="1">
        <v>2681190.9219362093</v>
      </c>
      <c r="I486" s="1">
        <v>2681190.9219362093</v>
      </c>
      <c r="J486" s="1">
        <v>2681190.9219362093</v>
      </c>
      <c r="K486" s="1">
        <v>2681190.9219362093</v>
      </c>
      <c r="L486" s="1">
        <v>2681190.9219362093</v>
      </c>
      <c r="M486" s="1">
        <v>1682359.1501084042</v>
      </c>
      <c r="N486" s="1">
        <v>1682359.1501084042</v>
      </c>
      <c r="O486" s="1">
        <v>1368076.7872783605</v>
      </c>
      <c r="P486" s="1">
        <v>1368076.7872783605</v>
      </c>
      <c r="Q486" s="1">
        <v>1894017.3846429046</v>
      </c>
      <c r="R486" s="1">
        <v>1894017.3846429046</v>
      </c>
      <c r="S486" s="1">
        <v>1894017.3846429046</v>
      </c>
      <c r="T486" s="1">
        <v>1894017.3846429046</v>
      </c>
      <c r="U486" s="1">
        <v>1894017.3846429046</v>
      </c>
      <c r="V486" s="1">
        <v>1894017.3846429046</v>
      </c>
      <c r="W486" s="4">
        <f t="shared" si="16"/>
        <v>18921013.594673075</v>
      </c>
      <c r="X486" s="4">
        <f t="shared" si="16"/>
        <v>18921013.594673075</v>
      </c>
      <c r="Y486" s="5">
        <f t="shared" si="15"/>
        <v>0.58274322238056708</v>
      </c>
    </row>
    <row r="487" spans="1:25" x14ac:dyDescent="0.25">
      <c r="A487" s="1" t="s">
        <v>101</v>
      </c>
      <c r="B487" s="1" t="s">
        <v>66</v>
      </c>
      <c r="C487" s="1" t="s">
        <v>24</v>
      </c>
      <c r="D487" s="1">
        <v>163755521.13893533</v>
      </c>
      <c r="E487" s="1">
        <v>13509830.493962165</v>
      </c>
      <c r="F487" s="1">
        <v>13509830.493962165</v>
      </c>
      <c r="G487" s="1">
        <v>13509830.493962165</v>
      </c>
      <c r="H487" s="1">
        <v>13509830.493962165</v>
      </c>
      <c r="I487" s="1">
        <v>13509830.493962165</v>
      </c>
      <c r="J487" s="1">
        <v>13509830.493962165</v>
      </c>
      <c r="K487" s="1">
        <v>13509830.493962165</v>
      </c>
      <c r="L487" s="1">
        <v>13509830.493962165</v>
      </c>
      <c r="M487" s="1">
        <v>15460678.02415134</v>
      </c>
      <c r="N487" s="1">
        <v>15460678.02415134</v>
      </c>
      <c r="O487" s="1">
        <v>14000000</v>
      </c>
      <c r="P487" s="1">
        <v>14000000</v>
      </c>
      <c r="Q487" s="1">
        <v>14000000</v>
      </c>
      <c r="R487" s="1">
        <v>14000000</v>
      </c>
      <c r="S487" s="1">
        <v>13375920</v>
      </c>
      <c r="T487" s="1">
        <v>13375920</v>
      </c>
      <c r="U487" s="1">
        <v>13375920</v>
      </c>
      <c r="V487" s="1">
        <v>13375920</v>
      </c>
      <c r="W487" s="4">
        <f t="shared" si="16"/>
        <v>124251840.00000001</v>
      </c>
      <c r="X487" s="4">
        <f t="shared" si="16"/>
        <v>124251840.00000001</v>
      </c>
      <c r="Y487" s="5">
        <f t="shared" si="15"/>
        <v>0.75876427943202507</v>
      </c>
    </row>
    <row r="488" spans="1:25" x14ac:dyDescent="0.25">
      <c r="A488" s="1" t="s">
        <v>101</v>
      </c>
      <c r="B488" s="1" t="s">
        <v>67</v>
      </c>
      <c r="C488" s="1" t="s">
        <v>68</v>
      </c>
      <c r="D488" s="1">
        <v>5916750.6585043678</v>
      </c>
      <c r="E488" s="1">
        <v>390505.54346128833</v>
      </c>
      <c r="F488" s="1">
        <v>390505.54346128833</v>
      </c>
      <c r="G488" s="1">
        <v>488131.92932661035</v>
      </c>
      <c r="H488" s="1">
        <v>488131.92932661035</v>
      </c>
      <c r="I488" s="1">
        <v>488131.92932661035</v>
      </c>
      <c r="J488" s="1">
        <v>488131.92932661035</v>
      </c>
      <c r="K488" s="1">
        <v>488131.92932661035</v>
      </c>
      <c r="L488" s="1">
        <v>488131.92932661035</v>
      </c>
      <c r="M488" s="1">
        <v>307671.03424222715</v>
      </c>
      <c r="N488" s="1">
        <v>307671.03424222715</v>
      </c>
      <c r="O488" s="1">
        <v>246531.277437682</v>
      </c>
      <c r="P488" s="1">
        <v>246531.277437682</v>
      </c>
      <c r="Q488" s="1">
        <v>345143.78841275477</v>
      </c>
      <c r="R488" s="1">
        <v>345143.78841275477</v>
      </c>
      <c r="S488" s="1">
        <v>345143.78841275477</v>
      </c>
      <c r="T488" s="1">
        <v>345143.78841275477</v>
      </c>
      <c r="U488" s="1">
        <v>345143.78841275477</v>
      </c>
      <c r="V488" s="1">
        <v>345143.78841275477</v>
      </c>
      <c r="W488" s="4">
        <f t="shared" si="16"/>
        <v>3444535.0083592925</v>
      </c>
      <c r="X488" s="4">
        <f t="shared" si="16"/>
        <v>3444535.0083592925</v>
      </c>
      <c r="Y488" s="5">
        <f t="shared" si="15"/>
        <v>0.58216666666666661</v>
      </c>
    </row>
    <row r="489" spans="1:25" x14ac:dyDescent="0.25">
      <c r="A489" s="1" t="s">
        <v>101</v>
      </c>
      <c r="B489" s="1" t="s">
        <v>69</v>
      </c>
      <c r="C489" s="1" t="s">
        <v>28</v>
      </c>
      <c r="D489" s="1">
        <v>3142728.1783098094</v>
      </c>
      <c r="E489" s="1">
        <v>207420.05976844742</v>
      </c>
      <c r="F489" s="1">
        <v>207420.05976844742</v>
      </c>
      <c r="G489" s="1">
        <v>259275.07471055927</v>
      </c>
      <c r="H489" s="1">
        <v>259275.07471055927</v>
      </c>
      <c r="I489" s="1">
        <v>259275.07471055927</v>
      </c>
      <c r="J489" s="1">
        <v>259275.07471055927</v>
      </c>
      <c r="K489" s="1">
        <v>259275.07471055927</v>
      </c>
      <c r="L489" s="1">
        <v>259275.07471055927</v>
      </c>
      <c r="M489" s="1">
        <v>157922.0909600679</v>
      </c>
      <c r="N489" s="1">
        <v>157922.0909600679</v>
      </c>
      <c r="O489" s="1">
        <v>131601.74246672326</v>
      </c>
      <c r="P489" s="1">
        <v>131601.74246672326</v>
      </c>
      <c r="Q489" s="1">
        <v>184242.43945341255</v>
      </c>
      <c r="R489" s="1">
        <v>184242.43945341255</v>
      </c>
      <c r="S489" s="1">
        <v>184242.43945341255</v>
      </c>
      <c r="T489" s="1">
        <v>184242.43945341255</v>
      </c>
      <c r="U489" s="1">
        <v>184242.43945341255</v>
      </c>
      <c r="V489" s="1">
        <v>184242.43945341255</v>
      </c>
      <c r="W489" s="4">
        <f t="shared" si="16"/>
        <v>1827496.4356871543</v>
      </c>
      <c r="X489" s="4">
        <f t="shared" si="16"/>
        <v>1827496.4356871543</v>
      </c>
      <c r="Y489" s="5">
        <f t="shared" si="15"/>
        <v>0.58150000000000002</v>
      </c>
    </row>
    <row r="490" spans="1:25" x14ac:dyDescent="0.25">
      <c r="A490" s="1" t="s">
        <v>101</v>
      </c>
      <c r="B490" s="1" t="s">
        <v>70</v>
      </c>
      <c r="C490" s="1" t="s">
        <v>23</v>
      </c>
      <c r="D490" s="1">
        <v>6890625.0152343744</v>
      </c>
      <c r="E490" s="1">
        <v>454781.25100546872</v>
      </c>
      <c r="F490" s="1">
        <v>454781.25100546872</v>
      </c>
      <c r="G490" s="1">
        <v>568476.56375683588</v>
      </c>
      <c r="H490" s="1">
        <v>568476.56375683588</v>
      </c>
      <c r="I490" s="1">
        <v>568476.56375683588</v>
      </c>
      <c r="J490" s="1">
        <v>568476.56375683588</v>
      </c>
      <c r="K490" s="1">
        <v>568476.56375683588</v>
      </c>
      <c r="L490" s="1">
        <v>568476.56375683588</v>
      </c>
      <c r="M490" s="1">
        <v>346253.90701552731</v>
      </c>
      <c r="N490" s="1">
        <v>346253.90701552731</v>
      </c>
      <c r="O490" s="1">
        <v>288544.92251293943</v>
      </c>
      <c r="P490" s="1">
        <v>288544.92251293943</v>
      </c>
      <c r="Q490" s="1">
        <v>403962.89151811518</v>
      </c>
      <c r="R490" s="1">
        <v>403962.89151811518</v>
      </c>
      <c r="S490" s="1">
        <v>403962.89151811518</v>
      </c>
      <c r="T490" s="1">
        <v>403962.89151811518</v>
      </c>
      <c r="U490" s="1">
        <v>403962.89151811518</v>
      </c>
      <c r="V490" s="1">
        <v>403962.89151811518</v>
      </c>
      <c r="W490" s="4">
        <f t="shared" si="16"/>
        <v>4006898.4463587888</v>
      </c>
      <c r="X490" s="4">
        <f t="shared" si="16"/>
        <v>4006898.4463587888</v>
      </c>
      <c r="Y490" s="5">
        <f t="shared" si="15"/>
        <v>0.58150000000000002</v>
      </c>
    </row>
    <row r="491" spans="1:25" x14ac:dyDescent="0.25">
      <c r="A491" s="1" t="s">
        <v>101</v>
      </c>
      <c r="B491" s="1" t="s">
        <v>71</v>
      </c>
      <c r="C491" s="1" t="s">
        <v>29</v>
      </c>
      <c r="D491" s="1">
        <v>7024559.9711538432</v>
      </c>
      <c r="E491" s="1">
        <v>463620.95809615368</v>
      </c>
      <c r="F491" s="1">
        <v>463620.95809615368</v>
      </c>
      <c r="G491" s="1">
        <v>579526.19762019208</v>
      </c>
      <c r="H491" s="1">
        <v>579526.19762019208</v>
      </c>
      <c r="I491" s="1">
        <v>579526.19762019208</v>
      </c>
      <c r="J491" s="1">
        <v>579526.19762019208</v>
      </c>
      <c r="K491" s="1">
        <v>579526.19762019208</v>
      </c>
      <c r="L491" s="1">
        <v>579526.19762019208</v>
      </c>
      <c r="M491" s="1">
        <v>352984.13855048059</v>
      </c>
      <c r="N491" s="1">
        <v>352984.13855048059</v>
      </c>
      <c r="O491" s="1">
        <v>294153.44879206718</v>
      </c>
      <c r="P491" s="1">
        <v>294153.44879206718</v>
      </c>
      <c r="Q491" s="1">
        <v>411814.82830889401</v>
      </c>
      <c r="R491" s="1">
        <v>411814.82830889401</v>
      </c>
      <c r="S491" s="1">
        <v>411814.82830889401</v>
      </c>
      <c r="T491" s="1">
        <v>411814.82830889401</v>
      </c>
      <c r="U491" s="1">
        <v>411814.82830889401</v>
      </c>
      <c r="V491" s="1">
        <v>411814.82830889401</v>
      </c>
      <c r="W491" s="4">
        <f t="shared" si="16"/>
        <v>4084781.6232259595</v>
      </c>
      <c r="X491" s="4">
        <f t="shared" si="16"/>
        <v>4084781.6232259595</v>
      </c>
      <c r="Y491" s="5">
        <f t="shared" si="15"/>
        <v>0.58149999999999991</v>
      </c>
    </row>
    <row r="492" spans="1:25" x14ac:dyDescent="0.25">
      <c r="A492" s="1" t="s">
        <v>101</v>
      </c>
      <c r="B492" s="1" t="s">
        <v>72</v>
      </c>
      <c r="C492" s="1" t="s">
        <v>73</v>
      </c>
      <c r="D492" s="1">
        <v>3121371.0027940893</v>
      </c>
      <c r="E492" s="1">
        <v>206010.48618440991</v>
      </c>
      <c r="F492" s="1">
        <v>206010.48618440991</v>
      </c>
      <c r="G492" s="1">
        <v>257513.10773051236</v>
      </c>
      <c r="H492" s="1">
        <v>257513.10773051236</v>
      </c>
      <c r="I492" s="1">
        <v>257513.10773051236</v>
      </c>
      <c r="J492" s="1">
        <v>257513.10773051236</v>
      </c>
      <c r="K492" s="1">
        <v>257513.10773051236</v>
      </c>
      <c r="L492" s="1">
        <v>257513.10773051236</v>
      </c>
      <c r="M492" s="1">
        <v>156848.89289040296</v>
      </c>
      <c r="N492" s="1">
        <v>156848.89289040296</v>
      </c>
      <c r="O492" s="1">
        <v>130707.41074200248</v>
      </c>
      <c r="P492" s="1">
        <v>130707.41074200248</v>
      </c>
      <c r="Q492" s="1">
        <v>182990.37503880347</v>
      </c>
      <c r="R492" s="1">
        <v>182990.37503880347</v>
      </c>
      <c r="S492" s="1">
        <v>182990.37503880347</v>
      </c>
      <c r="T492" s="1">
        <v>182990.37503880347</v>
      </c>
      <c r="U492" s="1">
        <v>182990.37503880347</v>
      </c>
      <c r="V492" s="1">
        <v>182990.37503880347</v>
      </c>
      <c r="W492" s="4">
        <f t="shared" si="16"/>
        <v>1815077.2381247627</v>
      </c>
      <c r="X492" s="4">
        <f t="shared" si="16"/>
        <v>1815077.2381247627</v>
      </c>
      <c r="Y492" s="5">
        <f t="shared" si="15"/>
        <v>0.58149999999999991</v>
      </c>
    </row>
    <row r="493" spans="1:25" x14ac:dyDescent="0.25">
      <c r="A493" s="1" t="s">
        <v>101</v>
      </c>
      <c r="B493" s="1" t="s">
        <v>48</v>
      </c>
      <c r="C493" s="1" t="s">
        <v>49</v>
      </c>
      <c r="D493" s="1">
        <v>3194784.8504143921</v>
      </c>
      <c r="E493" s="1">
        <v>210855.80012734991</v>
      </c>
      <c r="F493" s="1">
        <v>210855.80012734991</v>
      </c>
      <c r="G493" s="1">
        <v>263569.75015918736</v>
      </c>
      <c r="H493" s="1">
        <v>263569.75015918736</v>
      </c>
      <c r="I493" s="1">
        <v>263569.75015918736</v>
      </c>
      <c r="J493" s="1">
        <v>263569.75015918736</v>
      </c>
      <c r="K493" s="1">
        <v>263569.75015918736</v>
      </c>
      <c r="L493" s="1">
        <v>263569.75015918736</v>
      </c>
      <c r="M493" s="1">
        <v>160537.93873332322</v>
      </c>
      <c r="N493" s="1">
        <v>160537.93873332322</v>
      </c>
      <c r="O493" s="1">
        <v>133781.61561110269</v>
      </c>
      <c r="P493" s="1">
        <v>133781.61561110269</v>
      </c>
      <c r="Q493" s="1">
        <v>187294.26185554377</v>
      </c>
      <c r="R493" s="1">
        <v>187294.26185554377</v>
      </c>
      <c r="S493" s="1">
        <v>187294.26185554377</v>
      </c>
      <c r="T493" s="1">
        <v>187294.26185554377</v>
      </c>
      <c r="U493" s="1">
        <v>187294.26185554377</v>
      </c>
      <c r="V493" s="1">
        <v>187294.26185554377</v>
      </c>
      <c r="W493" s="4">
        <f t="shared" si="16"/>
        <v>1857767.3905159687</v>
      </c>
      <c r="X493" s="4">
        <f t="shared" si="16"/>
        <v>1857767.3905159687</v>
      </c>
      <c r="Y493" s="5">
        <f t="shared" si="15"/>
        <v>0.58149999999999991</v>
      </c>
    </row>
    <row r="494" spans="1:25" x14ac:dyDescent="0.25">
      <c r="A494" s="1" t="s">
        <v>101</v>
      </c>
      <c r="B494" s="1" t="s">
        <v>53</v>
      </c>
      <c r="C494" s="1" t="s">
        <v>30</v>
      </c>
      <c r="D494" s="1">
        <v>9688786.1158917695</v>
      </c>
      <c r="E494" s="1">
        <v>639459.88364885689</v>
      </c>
      <c r="F494" s="1">
        <v>639459.88364885689</v>
      </c>
      <c r="G494" s="1">
        <v>799324.85456107103</v>
      </c>
      <c r="H494" s="1">
        <v>799324.85456107103</v>
      </c>
      <c r="I494" s="1">
        <v>799324.85456107103</v>
      </c>
      <c r="J494" s="1">
        <v>799324.85456107103</v>
      </c>
      <c r="K494" s="1">
        <v>799324.85456107103</v>
      </c>
      <c r="L494" s="1">
        <v>799324.85456107103</v>
      </c>
      <c r="M494" s="1">
        <v>486861.50232356141</v>
      </c>
      <c r="N494" s="1">
        <v>486861.50232356141</v>
      </c>
      <c r="O494" s="1">
        <v>405717.91860296787</v>
      </c>
      <c r="P494" s="1">
        <v>405717.91860296787</v>
      </c>
      <c r="Q494" s="1">
        <v>568005.08604415494</v>
      </c>
      <c r="R494" s="1">
        <v>568005.08604415494</v>
      </c>
      <c r="S494" s="1">
        <v>568005.08604415494</v>
      </c>
      <c r="T494" s="1">
        <v>568005.08604415494</v>
      </c>
      <c r="U494" s="1">
        <v>568005.08604415494</v>
      </c>
      <c r="V494" s="1">
        <v>568005.08604415494</v>
      </c>
      <c r="W494" s="4">
        <f t="shared" si="16"/>
        <v>5634029.1263910634</v>
      </c>
      <c r="X494" s="4">
        <f t="shared" si="16"/>
        <v>5634029.1263910634</v>
      </c>
      <c r="Y494" s="5">
        <f t="shared" si="15"/>
        <v>0.58149999999999991</v>
      </c>
    </row>
    <row r="495" spans="1:25" x14ac:dyDescent="0.25">
      <c r="A495" s="1" t="s">
        <v>101</v>
      </c>
      <c r="B495" s="1" t="s">
        <v>74</v>
      </c>
      <c r="C495" s="1" t="s">
        <v>75</v>
      </c>
      <c r="D495" s="1">
        <v>7986648.6123432843</v>
      </c>
      <c r="E495" s="1">
        <v>527118.80841465679</v>
      </c>
      <c r="F495" s="1">
        <v>527118.80841465679</v>
      </c>
      <c r="G495" s="1">
        <v>658898.51051832095</v>
      </c>
      <c r="H495" s="1">
        <v>658898.51051832095</v>
      </c>
      <c r="I495" s="1">
        <v>658898.51051832095</v>
      </c>
      <c r="J495" s="1">
        <v>658898.51051832095</v>
      </c>
      <c r="K495" s="1">
        <v>658898.51051832095</v>
      </c>
      <c r="L495" s="1">
        <v>658898.51051832095</v>
      </c>
      <c r="M495" s="1">
        <v>401329.09277024999</v>
      </c>
      <c r="N495" s="1">
        <v>401329.09277024999</v>
      </c>
      <c r="O495" s="1">
        <v>334440.910641875</v>
      </c>
      <c r="P495" s="1">
        <v>334440.910641875</v>
      </c>
      <c r="Q495" s="1">
        <v>468217.27489862498</v>
      </c>
      <c r="R495" s="1">
        <v>468217.27489862498</v>
      </c>
      <c r="S495" s="1">
        <v>468217.27489862498</v>
      </c>
      <c r="T495" s="1">
        <v>468217.27489862498</v>
      </c>
      <c r="U495" s="1">
        <v>468217.27489862498</v>
      </c>
      <c r="V495" s="1">
        <v>468217.27489862498</v>
      </c>
      <c r="W495" s="4">
        <f t="shared" si="16"/>
        <v>4644236.1680776197</v>
      </c>
      <c r="X495" s="4">
        <f t="shared" si="16"/>
        <v>4644236.1680776197</v>
      </c>
      <c r="Y495" s="5">
        <f t="shared" si="15"/>
        <v>0.58150000000000002</v>
      </c>
    </row>
    <row r="496" spans="1:25" x14ac:dyDescent="0.25">
      <c r="A496" s="1" t="s">
        <v>101</v>
      </c>
      <c r="B496" s="1" t="s">
        <v>50</v>
      </c>
      <c r="C496" s="1" t="s">
        <v>25</v>
      </c>
      <c r="D496" s="1">
        <v>3354524.0929351109</v>
      </c>
      <c r="E496" s="1">
        <v>221398.59013371734</v>
      </c>
      <c r="F496" s="1">
        <v>221398.59013371734</v>
      </c>
      <c r="G496" s="1">
        <v>276748.23766714666</v>
      </c>
      <c r="H496" s="1">
        <v>276748.23766714666</v>
      </c>
      <c r="I496" s="1">
        <v>276748.23766714666</v>
      </c>
      <c r="J496" s="1">
        <v>276748.23766714666</v>
      </c>
      <c r="K496" s="1">
        <v>276748.23766714666</v>
      </c>
      <c r="L496" s="1">
        <v>276748.23766714666</v>
      </c>
      <c r="M496" s="1">
        <v>168564.83566998929</v>
      </c>
      <c r="N496" s="1">
        <v>168564.83566998929</v>
      </c>
      <c r="O496" s="1">
        <v>140470.69639165775</v>
      </c>
      <c r="P496" s="1">
        <v>140470.69639165775</v>
      </c>
      <c r="Q496" s="1">
        <v>196658.97494832083</v>
      </c>
      <c r="R496" s="1">
        <v>196658.97494832083</v>
      </c>
      <c r="S496" s="1">
        <v>196658.97494832083</v>
      </c>
      <c r="T496" s="1">
        <v>196658.97494832083</v>
      </c>
      <c r="U496" s="1">
        <v>196658.97494832083</v>
      </c>
      <c r="V496" s="1">
        <v>196658.97494832083</v>
      </c>
      <c r="W496" s="4">
        <f t="shared" si="16"/>
        <v>1950655.7600417666</v>
      </c>
      <c r="X496" s="4">
        <f t="shared" si="16"/>
        <v>1950655.7600417666</v>
      </c>
      <c r="Y496" s="5">
        <f t="shared" si="15"/>
        <v>0.58149999999999991</v>
      </c>
    </row>
    <row r="497" spans="1:25" x14ac:dyDescent="0.25">
      <c r="A497" s="1" t="s">
        <v>102</v>
      </c>
      <c r="B497" s="1" t="s">
        <v>59</v>
      </c>
      <c r="C497" s="1" t="s">
        <v>26</v>
      </c>
      <c r="D497" s="1">
        <v>35113563.308771722</v>
      </c>
      <c r="E497" s="1">
        <v>2834966.726378934</v>
      </c>
      <c r="F497" s="1">
        <v>2834966.726378934</v>
      </c>
      <c r="G497" s="1">
        <v>3543708.4079736671</v>
      </c>
      <c r="H497" s="1">
        <v>3543708.4079736671</v>
      </c>
      <c r="I497" s="1">
        <v>3543708.4079736671</v>
      </c>
      <c r="J497" s="1">
        <v>3543708.4079736671</v>
      </c>
      <c r="K497" s="1">
        <v>3543708.4079736671</v>
      </c>
      <c r="L497" s="1">
        <v>3543708.4079736671</v>
      </c>
      <c r="M497" s="1">
        <v>2617341.2096096324</v>
      </c>
      <c r="N497" s="1">
        <v>2617341.2096096324</v>
      </c>
      <c r="O497" s="1">
        <v>2617341.2096096324</v>
      </c>
      <c r="P497" s="1">
        <v>2617341.2096096324</v>
      </c>
      <c r="Q497" s="1">
        <v>2617341.2096096324</v>
      </c>
      <c r="R497" s="1">
        <v>2617341.2096096324</v>
      </c>
      <c r="S497" s="1">
        <v>2617341.2096096324</v>
      </c>
      <c r="T497" s="1">
        <v>2617341.2096096324</v>
      </c>
      <c r="U497" s="1">
        <v>2617341.2096096324</v>
      </c>
      <c r="V497" s="1">
        <v>2617341.2096096324</v>
      </c>
      <c r="W497" s="4">
        <f t="shared" si="16"/>
        <v>26552797.998348095</v>
      </c>
      <c r="X497" s="4">
        <f t="shared" si="16"/>
        <v>26552797.998348095</v>
      </c>
      <c r="Y497" s="5">
        <f t="shared" si="15"/>
        <v>0.75619776223949731</v>
      </c>
    </row>
    <row r="498" spans="1:25" x14ac:dyDescent="0.25">
      <c r="A498" s="1" t="s">
        <v>102</v>
      </c>
      <c r="B498" s="1" t="s">
        <v>59</v>
      </c>
      <c r="C498" s="1" t="s">
        <v>26</v>
      </c>
      <c r="D498" s="1">
        <v>7840478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3920239</v>
      </c>
      <c r="N498" s="1">
        <v>3920239</v>
      </c>
      <c r="O498" s="1">
        <v>3920239</v>
      </c>
      <c r="P498" s="1">
        <v>3920239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4">
        <f t="shared" si="16"/>
        <v>7840478</v>
      </c>
      <c r="X498" s="4">
        <f t="shared" si="16"/>
        <v>7840478</v>
      </c>
      <c r="Y498" s="5">
        <f t="shared" si="15"/>
        <v>1</v>
      </c>
    </row>
    <row r="499" spans="1:25" x14ac:dyDescent="0.25">
      <c r="A499" s="1" t="s">
        <v>102</v>
      </c>
      <c r="B499" s="1" t="s">
        <v>33</v>
      </c>
      <c r="C499" s="1" t="s">
        <v>34</v>
      </c>
      <c r="D499" s="1">
        <v>24000000</v>
      </c>
      <c r="E499" s="1">
        <v>0</v>
      </c>
      <c r="F499" s="1">
        <v>0</v>
      </c>
      <c r="G499" s="1">
        <v>4800000</v>
      </c>
      <c r="H499" s="1">
        <v>4800000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7200000</v>
      </c>
      <c r="P499" s="1">
        <v>7200000</v>
      </c>
      <c r="Q499" s="1">
        <v>0</v>
      </c>
      <c r="R499" s="1">
        <v>0</v>
      </c>
      <c r="S499" s="1">
        <v>7200000</v>
      </c>
      <c r="T499" s="1">
        <v>7200000</v>
      </c>
      <c r="U499" s="1">
        <v>4800000</v>
      </c>
      <c r="V499" s="1">
        <v>4800000</v>
      </c>
      <c r="W499" s="4">
        <f t="shared" si="16"/>
        <v>24000000</v>
      </c>
      <c r="X499" s="4">
        <f t="shared" si="16"/>
        <v>24000000</v>
      </c>
      <c r="Y499" s="5">
        <f t="shared" si="15"/>
        <v>1</v>
      </c>
    </row>
    <row r="500" spans="1:25" x14ac:dyDescent="0.25">
      <c r="A500" s="1" t="s">
        <v>102</v>
      </c>
      <c r="B500" s="1" t="s">
        <v>35</v>
      </c>
      <c r="C500" s="1" t="s">
        <v>34</v>
      </c>
      <c r="D500" s="1">
        <v>60000000</v>
      </c>
      <c r="E500" s="1">
        <v>0</v>
      </c>
      <c r="F500" s="1">
        <v>0</v>
      </c>
      <c r="G500" s="1">
        <v>16500000</v>
      </c>
      <c r="H500" s="1">
        <v>16500000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14500000</v>
      </c>
      <c r="P500" s="1">
        <v>14500000</v>
      </c>
      <c r="Q500" s="1">
        <v>0</v>
      </c>
      <c r="R500" s="1">
        <v>0</v>
      </c>
      <c r="S500" s="1">
        <v>14500000</v>
      </c>
      <c r="T500" s="1">
        <v>14500000</v>
      </c>
      <c r="U500" s="1">
        <v>14500000</v>
      </c>
      <c r="V500" s="1">
        <v>14500000</v>
      </c>
      <c r="W500" s="4">
        <f t="shared" si="16"/>
        <v>60000000</v>
      </c>
      <c r="X500" s="4">
        <f t="shared" si="16"/>
        <v>60000000</v>
      </c>
      <c r="Y500" s="5">
        <f t="shared" si="15"/>
        <v>1</v>
      </c>
    </row>
    <row r="501" spans="1:25" x14ac:dyDescent="0.25">
      <c r="A501" s="1" t="s">
        <v>102</v>
      </c>
      <c r="B501" s="1" t="s">
        <v>38</v>
      </c>
      <c r="C501" s="1" t="s">
        <v>39</v>
      </c>
      <c r="D501" s="1">
        <v>6075658.9166306909</v>
      </c>
      <c r="E501" s="1">
        <v>400993.48849762563</v>
      </c>
      <c r="F501" s="1">
        <v>400993.48849762563</v>
      </c>
      <c r="G501" s="1">
        <v>501241.86062203202</v>
      </c>
      <c r="H501" s="1">
        <v>501241.86062203202</v>
      </c>
      <c r="I501" s="1">
        <v>501241.86062203202</v>
      </c>
      <c r="J501" s="1">
        <v>501241.86062203202</v>
      </c>
      <c r="K501" s="1">
        <v>501241.86062203202</v>
      </c>
      <c r="L501" s="1">
        <v>501241.86062203202</v>
      </c>
      <c r="M501" s="1">
        <v>305301.86056069226</v>
      </c>
      <c r="N501" s="1">
        <v>305301.86056069226</v>
      </c>
      <c r="O501" s="1">
        <v>254418.21713391025</v>
      </c>
      <c r="P501" s="1">
        <v>254418.21713391025</v>
      </c>
      <c r="Q501" s="1">
        <v>356185.50398747431</v>
      </c>
      <c r="R501" s="1">
        <v>356185.50398747431</v>
      </c>
      <c r="S501" s="1">
        <v>356185.50398747431</v>
      </c>
      <c r="T501" s="1">
        <v>356185.50398747431</v>
      </c>
      <c r="U501" s="1">
        <v>356185.50398747431</v>
      </c>
      <c r="V501" s="1">
        <v>356185.50398747431</v>
      </c>
      <c r="W501" s="4">
        <f t="shared" si="16"/>
        <v>3532995.6600207472</v>
      </c>
      <c r="X501" s="4">
        <f t="shared" si="16"/>
        <v>3532995.6600207472</v>
      </c>
      <c r="Y501" s="5">
        <f t="shared" si="15"/>
        <v>0.58150000000000013</v>
      </c>
    </row>
    <row r="502" spans="1:25" x14ac:dyDescent="0.25">
      <c r="A502" s="1" t="s">
        <v>102</v>
      </c>
      <c r="B502" s="1" t="s">
        <v>61</v>
      </c>
      <c r="C502" s="1" t="s">
        <v>34</v>
      </c>
      <c r="D502" s="1">
        <v>102408094</v>
      </c>
      <c r="E502" s="1">
        <v>0</v>
      </c>
      <c r="F502" s="1">
        <v>0</v>
      </c>
      <c r="G502" s="1">
        <v>8192647.5190668404</v>
      </c>
      <c r="H502" s="1">
        <v>8192647.5190668404</v>
      </c>
      <c r="I502" s="1">
        <v>0</v>
      </c>
      <c r="J502" s="1">
        <v>0</v>
      </c>
      <c r="K502" s="1">
        <v>0</v>
      </c>
      <c r="L502" s="1">
        <v>0</v>
      </c>
      <c r="M502" s="1">
        <v>23553861.62023329</v>
      </c>
      <c r="N502" s="1">
        <v>23553861.62023329</v>
      </c>
      <c r="O502" s="1">
        <v>0</v>
      </c>
      <c r="P502" s="1">
        <v>0</v>
      </c>
      <c r="Q502" s="1">
        <v>0</v>
      </c>
      <c r="R502" s="1">
        <v>0</v>
      </c>
      <c r="S502" s="1">
        <v>35330792.430349931</v>
      </c>
      <c r="T502" s="1">
        <v>35330792.430349931</v>
      </c>
      <c r="U502" s="1">
        <v>0</v>
      </c>
      <c r="V502" s="1">
        <v>0</v>
      </c>
      <c r="W502" s="4">
        <f t="shared" si="16"/>
        <v>67077301.569650061</v>
      </c>
      <c r="X502" s="4">
        <f t="shared" si="16"/>
        <v>67077301.569650061</v>
      </c>
      <c r="Y502" s="5">
        <f t="shared" si="15"/>
        <v>0.65499999999658287</v>
      </c>
    </row>
    <row r="503" spans="1:25" x14ac:dyDescent="0.25">
      <c r="A503" s="1" t="s">
        <v>102</v>
      </c>
      <c r="B503" s="1" t="s">
        <v>62</v>
      </c>
      <c r="C503" s="1" t="s">
        <v>63</v>
      </c>
      <c r="D503" s="1">
        <v>18142857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1360714.2857142857</v>
      </c>
      <c r="N503" s="1">
        <v>1360714.2857142857</v>
      </c>
      <c r="O503" s="1">
        <v>1133928.5714285714</v>
      </c>
      <c r="P503" s="1">
        <v>1133928.5714285714</v>
      </c>
      <c r="Q503" s="1">
        <v>1587499.9999999998</v>
      </c>
      <c r="R503" s="1">
        <v>1587499.9999999998</v>
      </c>
      <c r="S503" s="1">
        <v>1587499.9999999998</v>
      </c>
      <c r="T503" s="1">
        <v>1587499.9999999998</v>
      </c>
      <c r="U503" s="1">
        <v>1587499.9999999998</v>
      </c>
      <c r="V503" s="1">
        <v>1587499.9999999998</v>
      </c>
      <c r="W503" s="4">
        <f t="shared" si="16"/>
        <v>7257142.8571428563</v>
      </c>
      <c r="X503" s="4">
        <f t="shared" si="16"/>
        <v>7257142.8571428563</v>
      </c>
      <c r="Y503" s="5">
        <f t="shared" si="15"/>
        <v>0.40000000314960626</v>
      </c>
    </row>
    <row r="504" spans="1:25" x14ac:dyDescent="0.25">
      <c r="A504" s="1" t="s">
        <v>102</v>
      </c>
      <c r="B504" s="1" t="s">
        <v>40</v>
      </c>
      <c r="C504" s="1" t="s">
        <v>27</v>
      </c>
      <c r="D504" s="1">
        <v>47424310</v>
      </c>
      <c r="E504" s="1">
        <v>9189446.8333333004</v>
      </c>
      <c r="F504" s="1">
        <v>9189446.8333333004</v>
      </c>
      <c r="G504" s="1">
        <v>5854999.8333333004</v>
      </c>
      <c r="H504" s="1">
        <v>5854999.8333333004</v>
      </c>
      <c r="I504" s="1">
        <v>4170516.5</v>
      </c>
      <c r="J504" s="1">
        <v>4170516.5</v>
      </c>
      <c r="K504" s="1">
        <v>4140228</v>
      </c>
      <c r="L504" s="1">
        <v>4140228</v>
      </c>
      <c r="M504" s="1">
        <v>0</v>
      </c>
      <c r="N504" s="1">
        <v>0</v>
      </c>
      <c r="O504" s="1">
        <v>7691034</v>
      </c>
      <c r="P504" s="1">
        <v>7691034</v>
      </c>
      <c r="Q504" s="1">
        <v>3284198.5</v>
      </c>
      <c r="R504" s="1">
        <v>3284198.5</v>
      </c>
      <c r="S504" s="1">
        <v>4520981.833333334</v>
      </c>
      <c r="T504" s="1">
        <v>4520981.833333334</v>
      </c>
      <c r="U504" s="1">
        <v>2695189.9966666698</v>
      </c>
      <c r="V504" s="1">
        <v>2695189.9966666698</v>
      </c>
      <c r="W504" s="4">
        <f t="shared" si="16"/>
        <v>41546595.496666603</v>
      </c>
      <c r="X504" s="4">
        <f t="shared" si="16"/>
        <v>41546595.496666603</v>
      </c>
      <c r="Y504" s="5">
        <f t="shared" si="15"/>
        <v>0.87606114873714769</v>
      </c>
    </row>
    <row r="505" spans="1:25" x14ac:dyDescent="0.25">
      <c r="A505" s="1" t="s">
        <v>102</v>
      </c>
      <c r="B505" s="1" t="s">
        <v>40</v>
      </c>
      <c r="C505" s="1" t="s">
        <v>27</v>
      </c>
      <c r="D505" s="1">
        <v>65552102</v>
      </c>
      <c r="E505" s="1">
        <v>0</v>
      </c>
      <c r="F505" s="1">
        <v>0</v>
      </c>
      <c r="G505" s="1">
        <v>0</v>
      </c>
      <c r="H505" s="1">
        <v>0</v>
      </c>
      <c r="I505" s="1">
        <v>14673178.387767218</v>
      </c>
      <c r="J505" s="1">
        <v>14673178.387767218</v>
      </c>
      <c r="K505" s="1">
        <v>0</v>
      </c>
      <c r="L505" s="1">
        <v>0</v>
      </c>
      <c r="M505" s="1">
        <v>19079596.354587294</v>
      </c>
      <c r="N505" s="1">
        <v>19079596.354587294</v>
      </c>
      <c r="O505" s="1">
        <v>12719730.903058195</v>
      </c>
      <c r="P505" s="1">
        <v>12719730.903058195</v>
      </c>
      <c r="Q505" s="1">
        <v>19079596.354587294</v>
      </c>
      <c r="R505" s="1">
        <v>19079596.354587294</v>
      </c>
      <c r="S505" s="1">
        <v>0</v>
      </c>
      <c r="T505" s="1">
        <v>0</v>
      </c>
      <c r="U505" s="1">
        <v>0</v>
      </c>
      <c r="V505" s="1">
        <v>0</v>
      </c>
      <c r="W505" s="4">
        <f t="shared" si="16"/>
        <v>65552102</v>
      </c>
      <c r="X505" s="4">
        <f t="shared" si="16"/>
        <v>65552102</v>
      </c>
      <c r="Y505" s="5">
        <f t="shared" si="15"/>
        <v>1</v>
      </c>
    </row>
    <row r="506" spans="1:25" x14ac:dyDescent="0.25">
      <c r="A506" s="1" t="s">
        <v>102</v>
      </c>
      <c r="B506" s="1" t="s">
        <v>40</v>
      </c>
      <c r="C506" s="1" t="s">
        <v>27</v>
      </c>
      <c r="D506" s="1">
        <v>9334099</v>
      </c>
      <c r="E506" s="1">
        <v>0</v>
      </c>
      <c r="F506" s="1">
        <v>0</v>
      </c>
      <c r="G506" s="1">
        <v>2334099</v>
      </c>
      <c r="H506" s="1">
        <v>2334099</v>
      </c>
      <c r="I506" s="1">
        <v>0</v>
      </c>
      <c r="J506" s="1">
        <v>0</v>
      </c>
      <c r="K506" s="1">
        <v>0</v>
      </c>
      <c r="L506" s="1">
        <v>0</v>
      </c>
      <c r="M506" s="1">
        <v>2625000</v>
      </c>
      <c r="N506" s="1">
        <v>2625000</v>
      </c>
      <c r="O506" s="1">
        <v>1750000</v>
      </c>
      <c r="P506" s="1">
        <v>1750000</v>
      </c>
      <c r="Q506" s="1">
        <v>2625000</v>
      </c>
      <c r="R506" s="1">
        <v>2625000</v>
      </c>
      <c r="S506" s="1">
        <v>0</v>
      </c>
      <c r="T506" s="1">
        <v>0</v>
      </c>
      <c r="U506" s="1">
        <v>0</v>
      </c>
      <c r="V506" s="1">
        <v>0</v>
      </c>
      <c r="W506" s="4">
        <f t="shared" si="16"/>
        <v>9334099</v>
      </c>
      <c r="X506" s="4">
        <f t="shared" si="16"/>
        <v>9334099</v>
      </c>
      <c r="Y506" s="5">
        <f t="shared" si="15"/>
        <v>1</v>
      </c>
    </row>
    <row r="507" spans="1:25" x14ac:dyDescent="0.25">
      <c r="A507" s="1" t="s">
        <v>102</v>
      </c>
      <c r="B507" s="1" t="s">
        <v>43</v>
      </c>
      <c r="C507" s="1" t="s">
        <v>31</v>
      </c>
      <c r="D507" s="1">
        <v>7683590</v>
      </c>
      <c r="E507" s="1">
        <v>446327.45861505787</v>
      </c>
      <c r="F507" s="1">
        <v>446327.45861505787</v>
      </c>
      <c r="G507" s="1">
        <v>557909.32326882228</v>
      </c>
      <c r="H507" s="1">
        <v>557909.32326882228</v>
      </c>
      <c r="I507" s="1">
        <v>557909.32326882228</v>
      </c>
      <c r="J507" s="1">
        <v>557909.32326882228</v>
      </c>
      <c r="K507" s="1">
        <v>557909.32326882228</v>
      </c>
      <c r="L507" s="1">
        <v>557909.32326882228</v>
      </c>
      <c r="M507" s="1">
        <v>414847.1874611582</v>
      </c>
      <c r="N507" s="1">
        <v>414847.1874611582</v>
      </c>
      <c r="O507" s="1">
        <v>345705.9895509652</v>
      </c>
      <c r="P507" s="1">
        <v>345705.9895509652</v>
      </c>
      <c r="Q507" s="1">
        <v>428448.19724783831</v>
      </c>
      <c r="R507" s="1">
        <v>428448.19724783831</v>
      </c>
      <c r="S507" s="1">
        <v>483988.38537135127</v>
      </c>
      <c r="T507" s="1">
        <v>483988.38537135127</v>
      </c>
      <c r="U507" s="1">
        <v>483988.38537135127</v>
      </c>
      <c r="V507" s="1">
        <v>483988.38537135127</v>
      </c>
      <c r="W507" s="4">
        <f t="shared" si="16"/>
        <v>4277033.5734241894</v>
      </c>
      <c r="X507" s="4">
        <f t="shared" si="16"/>
        <v>4277033.5734241894</v>
      </c>
      <c r="Y507" s="5">
        <f t="shared" si="15"/>
        <v>0.55664521056227489</v>
      </c>
    </row>
    <row r="508" spans="1:25" x14ac:dyDescent="0.25">
      <c r="A508" s="1" t="s">
        <v>102</v>
      </c>
      <c r="B508" s="1" t="s">
        <v>64</v>
      </c>
      <c r="C508" s="1" t="s">
        <v>23</v>
      </c>
      <c r="D508" s="1">
        <v>3999818.0300128879</v>
      </c>
      <c r="E508" s="1">
        <v>263987.9899808506</v>
      </c>
      <c r="F508" s="1">
        <v>263987.9899808506</v>
      </c>
      <c r="G508" s="1">
        <v>329984.98747606325</v>
      </c>
      <c r="H508" s="1">
        <v>329984.98747606325</v>
      </c>
      <c r="I508" s="1">
        <v>329984.98747606325</v>
      </c>
      <c r="J508" s="1">
        <v>329984.98747606325</v>
      </c>
      <c r="K508" s="1">
        <v>329984.98747606325</v>
      </c>
      <c r="L508" s="1">
        <v>329984.98747606325</v>
      </c>
      <c r="M508" s="1">
        <v>200990.85600814762</v>
      </c>
      <c r="N508" s="1">
        <v>200990.85600814762</v>
      </c>
      <c r="O508" s="1">
        <v>167492.3800067897</v>
      </c>
      <c r="P508" s="1">
        <v>167492.3800067897</v>
      </c>
      <c r="Q508" s="1">
        <v>234489.33200950557</v>
      </c>
      <c r="R508" s="1">
        <v>234489.33200950557</v>
      </c>
      <c r="S508" s="1">
        <v>234489.33200950557</v>
      </c>
      <c r="T508" s="1">
        <v>234489.33200950557</v>
      </c>
      <c r="U508" s="1">
        <v>234489.33200950557</v>
      </c>
      <c r="V508" s="1">
        <v>234489.33200950557</v>
      </c>
      <c r="W508" s="4">
        <f t="shared" si="16"/>
        <v>2325894.1844524941</v>
      </c>
      <c r="X508" s="4">
        <f t="shared" si="16"/>
        <v>2325894.1844524941</v>
      </c>
      <c r="Y508" s="5">
        <f t="shared" si="15"/>
        <v>0.58149999999999991</v>
      </c>
    </row>
    <row r="509" spans="1:25" x14ac:dyDescent="0.25">
      <c r="A509" s="1" t="s">
        <v>102</v>
      </c>
      <c r="B509" s="1" t="s">
        <v>65</v>
      </c>
      <c r="C509" s="1" t="s">
        <v>31</v>
      </c>
      <c r="D509" s="1">
        <v>4953664.1125588492</v>
      </c>
      <c r="E509" s="1">
        <v>326941.83142888406</v>
      </c>
      <c r="F509" s="1">
        <v>326941.83142888406</v>
      </c>
      <c r="G509" s="1">
        <v>408677.28928610508</v>
      </c>
      <c r="H509" s="1">
        <v>408677.28928610508</v>
      </c>
      <c r="I509" s="1">
        <v>408677.28928610508</v>
      </c>
      <c r="J509" s="1">
        <v>408677.28928610508</v>
      </c>
      <c r="K509" s="1">
        <v>408677.28928610508</v>
      </c>
      <c r="L509" s="1">
        <v>408677.28928610508</v>
      </c>
      <c r="M509" s="1">
        <v>248921.62165608216</v>
      </c>
      <c r="N509" s="1">
        <v>248921.62165608216</v>
      </c>
      <c r="O509" s="1">
        <v>207434.6847134018</v>
      </c>
      <c r="P509" s="1">
        <v>207434.6847134018</v>
      </c>
      <c r="Q509" s="1">
        <v>290408.55859876249</v>
      </c>
      <c r="R509" s="1">
        <v>290408.55859876249</v>
      </c>
      <c r="S509" s="1">
        <v>290408.55859876249</v>
      </c>
      <c r="T509" s="1">
        <v>290408.55859876249</v>
      </c>
      <c r="U509" s="1">
        <v>290408.55859876249</v>
      </c>
      <c r="V509" s="1">
        <v>290408.55859876249</v>
      </c>
      <c r="W509" s="4">
        <f t="shared" si="16"/>
        <v>2880555.6814529705</v>
      </c>
      <c r="X509" s="4">
        <f t="shared" si="16"/>
        <v>2880555.6814529705</v>
      </c>
      <c r="Y509" s="5">
        <f t="shared" si="15"/>
        <v>0.58149999999999991</v>
      </c>
    </row>
    <row r="510" spans="1:25" x14ac:dyDescent="0.25">
      <c r="A510" s="1" t="s">
        <v>102</v>
      </c>
      <c r="B510" s="1" t="s">
        <v>44</v>
      </c>
      <c r="C510" s="1" t="s">
        <v>45</v>
      </c>
      <c r="D510" s="1">
        <v>6075658.9166306909</v>
      </c>
      <c r="E510" s="1">
        <v>400993.48849762563</v>
      </c>
      <c r="F510" s="1">
        <v>400993.48849762563</v>
      </c>
      <c r="G510" s="1">
        <v>501241.86062203202</v>
      </c>
      <c r="H510" s="1">
        <v>501241.86062203202</v>
      </c>
      <c r="I510" s="1">
        <v>501241.86062203202</v>
      </c>
      <c r="J510" s="1">
        <v>501241.86062203202</v>
      </c>
      <c r="K510" s="1">
        <v>501241.86062203202</v>
      </c>
      <c r="L510" s="1">
        <v>501241.86062203202</v>
      </c>
      <c r="M510" s="1">
        <v>305301.86056069226</v>
      </c>
      <c r="N510" s="1">
        <v>305301.86056069226</v>
      </c>
      <c r="O510" s="1">
        <v>254418.21713391025</v>
      </c>
      <c r="P510" s="1">
        <v>254418.21713391025</v>
      </c>
      <c r="Q510" s="1">
        <v>356185.50398747431</v>
      </c>
      <c r="R510" s="1">
        <v>356185.50398747431</v>
      </c>
      <c r="S510" s="1">
        <v>356185.50398747431</v>
      </c>
      <c r="T510" s="1">
        <v>356185.50398747431</v>
      </c>
      <c r="U510" s="1">
        <v>356185.50398747431</v>
      </c>
      <c r="V510" s="1">
        <v>356185.50398747431</v>
      </c>
      <c r="W510" s="4">
        <f t="shared" si="16"/>
        <v>3532995.6600207472</v>
      </c>
      <c r="X510" s="4">
        <f t="shared" si="16"/>
        <v>3532995.6600207472</v>
      </c>
      <c r="Y510" s="5">
        <f t="shared" si="15"/>
        <v>0.58150000000000013</v>
      </c>
    </row>
    <row r="511" spans="1:25" x14ac:dyDescent="0.25">
      <c r="A511" s="1" t="s">
        <v>102</v>
      </c>
      <c r="B511" s="1" t="s">
        <v>46</v>
      </c>
      <c r="C511" s="1" t="s">
        <v>22</v>
      </c>
      <c r="D511" s="1">
        <v>34638863.897797018</v>
      </c>
      <c r="E511" s="1">
        <v>2288306.5306332605</v>
      </c>
      <c r="F511" s="1">
        <v>2288306.5306332605</v>
      </c>
      <c r="G511" s="1">
        <v>2860383.1632915754</v>
      </c>
      <c r="H511" s="1">
        <v>2860383.1632915754</v>
      </c>
      <c r="I511" s="1">
        <v>2860383.1632915754</v>
      </c>
      <c r="J511" s="1">
        <v>2860383.1632915754</v>
      </c>
      <c r="K511" s="1">
        <v>2860383.1632915754</v>
      </c>
      <c r="L511" s="1">
        <v>2860383.1632915754</v>
      </c>
      <c r="M511" s="1">
        <v>1794796.3899954199</v>
      </c>
      <c r="N511" s="1">
        <v>1794796.3899954199</v>
      </c>
      <c r="O511" s="1">
        <v>1459509.5695740841</v>
      </c>
      <c r="P511" s="1">
        <v>1459509.5695740841</v>
      </c>
      <c r="Q511" s="1">
        <v>2020600.3957755468</v>
      </c>
      <c r="R511" s="1">
        <v>2020600.3957755468</v>
      </c>
      <c r="S511" s="1">
        <v>2020600.3957755468</v>
      </c>
      <c r="T511" s="1">
        <v>2020600.3957755468</v>
      </c>
      <c r="U511" s="1">
        <v>2020600.3957755468</v>
      </c>
      <c r="V511" s="1">
        <v>2020600.3957755468</v>
      </c>
      <c r="W511" s="4">
        <f t="shared" si="16"/>
        <v>20185563.16740413</v>
      </c>
      <c r="X511" s="4">
        <f t="shared" si="16"/>
        <v>20185563.16740413</v>
      </c>
      <c r="Y511" s="5">
        <f t="shared" si="15"/>
        <v>0.58274322238056719</v>
      </c>
    </row>
    <row r="512" spans="1:25" x14ac:dyDescent="0.25">
      <c r="A512" s="1" t="s">
        <v>102</v>
      </c>
      <c r="B512" s="1" t="s">
        <v>66</v>
      </c>
      <c r="C512" s="1" t="s">
        <v>24</v>
      </c>
      <c r="D512" s="1">
        <v>189561349.15439266</v>
      </c>
      <c r="E512" s="1">
        <v>15638811.305237396</v>
      </c>
      <c r="F512" s="1">
        <v>15638811.305237396</v>
      </c>
      <c r="G512" s="1">
        <v>15638811.305237396</v>
      </c>
      <c r="H512" s="1">
        <v>15638811.305237396</v>
      </c>
      <c r="I512" s="1">
        <v>15638811.305237396</v>
      </c>
      <c r="J512" s="1">
        <v>15638811.305237396</v>
      </c>
      <c r="K512" s="1">
        <v>15638811.305237396</v>
      </c>
      <c r="L512" s="1">
        <v>15638811.305237396</v>
      </c>
      <c r="M512" s="1">
        <v>22558105.779050417</v>
      </c>
      <c r="N512" s="1">
        <v>22558105.779050417</v>
      </c>
      <c r="O512" s="1">
        <v>14678000</v>
      </c>
      <c r="P512" s="1">
        <v>14678000</v>
      </c>
      <c r="Q512" s="1">
        <v>17458000</v>
      </c>
      <c r="R512" s="1">
        <v>17458000</v>
      </c>
      <c r="S512" s="1">
        <v>16086996</v>
      </c>
      <c r="T512" s="1">
        <v>16086996</v>
      </c>
      <c r="U512" s="1">
        <v>16353000</v>
      </c>
      <c r="V512" s="1">
        <v>16353000</v>
      </c>
      <c r="W512" s="4">
        <f t="shared" si="16"/>
        <v>149689347</v>
      </c>
      <c r="X512" s="4">
        <f t="shared" si="16"/>
        <v>149689347</v>
      </c>
      <c r="Y512" s="5">
        <f t="shared" si="15"/>
        <v>0.78966175155296037</v>
      </c>
    </row>
    <row r="513" spans="1:25" x14ac:dyDescent="0.25">
      <c r="A513" s="1" t="s">
        <v>102</v>
      </c>
      <c r="B513" s="1" t="s">
        <v>67</v>
      </c>
      <c r="C513" s="1" t="s">
        <v>68</v>
      </c>
      <c r="D513" s="1">
        <v>1972248.5732405321</v>
      </c>
      <c r="E513" s="1">
        <v>130168.40583387513</v>
      </c>
      <c r="F513" s="1">
        <v>130168.40583387513</v>
      </c>
      <c r="G513" s="1">
        <v>162710.50729234391</v>
      </c>
      <c r="H513" s="1">
        <v>162710.50729234391</v>
      </c>
      <c r="I513" s="1">
        <v>162710.50729234391</v>
      </c>
      <c r="J513" s="1">
        <v>162710.50729234391</v>
      </c>
      <c r="K513" s="1">
        <v>162710.50729234391</v>
      </c>
      <c r="L513" s="1">
        <v>162710.50729234391</v>
      </c>
      <c r="M513" s="1">
        <v>102556.92580850759</v>
      </c>
      <c r="N513" s="1">
        <v>102556.92580850759</v>
      </c>
      <c r="O513" s="1">
        <v>82177.023885022165</v>
      </c>
      <c r="P513" s="1">
        <v>82177.023885022165</v>
      </c>
      <c r="Q513" s="1">
        <v>115047.83343903102</v>
      </c>
      <c r="R513" s="1">
        <v>115047.83343903102</v>
      </c>
      <c r="S513" s="1">
        <v>115047.83343903102</v>
      </c>
      <c r="T513" s="1">
        <v>115047.83343903102</v>
      </c>
      <c r="U513" s="1">
        <v>115047.83343903102</v>
      </c>
      <c r="V513" s="1">
        <v>115047.83343903102</v>
      </c>
      <c r="W513" s="4">
        <f t="shared" si="16"/>
        <v>1148177.3777215295</v>
      </c>
      <c r="X513" s="4">
        <f t="shared" si="16"/>
        <v>1148177.3777215295</v>
      </c>
      <c r="Y513" s="5">
        <f t="shared" si="15"/>
        <v>0.5821666666666665</v>
      </c>
    </row>
    <row r="514" spans="1:25" x14ac:dyDescent="0.25">
      <c r="A514" s="1" t="s">
        <v>102</v>
      </c>
      <c r="B514" s="1" t="s">
        <v>69</v>
      </c>
      <c r="C514" s="1" t="s">
        <v>28</v>
      </c>
      <c r="D514" s="1">
        <v>3882772.1895227386</v>
      </c>
      <c r="E514" s="1">
        <v>256262.96450850077</v>
      </c>
      <c r="F514" s="1">
        <v>256262.96450850077</v>
      </c>
      <c r="G514" s="1">
        <v>320328.70563562593</v>
      </c>
      <c r="H514" s="1">
        <v>320328.70563562593</v>
      </c>
      <c r="I514" s="1">
        <v>320328.70563562593</v>
      </c>
      <c r="J514" s="1">
        <v>320328.70563562593</v>
      </c>
      <c r="K514" s="1">
        <v>320328.70563562593</v>
      </c>
      <c r="L514" s="1">
        <v>320328.70563562593</v>
      </c>
      <c r="M514" s="1">
        <v>195109.30252351763</v>
      </c>
      <c r="N514" s="1">
        <v>195109.30252351763</v>
      </c>
      <c r="O514" s="1">
        <v>162591.08543626469</v>
      </c>
      <c r="P514" s="1">
        <v>162591.08543626469</v>
      </c>
      <c r="Q514" s="1">
        <v>227627.51961077057</v>
      </c>
      <c r="R514" s="1">
        <v>227627.51961077057</v>
      </c>
      <c r="S514" s="1">
        <v>227627.51961077057</v>
      </c>
      <c r="T514" s="1">
        <v>227627.51961077057</v>
      </c>
      <c r="U514" s="1">
        <v>227627.51961077057</v>
      </c>
      <c r="V514" s="1">
        <v>227627.51961077057</v>
      </c>
      <c r="W514" s="4">
        <f t="shared" si="16"/>
        <v>2257832.0282074725</v>
      </c>
      <c r="X514" s="4">
        <f t="shared" si="16"/>
        <v>2257832.0282074725</v>
      </c>
      <c r="Y514" s="5">
        <f t="shared" si="15"/>
        <v>0.58150000000000002</v>
      </c>
    </row>
    <row r="515" spans="1:25" x14ac:dyDescent="0.25">
      <c r="A515" s="1" t="s">
        <v>102</v>
      </c>
      <c r="B515" s="1" t="s">
        <v>70</v>
      </c>
      <c r="C515" s="1" t="s">
        <v>23</v>
      </c>
      <c r="D515" s="1">
        <v>6890625.0152343744</v>
      </c>
      <c r="E515" s="1">
        <v>454781.25100546872</v>
      </c>
      <c r="F515" s="1">
        <v>454781.25100546872</v>
      </c>
      <c r="G515" s="1">
        <v>568476.56375683588</v>
      </c>
      <c r="H515" s="1">
        <v>568476.56375683588</v>
      </c>
      <c r="I515" s="1">
        <v>568476.56375683588</v>
      </c>
      <c r="J515" s="1">
        <v>568476.56375683588</v>
      </c>
      <c r="K515" s="1">
        <v>568476.56375683588</v>
      </c>
      <c r="L515" s="1">
        <v>568476.56375683588</v>
      </c>
      <c r="M515" s="1">
        <v>346253.90701552731</v>
      </c>
      <c r="N515" s="1">
        <v>346253.90701552731</v>
      </c>
      <c r="O515" s="1">
        <v>288544.92251293943</v>
      </c>
      <c r="P515" s="1">
        <v>288544.92251293943</v>
      </c>
      <c r="Q515" s="1">
        <v>403962.89151811518</v>
      </c>
      <c r="R515" s="1">
        <v>403962.89151811518</v>
      </c>
      <c r="S515" s="1">
        <v>403962.89151811518</v>
      </c>
      <c r="T515" s="1">
        <v>403962.89151811518</v>
      </c>
      <c r="U515" s="1">
        <v>403962.89151811518</v>
      </c>
      <c r="V515" s="1">
        <v>403962.89151811518</v>
      </c>
      <c r="W515" s="4">
        <f t="shared" si="16"/>
        <v>4006898.4463587888</v>
      </c>
      <c r="X515" s="4">
        <f t="shared" si="16"/>
        <v>4006898.4463587888</v>
      </c>
      <c r="Y515" s="5">
        <f t="shared" ref="Y515:Y578" si="17">X515/D515</f>
        <v>0.58150000000000002</v>
      </c>
    </row>
    <row r="516" spans="1:25" x14ac:dyDescent="0.25">
      <c r="A516" s="1" t="s">
        <v>102</v>
      </c>
      <c r="B516" s="1" t="s">
        <v>71</v>
      </c>
      <c r="C516" s="1" t="s">
        <v>29</v>
      </c>
      <c r="D516" s="1">
        <v>5650303.171153849</v>
      </c>
      <c r="E516" s="1">
        <v>372920.00929615408</v>
      </c>
      <c r="F516" s="1">
        <v>372920.00929615408</v>
      </c>
      <c r="G516" s="1">
        <v>466150.01162019256</v>
      </c>
      <c r="H516" s="1">
        <v>466150.01162019256</v>
      </c>
      <c r="I516" s="1">
        <v>466150.01162019256</v>
      </c>
      <c r="J516" s="1">
        <v>466150.01162019256</v>
      </c>
      <c r="K516" s="1">
        <v>466150.01162019256</v>
      </c>
      <c r="L516" s="1">
        <v>466150.01162019256</v>
      </c>
      <c r="M516" s="1">
        <v>283927.7343504809</v>
      </c>
      <c r="N516" s="1">
        <v>283927.7343504809</v>
      </c>
      <c r="O516" s="1">
        <v>236606.44529206742</v>
      </c>
      <c r="P516" s="1">
        <v>236606.44529206742</v>
      </c>
      <c r="Q516" s="1">
        <v>331249.02340889437</v>
      </c>
      <c r="R516" s="1">
        <v>331249.02340889437</v>
      </c>
      <c r="S516" s="1">
        <v>331249.02340889437</v>
      </c>
      <c r="T516" s="1">
        <v>331249.02340889437</v>
      </c>
      <c r="U516" s="1">
        <v>331249.02340889437</v>
      </c>
      <c r="V516" s="1">
        <v>331249.02340889437</v>
      </c>
      <c r="W516" s="4">
        <f t="shared" si="16"/>
        <v>3285651.2940259636</v>
      </c>
      <c r="X516" s="4">
        <f t="shared" si="16"/>
        <v>3285651.2940259636</v>
      </c>
      <c r="Y516" s="5">
        <f t="shared" si="17"/>
        <v>0.58150000000000013</v>
      </c>
    </row>
    <row r="517" spans="1:25" x14ac:dyDescent="0.25">
      <c r="A517" s="1" t="s">
        <v>102</v>
      </c>
      <c r="B517" s="1" t="s">
        <v>72</v>
      </c>
      <c r="C517" s="1" t="s">
        <v>73</v>
      </c>
      <c r="D517" s="1">
        <v>3347532.0662567806</v>
      </c>
      <c r="E517" s="1">
        <v>220937.11637294755</v>
      </c>
      <c r="F517" s="1">
        <v>220937.11637294755</v>
      </c>
      <c r="G517" s="1">
        <v>276171.39546618442</v>
      </c>
      <c r="H517" s="1">
        <v>276171.39546618442</v>
      </c>
      <c r="I517" s="1">
        <v>276171.39546618442</v>
      </c>
      <c r="J517" s="1">
        <v>276171.39546618442</v>
      </c>
      <c r="K517" s="1">
        <v>276171.39546618442</v>
      </c>
      <c r="L517" s="1">
        <v>276171.39546618442</v>
      </c>
      <c r="M517" s="1">
        <v>168213.48632940324</v>
      </c>
      <c r="N517" s="1">
        <v>168213.48632940324</v>
      </c>
      <c r="O517" s="1">
        <v>140177.9052745027</v>
      </c>
      <c r="P517" s="1">
        <v>140177.9052745027</v>
      </c>
      <c r="Q517" s="1">
        <v>196249.06738430378</v>
      </c>
      <c r="R517" s="1">
        <v>196249.06738430378</v>
      </c>
      <c r="S517" s="1">
        <v>196249.06738430378</v>
      </c>
      <c r="T517" s="1">
        <v>196249.06738430378</v>
      </c>
      <c r="U517" s="1">
        <v>196249.06738430378</v>
      </c>
      <c r="V517" s="1">
        <v>196249.06738430378</v>
      </c>
      <c r="W517" s="4">
        <f t="shared" si="16"/>
        <v>1946589.8965283183</v>
      </c>
      <c r="X517" s="4">
        <f t="shared" si="16"/>
        <v>1946589.8965283183</v>
      </c>
      <c r="Y517" s="5">
        <f t="shared" si="17"/>
        <v>0.58150000000000013</v>
      </c>
    </row>
    <row r="518" spans="1:25" x14ac:dyDescent="0.25">
      <c r="A518" s="1" t="s">
        <v>102</v>
      </c>
      <c r="B518" s="1" t="s">
        <v>48</v>
      </c>
      <c r="C518" s="1" t="s">
        <v>49</v>
      </c>
      <c r="D518" s="1">
        <v>3379397.8345841826</v>
      </c>
      <c r="E518" s="1">
        <v>223040.25708255605</v>
      </c>
      <c r="F518" s="1">
        <v>223040.25708255605</v>
      </c>
      <c r="G518" s="1">
        <v>278800.32135319506</v>
      </c>
      <c r="H518" s="1">
        <v>278800.32135319506</v>
      </c>
      <c r="I518" s="1">
        <v>278800.32135319506</v>
      </c>
      <c r="J518" s="1">
        <v>278800.32135319506</v>
      </c>
      <c r="K518" s="1">
        <v>278800.32135319506</v>
      </c>
      <c r="L518" s="1">
        <v>278800.32135319506</v>
      </c>
      <c r="M518" s="1">
        <v>169814.74118785511</v>
      </c>
      <c r="N518" s="1">
        <v>169814.74118785511</v>
      </c>
      <c r="O518" s="1">
        <v>141512.2843232126</v>
      </c>
      <c r="P518" s="1">
        <v>141512.2843232126</v>
      </c>
      <c r="Q518" s="1">
        <v>198117.19805249764</v>
      </c>
      <c r="R518" s="1">
        <v>198117.19805249764</v>
      </c>
      <c r="S518" s="1">
        <v>198117.19805249764</v>
      </c>
      <c r="T518" s="1">
        <v>198117.19805249764</v>
      </c>
      <c r="U518" s="1">
        <v>198117.19805249764</v>
      </c>
      <c r="V518" s="1">
        <v>198117.19805249764</v>
      </c>
      <c r="W518" s="4">
        <f t="shared" si="16"/>
        <v>1965119.8408107019</v>
      </c>
      <c r="X518" s="4">
        <f t="shared" si="16"/>
        <v>1965119.8408107019</v>
      </c>
      <c r="Y518" s="5">
        <f t="shared" si="17"/>
        <v>0.58149999999999991</v>
      </c>
    </row>
    <row r="519" spans="1:25" x14ac:dyDescent="0.25">
      <c r="A519" s="1" t="s">
        <v>102</v>
      </c>
      <c r="B519" s="1" t="s">
        <v>53</v>
      </c>
      <c r="C519" s="1" t="s">
        <v>30</v>
      </c>
      <c r="D519" s="1">
        <v>3286014.9262045384</v>
      </c>
      <c r="E519" s="1">
        <v>216876.98512949955</v>
      </c>
      <c r="F519" s="1">
        <v>216876.98512949955</v>
      </c>
      <c r="G519" s="1">
        <v>271096.23141187441</v>
      </c>
      <c r="H519" s="1">
        <v>271096.23141187441</v>
      </c>
      <c r="I519" s="1">
        <v>271096.23141187441</v>
      </c>
      <c r="J519" s="1">
        <v>271096.23141187441</v>
      </c>
      <c r="K519" s="1">
        <v>271096.23141187441</v>
      </c>
      <c r="L519" s="1">
        <v>271096.23141187441</v>
      </c>
      <c r="M519" s="1">
        <v>165122.25004177805</v>
      </c>
      <c r="N519" s="1">
        <v>165122.25004177805</v>
      </c>
      <c r="O519" s="1">
        <v>137601.87503481505</v>
      </c>
      <c r="P519" s="1">
        <v>137601.87503481505</v>
      </c>
      <c r="Q519" s="1">
        <v>192642.62504874106</v>
      </c>
      <c r="R519" s="1">
        <v>192642.62504874106</v>
      </c>
      <c r="S519" s="1">
        <v>192642.62504874106</v>
      </c>
      <c r="T519" s="1">
        <v>192642.62504874106</v>
      </c>
      <c r="U519" s="1">
        <v>192642.62504874106</v>
      </c>
      <c r="V519" s="1">
        <v>192642.62504874106</v>
      </c>
      <c r="W519" s="4">
        <f t="shared" si="16"/>
        <v>1910817.6795879391</v>
      </c>
      <c r="X519" s="4">
        <f t="shared" si="16"/>
        <v>1910817.6795879391</v>
      </c>
      <c r="Y519" s="5">
        <f t="shared" si="17"/>
        <v>0.58150000000000002</v>
      </c>
    </row>
    <row r="520" spans="1:25" x14ac:dyDescent="0.25">
      <c r="A520" s="1" t="s">
        <v>102</v>
      </c>
      <c r="B520" s="1" t="s">
        <v>74</v>
      </c>
      <c r="C520" s="1" t="s">
        <v>75</v>
      </c>
      <c r="D520" s="1">
        <v>8099799.4041761942</v>
      </c>
      <c r="E520" s="1">
        <v>534586.7606756289</v>
      </c>
      <c r="F520" s="1">
        <v>534586.7606756289</v>
      </c>
      <c r="G520" s="1">
        <v>668233.45084453607</v>
      </c>
      <c r="H520" s="1">
        <v>668233.45084453607</v>
      </c>
      <c r="I520" s="1">
        <v>668233.45084453607</v>
      </c>
      <c r="J520" s="1">
        <v>668233.45084453607</v>
      </c>
      <c r="K520" s="1">
        <v>668233.45084453607</v>
      </c>
      <c r="L520" s="1">
        <v>668233.45084453607</v>
      </c>
      <c r="M520" s="1">
        <v>407014.92005985376</v>
      </c>
      <c r="N520" s="1">
        <v>407014.92005985376</v>
      </c>
      <c r="O520" s="1">
        <v>339179.10004987812</v>
      </c>
      <c r="P520" s="1">
        <v>339179.10004987812</v>
      </c>
      <c r="Q520" s="1">
        <v>474850.74006982933</v>
      </c>
      <c r="R520" s="1">
        <v>474850.74006982933</v>
      </c>
      <c r="S520" s="1">
        <v>474850.74006982933</v>
      </c>
      <c r="T520" s="1">
        <v>474850.74006982933</v>
      </c>
      <c r="U520" s="1">
        <v>474850.74006982933</v>
      </c>
      <c r="V520" s="1">
        <v>474850.74006982933</v>
      </c>
      <c r="W520" s="4">
        <f t="shared" si="16"/>
        <v>4710033.3535284568</v>
      </c>
      <c r="X520" s="4">
        <f t="shared" si="16"/>
        <v>4710033.3535284568</v>
      </c>
      <c r="Y520" s="5">
        <f t="shared" si="17"/>
        <v>0.58150000000000002</v>
      </c>
    </row>
    <row r="521" spans="1:25" x14ac:dyDescent="0.25">
      <c r="A521" s="1" t="s">
        <v>102</v>
      </c>
      <c r="B521" s="1" t="s">
        <v>50</v>
      </c>
      <c r="C521" s="1" t="s">
        <v>25</v>
      </c>
      <c r="D521" s="1">
        <v>3548367.7263133903</v>
      </c>
      <c r="E521" s="1">
        <v>234192.26993668379</v>
      </c>
      <c r="F521" s="1">
        <v>234192.26993668379</v>
      </c>
      <c r="G521" s="1">
        <v>292740.33742085472</v>
      </c>
      <c r="H521" s="1">
        <v>292740.33742085472</v>
      </c>
      <c r="I521" s="1">
        <v>292740.33742085472</v>
      </c>
      <c r="J521" s="1">
        <v>292740.33742085472</v>
      </c>
      <c r="K521" s="1">
        <v>292740.33742085472</v>
      </c>
      <c r="L521" s="1">
        <v>292740.33742085472</v>
      </c>
      <c r="M521" s="1">
        <v>178305.47824724784</v>
      </c>
      <c r="N521" s="1">
        <v>178305.47824724784</v>
      </c>
      <c r="O521" s="1">
        <v>148587.89853937321</v>
      </c>
      <c r="P521" s="1">
        <v>148587.89853937321</v>
      </c>
      <c r="Q521" s="1">
        <v>208023.05795512249</v>
      </c>
      <c r="R521" s="1">
        <v>208023.05795512249</v>
      </c>
      <c r="S521" s="1">
        <v>208023.05795512249</v>
      </c>
      <c r="T521" s="1">
        <v>208023.05795512249</v>
      </c>
      <c r="U521" s="1">
        <v>208023.05795512249</v>
      </c>
      <c r="V521" s="1">
        <v>208023.05795512249</v>
      </c>
      <c r="W521" s="4">
        <f t="shared" si="16"/>
        <v>2063375.8328512365</v>
      </c>
      <c r="X521" s="4">
        <f t="shared" si="16"/>
        <v>2063375.8328512365</v>
      </c>
      <c r="Y521" s="5">
        <f t="shared" si="17"/>
        <v>0.58150000000000002</v>
      </c>
    </row>
    <row r="522" spans="1:25" x14ac:dyDescent="0.25">
      <c r="A522" s="1" t="s">
        <v>103</v>
      </c>
      <c r="B522" s="1" t="s">
        <v>59</v>
      </c>
      <c r="C522" s="1" t="s">
        <v>26</v>
      </c>
      <c r="D522" s="1">
        <v>35575124.00333333</v>
      </c>
      <c r="E522" s="1">
        <v>3315305.9937398229</v>
      </c>
      <c r="F522" s="1">
        <v>3315305.9937398229</v>
      </c>
      <c r="G522" s="1">
        <v>4144132.4921747786</v>
      </c>
      <c r="H522" s="1">
        <v>4144132.4921747786</v>
      </c>
      <c r="I522" s="1">
        <v>4144132.4921747786</v>
      </c>
      <c r="J522" s="1">
        <v>4144132.4921747786</v>
      </c>
      <c r="K522" s="1">
        <v>4144132.4921747786</v>
      </c>
      <c r="L522" s="1">
        <v>4144132.4921747786</v>
      </c>
      <c r="M522" s="1">
        <v>2374824.2543292772</v>
      </c>
      <c r="N522" s="1">
        <v>2374824.2543292772</v>
      </c>
      <c r="O522" s="1">
        <v>2374824.2543292772</v>
      </c>
      <c r="P522" s="1">
        <v>2374824.2543292772</v>
      </c>
      <c r="Q522" s="1">
        <v>2374824.2543292772</v>
      </c>
      <c r="R522" s="1">
        <v>2374824.2543292772</v>
      </c>
      <c r="S522" s="1">
        <v>2374824.2543292772</v>
      </c>
      <c r="T522" s="1">
        <v>2374824.2543292772</v>
      </c>
      <c r="U522" s="1">
        <v>2374824.2543292772</v>
      </c>
      <c r="V522" s="1">
        <v>2374824.2543292772</v>
      </c>
      <c r="W522" s="4">
        <f t="shared" si="16"/>
        <v>27621824.741910547</v>
      </c>
      <c r="X522" s="4">
        <f t="shared" si="16"/>
        <v>27621824.741910547</v>
      </c>
      <c r="Y522" s="5">
        <f t="shared" si="17"/>
        <v>0.77643649926061897</v>
      </c>
    </row>
    <row r="523" spans="1:25" x14ac:dyDescent="0.25">
      <c r="A523" s="1" t="s">
        <v>103</v>
      </c>
      <c r="B523" s="1" t="s">
        <v>59</v>
      </c>
      <c r="C523" s="1" t="s">
        <v>26</v>
      </c>
      <c r="D523" s="1">
        <v>14656784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7328392</v>
      </c>
      <c r="N523" s="1">
        <v>7328392</v>
      </c>
      <c r="O523" s="1">
        <v>7328392</v>
      </c>
      <c r="P523" s="1">
        <v>7328392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4">
        <f t="shared" si="16"/>
        <v>14656784</v>
      </c>
      <c r="X523" s="4">
        <f t="shared" si="16"/>
        <v>14656784</v>
      </c>
      <c r="Y523" s="5">
        <f t="shared" si="17"/>
        <v>1</v>
      </c>
    </row>
    <row r="524" spans="1:25" x14ac:dyDescent="0.25">
      <c r="A524" s="1" t="s">
        <v>103</v>
      </c>
      <c r="B524" s="1" t="s">
        <v>33</v>
      </c>
      <c r="C524" s="1" t="s">
        <v>34</v>
      </c>
      <c r="D524" s="1">
        <v>72000000</v>
      </c>
      <c r="E524" s="1">
        <v>0</v>
      </c>
      <c r="F524" s="1">
        <v>0</v>
      </c>
      <c r="G524" s="1">
        <v>14400000</v>
      </c>
      <c r="H524" s="1">
        <v>14400000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21600000</v>
      </c>
      <c r="P524" s="1">
        <v>21600000</v>
      </c>
      <c r="Q524" s="1">
        <v>0</v>
      </c>
      <c r="R524" s="1">
        <v>0</v>
      </c>
      <c r="S524" s="1">
        <v>21600000</v>
      </c>
      <c r="T524" s="1">
        <v>21600000</v>
      </c>
      <c r="U524" s="1">
        <v>14400000</v>
      </c>
      <c r="V524" s="1">
        <v>14400000</v>
      </c>
      <c r="W524" s="4">
        <f t="shared" si="16"/>
        <v>72000000</v>
      </c>
      <c r="X524" s="4">
        <f t="shared" si="16"/>
        <v>72000000</v>
      </c>
      <c r="Y524" s="5">
        <f t="shared" si="17"/>
        <v>1</v>
      </c>
    </row>
    <row r="525" spans="1:25" x14ac:dyDescent="0.25">
      <c r="A525" s="1" t="s">
        <v>103</v>
      </c>
      <c r="B525" s="1" t="s">
        <v>35</v>
      </c>
      <c r="C525" s="1" t="s">
        <v>34</v>
      </c>
      <c r="D525" s="1">
        <v>180000000</v>
      </c>
      <c r="E525" s="1">
        <v>0</v>
      </c>
      <c r="F525" s="1">
        <v>0</v>
      </c>
      <c r="G525" s="1">
        <v>49500000</v>
      </c>
      <c r="H525" s="1">
        <v>49500000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43500000</v>
      </c>
      <c r="P525" s="1">
        <v>43500000</v>
      </c>
      <c r="Q525" s="1">
        <v>0</v>
      </c>
      <c r="R525" s="1">
        <v>0</v>
      </c>
      <c r="S525" s="1">
        <v>43500000</v>
      </c>
      <c r="T525" s="1">
        <v>43500000</v>
      </c>
      <c r="U525" s="1">
        <v>43500000</v>
      </c>
      <c r="V525" s="1">
        <v>43500000</v>
      </c>
      <c r="W525" s="4">
        <f t="shared" si="16"/>
        <v>180000000</v>
      </c>
      <c r="X525" s="4">
        <f t="shared" si="16"/>
        <v>180000000</v>
      </c>
      <c r="Y525" s="5">
        <f t="shared" si="17"/>
        <v>1</v>
      </c>
    </row>
    <row r="526" spans="1:25" x14ac:dyDescent="0.25">
      <c r="A526" s="1" t="s">
        <v>103</v>
      </c>
      <c r="B526" s="1" t="s">
        <v>38</v>
      </c>
      <c r="C526" s="1" t="s">
        <v>39</v>
      </c>
      <c r="D526" s="1">
        <v>8217546.83985529</v>
      </c>
      <c r="E526" s="1">
        <v>542358.09143044928</v>
      </c>
      <c r="F526" s="1">
        <v>542358.09143044928</v>
      </c>
      <c r="G526" s="1">
        <v>677947.61428806151</v>
      </c>
      <c r="H526" s="1">
        <v>677947.61428806151</v>
      </c>
      <c r="I526" s="1">
        <v>677947.61428806151</v>
      </c>
      <c r="J526" s="1">
        <v>677947.61428806151</v>
      </c>
      <c r="K526" s="1">
        <v>677947.61428806151</v>
      </c>
      <c r="L526" s="1">
        <v>677947.61428806151</v>
      </c>
      <c r="M526" s="1">
        <v>412931.72870272817</v>
      </c>
      <c r="N526" s="1">
        <v>412931.72870272817</v>
      </c>
      <c r="O526" s="1">
        <v>344109.77391894016</v>
      </c>
      <c r="P526" s="1">
        <v>344109.77391894016</v>
      </c>
      <c r="Q526" s="1">
        <v>481753.68348651618</v>
      </c>
      <c r="R526" s="1">
        <v>481753.68348651618</v>
      </c>
      <c r="S526" s="1">
        <v>481753.68348651618</v>
      </c>
      <c r="T526" s="1">
        <v>481753.68348651618</v>
      </c>
      <c r="U526" s="1">
        <v>481753.68348651618</v>
      </c>
      <c r="V526" s="1">
        <v>481753.68348651618</v>
      </c>
      <c r="W526" s="4">
        <f t="shared" si="16"/>
        <v>4778503.4873758508</v>
      </c>
      <c r="X526" s="4">
        <f t="shared" si="16"/>
        <v>4778503.4873758508</v>
      </c>
      <c r="Y526" s="5">
        <f t="shared" si="17"/>
        <v>0.58149999999999991</v>
      </c>
    </row>
    <row r="527" spans="1:25" x14ac:dyDescent="0.25">
      <c r="A527" s="1" t="s">
        <v>103</v>
      </c>
      <c r="B527" s="1" t="s">
        <v>61</v>
      </c>
      <c r="C527" s="1" t="s">
        <v>34</v>
      </c>
      <c r="D527" s="1">
        <v>75053025</v>
      </c>
      <c r="E527" s="1">
        <v>0</v>
      </c>
      <c r="F527" s="1">
        <v>0</v>
      </c>
      <c r="G527" s="1">
        <v>6004241.9993161038</v>
      </c>
      <c r="H527" s="1">
        <v>6004241.9993161038</v>
      </c>
      <c r="I527" s="1">
        <v>0</v>
      </c>
      <c r="J527" s="1">
        <v>0</v>
      </c>
      <c r="K527" s="1">
        <v>0</v>
      </c>
      <c r="L527" s="1">
        <v>0</v>
      </c>
      <c r="M527" s="1">
        <v>17262195.750170976</v>
      </c>
      <c r="N527" s="1">
        <v>17262195.750170976</v>
      </c>
      <c r="O527" s="1">
        <v>0</v>
      </c>
      <c r="P527" s="1">
        <v>0</v>
      </c>
      <c r="Q527" s="1">
        <v>0</v>
      </c>
      <c r="R527" s="1">
        <v>0</v>
      </c>
      <c r="S527" s="1">
        <v>25893293.625256464</v>
      </c>
      <c r="T527" s="1">
        <v>25893293.625256464</v>
      </c>
      <c r="U527" s="1">
        <v>0</v>
      </c>
      <c r="V527" s="1">
        <v>0</v>
      </c>
      <c r="W527" s="4">
        <f t="shared" si="16"/>
        <v>49159731.374743544</v>
      </c>
      <c r="X527" s="4">
        <f t="shared" si="16"/>
        <v>49159731.374743544</v>
      </c>
      <c r="Y527" s="5">
        <f t="shared" si="17"/>
        <v>0.65499999999658298</v>
      </c>
    </row>
    <row r="528" spans="1:25" x14ac:dyDescent="0.25">
      <c r="A528" s="1" t="s">
        <v>103</v>
      </c>
      <c r="B528" s="1" t="s">
        <v>62</v>
      </c>
      <c r="C528" s="1" t="s">
        <v>63</v>
      </c>
      <c r="D528" s="1">
        <v>26142857</v>
      </c>
      <c r="E528" s="1">
        <v>14079999.999120001</v>
      </c>
      <c r="F528" s="1">
        <v>14079999.999120001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640714.28579678561</v>
      </c>
      <c r="N528" s="1">
        <v>640714.28579678561</v>
      </c>
      <c r="O528" s="1">
        <v>533928.57149732136</v>
      </c>
      <c r="P528" s="1">
        <v>533928.57149732136</v>
      </c>
      <c r="Q528" s="1">
        <v>747500.00009624986</v>
      </c>
      <c r="R528" s="1">
        <v>747500.00009624986</v>
      </c>
      <c r="S528" s="1">
        <v>747500.00009624986</v>
      </c>
      <c r="T528" s="1">
        <v>747500.00009624986</v>
      </c>
      <c r="U528" s="1">
        <v>747500.00009624986</v>
      </c>
      <c r="V528" s="1">
        <v>747500.00009624986</v>
      </c>
      <c r="W528" s="4">
        <f t="shared" si="16"/>
        <v>17497142.856702857</v>
      </c>
      <c r="X528" s="4">
        <f t="shared" si="16"/>
        <v>17497142.856702857</v>
      </c>
      <c r="Y528" s="5">
        <f t="shared" si="17"/>
        <v>0.66928962112682855</v>
      </c>
    </row>
    <row r="529" spans="1:25" x14ac:dyDescent="0.25">
      <c r="A529" s="1" t="s">
        <v>103</v>
      </c>
      <c r="B529" s="1" t="s">
        <v>40</v>
      </c>
      <c r="C529" s="1" t="s">
        <v>27</v>
      </c>
      <c r="D529" s="1">
        <v>110561433.7214313</v>
      </c>
      <c r="E529" s="1">
        <v>5906603.2075000014</v>
      </c>
      <c r="F529" s="1">
        <v>5906603.2075000014</v>
      </c>
      <c r="G529" s="1">
        <v>12061027.457500011</v>
      </c>
      <c r="H529" s="1">
        <v>12061027.457500011</v>
      </c>
      <c r="I529" s="1">
        <v>9615631.2908333316</v>
      </c>
      <c r="J529" s="1">
        <v>9615631.2908333316</v>
      </c>
      <c r="K529" s="1">
        <v>14883843.318611113</v>
      </c>
      <c r="L529" s="1">
        <v>14883843.318611113</v>
      </c>
      <c r="M529" s="1">
        <v>0</v>
      </c>
      <c r="N529" s="1">
        <v>0</v>
      </c>
      <c r="O529" s="1">
        <v>22363080.4965882</v>
      </c>
      <c r="P529" s="1">
        <v>22363080.4965882</v>
      </c>
      <c r="Q529" s="1">
        <v>11297674.151944444</v>
      </c>
      <c r="R529" s="1">
        <v>11297674.151944444</v>
      </c>
      <c r="S529" s="1">
        <v>8012420.2908333354</v>
      </c>
      <c r="T529" s="1">
        <v>8012420.2908333354</v>
      </c>
      <c r="U529" s="1">
        <v>9715633.1990882047</v>
      </c>
      <c r="V529" s="1">
        <v>9715633.1990882047</v>
      </c>
      <c r="W529" s="4">
        <f t="shared" si="16"/>
        <v>93855913.412898645</v>
      </c>
      <c r="X529" s="4">
        <f t="shared" si="16"/>
        <v>93855913.412898645</v>
      </c>
      <c r="Y529" s="5">
        <f t="shared" si="17"/>
        <v>0.84890282491611313</v>
      </c>
    </row>
    <row r="530" spans="1:25" x14ac:dyDescent="0.25">
      <c r="A530" s="1" t="s">
        <v>103</v>
      </c>
      <c r="B530" s="1" t="s">
        <v>40</v>
      </c>
      <c r="C530" s="1" t="s">
        <v>27</v>
      </c>
      <c r="D530" s="1">
        <v>175320884.59999993</v>
      </c>
      <c r="E530" s="1">
        <v>0</v>
      </c>
      <c r="F530" s="1">
        <v>0</v>
      </c>
      <c r="G530" s="1">
        <v>43966250.499054253</v>
      </c>
      <c r="H530" s="1">
        <v>43966250.499054253</v>
      </c>
      <c r="I530" s="1">
        <v>0</v>
      </c>
      <c r="J530" s="1">
        <v>0</v>
      </c>
      <c r="K530" s="1">
        <v>0</v>
      </c>
      <c r="L530" s="1">
        <v>0</v>
      </c>
      <c r="M530" s="1">
        <v>45428097.537854642</v>
      </c>
      <c r="N530" s="1">
        <v>45428097.537854642</v>
      </c>
      <c r="O530" s="1">
        <v>32838658.525236432</v>
      </c>
      <c r="P530" s="1">
        <v>32838658.525236432</v>
      </c>
      <c r="Q530" s="1">
        <v>47981357.704521306</v>
      </c>
      <c r="R530" s="1">
        <v>47981357.704521306</v>
      </c>
      <c r="S530" s="1">
        <v>2553260.1666666665</v>
      </c>
      <c r="T530" s="1">
        <v>2553260.1666666665</v>
      </c>
      <c r="U530" s="1">
        <v>0</v>
      </c>
      <c r="V530" s="1">
        <v>0</v>
      </c>
      <c r="W530" s="4">
        <f t="shared" ref="W530:X593" si="18">U530+S530+Q530+O530+M530+K530+I530+G530+E530</f>
        <v>172767624.43333328</v>
      </c>
      <c r="X530" s="4">
        <f t="shared" si="18"/>
        <v>172767624.43333328</v>
      </c>
      <c r="Y530" s="5">
        <f t="shared" si="17"/>
        <v>0.98543664565409872</v>
      </c>
    </row>
    <row r="531" spans="1:25" x14ac:dyDescent="0.25">
      <c r="A531" s="1" t="s">
        <v>103</v>
      </c>
      <c r="B531" s="1" t="s">
        <v>40</v>
      </c>
      <c r="C531" s="1" t="s">
        <v>27</v>
      </c>
      <c r="D531" s="1">
        <v>23742999</v>
      </c>
      <c r="E531" s="1">
        <v>0</v>
      </c>
      <c r="F531" s="1">
        <v>0</v>
      </c>
      <c r="G531" s="1">
        <v>0</v>
      </c>
      <c r="H531" s="1">
        <v>0</v>
      </c>
      <c r="I531" s="1">
        <v>15742999</v>
      </c>
      <c r="J531" s="1">
        <v>15742999</v>
      </c>
      <c r="K531" s="1">
        <v>0</v>
      </c>
      <c r="L531" s="1">
        <v>0</v>
      </c>
      <c r="M531" s="1">
        <v>3000000</v>
      </c>
      <c r="N531" s="1">
        <v>3000000</v>
      </c>
      <c r="O531" s="1">
        <v>2000000</v>
      </c>
      <c r="P531" s="1">
        <v>2000000</v>
      </c>
      <c r="Q531" s="1">
        <v>3000000</v>
      </c>
      <c r="R531" s="1">
        <v>3000000</v>
      </c>
      <c r="S531" s="1">
        <v>0</v>
      </c>
      <c r="T531" s="1">
        <v>0</v>
      </c>
      <c r="U531" s="1">
        <v>0</v>
      </c>
      <c r="V531" s="1">
        <v>0</v>
      </c>
      <c r="W531" s="4">
        <f t="shared" si="18"/>
        <v>23742999</v>
      </c>
      <c r="X531" s="4">
        <f t="shared" si="18"/>
        <v>23742999</v>
      </c>
      <c r="Y531" s="5">
        <f t="shared" si="17"/>
        <v>1</v>
      </c>
    </row>
    <row r="532" spans="1:25" x14ac:dyDescent="0.25">
      <c r="A532" s="1" t="s">
        <v>103</v>
      </c>
      <c r="B532" s="1" t="s">
        <v>43</v>
      </c>
      <c r="C532" s="1" t="s">
        <v>31</v>
      </c>
      <c r="D532" s="1">
        <v>8468288</v>
      </c>
      <c r="E532" s="1">
        <v>491909.31148473057</v>
      </c>
      <c r="F532" s="1">
        <v>491909.31148473057</v>
      </c>
      <c r="G532" s="1">
        <v>614886.63935591315</v>
      </c>
      <c r="H532" s="1">
        <v>614886.63935591315</v>
      </c>
      <c r="I532" s="1">
        <v>614886.63935591315</v>
      </c>
      <c r="J532" s="1">
        <v>614886.63935591315</v>
      </c>
      <c r="K532" s="1">
        <v>614886.63935591315</v>
      </c>
      <c r="L532" s="1">
        <v>614886.63935591315</v>
      </c>
      <c r="M532" s="1">
        <v>457214.07100654399</v>
      </c>
      <c r="N532" s="1">
        <v>457214.07100654399</v>
      </c>
      <c r="O532" s="1">
        <v>381011.72583878669</v>
      </c>
      <c r="P532" s="1">
        <v>381011.72583878669</v>
      </c>
      <c r="Q532" s="1">
        <v>472204.09658333455</v>
      </c>
      <c r="R532" s="1">
        <v>472204.09658333455</v>
      </c>
      <c r="S532" s="1">
        <v>533416.4161743013</v>
      </c>
      <c r="T532" s="1">
        <v>533416.4161743013</v>
      </c>
      <c r="U532" s="1">
        <v>533416.4161743013</v>
      </c>
      <c r="V532" s="1">
        <v>533416.4161743013</v>
      </c>
      <c r="W532" s="4">
        <f t="shared" si="18"/>
        <v>4713831.9553297386</v>
      </c>
      <c r="X532" s="4">
        <f t="shared" si="18"/>
        <v>4713831.9553297386</v>
      </c>
      <c r="Y532" s="5">
        <f t="shared" si="17"/>
        <v>0.55664521038133552</v>
      </c>
    </row>
    <row r="533" spans="1:25" x14ac:dyDescent="0.25">
      <c r="A533" s="1" t="s">
        <v>103</v>
      </c>
      <c r="B533" s="1" t="s">
        <v>64</v>
      </c>
      <c r="C533" s="1" t="s">
        <v>23</v>
      </c>
      <c r="D533" s="1">
        <v>10307256.715883119</v>
      </c>
      <c r="E533" s="1">
        <v>680278.94324828591</v>
      </c>
      <c r="F533" s="1">
        <v>680278.94324828591</v>
      </c>
      <c r="G533" s="1">
        <v>850348.67906035739</v>
      </c>
      <c r="H533" s="1">
        <v>850348.67906035739</v>
      </c>
      <c r="I533" s="1">
        <v>850348.67906035739</v>
      </c>
      <c r="J533" s="1">
        <v>850348.67906035739</v>
      </c>
      <c r="K533" s="1">
        <v>850348.67906035739</v>
      </c>
      <c r="L533" s="1">
        <v>850348.67906035739</v>
      </c>
      <c r="M533" s="1">
        <v>517939.64997312671</v>
      </c>
      <c r="N533" s="1">
        <v>517939.64997312671</v>
      </c>
      <c r="O533" s="1">
        <v>431616.37497760559</v>
      </c>
      <c r="P533" s="1">
        <v>431616.37497760559</v>
      </c>
      <c r="Q533" s="1">
        <v>604262.92496864777</v>
      </c>
      <c r="R533" s="1">
        <v>604262.92496864777</v>
      </c>
      <c r="S533" s="1">
        <v>604262.92496864777</v>
      </c>
      <c r="T533" s="1">
        <v>604262.92496864777</v>
      </c>
      <c r="U533" s="1">
        <v>604262.92496864777</v>
      </c>
      <c r="V533" s="1">
        <v>604262.92496864777</v>
      </c>
      <c r="W533" s="4">
        <f t="shared" si="18"/>
        <v>5993669.7802860336</v>
      </c>
      <c r="X533" s="4">
        <f t="shared" si="18"/>
        <v>5993669.7802860336</v>
      </c>
      <c r="Y533" s="5">
        <f t="shared" si="17"/>
        <v>0.58150000000000002</v>
      </c>
    </row>
    <row r="534" spans="1:25" x14ac:dyDescent="0.25">
      <c r="A534" s="1" t="s">
        <v>103</v>
      </c>
      <c r="B534" s="1" t="s">
        <v>65</v>
      </c>
      <c r="C534" s="1" t="s">
        <v>31</v>
      </c>
      <c r="D534" s="1">
        <v>6260892.9759038519</v>
      </c>
      <c r="E534" s="1">
        <v>413218.93640965427</v>
      </c>
      <c r="F534" s="1">
        <v>413218.93640965427</v>
      </c>
      <c r="G534" s="1">
        <v>516523.67051206779</v>
      </c>
      <c r="H534" s="1">
        <v>516523.67051206779</v>
      </c>
      <c r="I534" s="1">
        <v>516523.67051206779</v>
      </c>
      <c r="J534" s="1">
        <v>516523.67051206779</v>
      </c>
      <c r="K534" s="1">
        <v>516523.67051206779</v>
      </c>
      <c r="L534" s="1">
        <v>516523.67051206779</v>
      </c>
      <c r="M534" s="1">
        <v>314609.87203916855</v>
      </c>
      <c r="N534" s="1">
        <v>314609.87203916855</v>
      </c>
      <c r="O534" s="1">
        <v>262174.89336597378</v>
      </c>
      <c r="P534" s="1">
        <v>262174.89336597378</v>
      </c>
      <c r="Q534" s="1">
        <v>367044.85071236326</v>
      </c>
      <c r="R534" s="1">
        <v>367044.85071236326</v>
      </c>
      <c r="S534" s="1">
        <v>367044.85071236326</v>
      </c>
      <c r="T534" s="1">
        <v>367044.85071236326</v>
      </c>
      <c r="U534" s="1">
        <v>367044.85071236326</v>
      </c>
      <c r="V534" s="1">
        <v>367044.85071236326</v>
      </c>
      <c r="W534" s="4">
        <f t="shared" si="18"/>
        <v>3640709.2654880895</v>
      </c>
      <c r="X534" s="4">
        <f t="shared" si="18"/>
        <v>3640709.2654880895</v>
      </c>
      <c r="Y534" s="5">
        <f t="shared" si="17"/>
        <v>0.58149999999999991</v>
      </c>
    </row>
    <row r="535" spans="1:25" x14ac:dyDescent="0.25">
      <c r="A535" s="1" t="s">
        <v>103</v>
      </c>
      <c r="B535" s="1" t="s">
        <v>44</v>
      </c>
      <c r="C535" s="1" t="s">
        <v>45</v>
      </c>
      <c r="D535" s="1">
        <v>8217546.83985529</v>
      </c>
      <c r="E535" s="1">
        <v>542358.09143044928</v>
      </c>
      <c r="F535" s="1">
        <v>542358.09143044928</v>
      </c>
      <c r="G535" s="1">
        <v>677947.61428806151</v>
      </c>
      <c r="H535" s="1">
        <v>677947.61428806151</v>
      </c>
      <c r="I535" s="1">
        <v>677947.61428806151</v>
      </c>
      <c r="J535" s="1">
        <v>677947.61428806151</v>
      </c>
      <c r="K535" s="1">
        <v>677947.61428806151</v>
      </c>
      <c r="L535" s="1">
        <v>677947.61428806151</v>
      </c>
      <c r="M535" s="1">
        <v>412931.72870272817</v>
      </c>
      <c r="N535" s="1">
        <v>412931.72870272817</v>
      </c>
      <c r="O535" s="1">
        <v>344109.77391894016</v>
      </c>
      <c r="P535" s="1">
        <v>344109.77391894016</v>
      </c>
      <c r="Q535" s="1">
        <v>481753.68348651618</v>
      </c>
      <c r="R535" s="1">
        <v>481753.68348651618</v>
      </c>
      <c r="S535" s="1">
        <v>481753.68348651618</v>
      </c>
      <c r="T535" s="1">
        <v>481753.68348651618</v>
      </c>
      <c r="U535" s="1">
        <v>481753.68348651618</v>
      </c>
      <c r="V535" s="1">
        <v>481753.68348651618</v>
      </c>
      <c r="W535" s="4">
        <f t="shared" si="18"/>
        <v>4778503.4873758508</v>
      </c>
      <c r="X535" s="4">
        <f t="shared" si="18"/>
        <v>4778503.4873758508</v>
      </c>
      <c r="Y535" s="5">
        <f t="shared" si="17"/>
        <v>0.58149999999999991</v>
      </c>
    </row>
    <row r="536" spans="1:25" x14ac:dyDescent="0.25">
      <c r="A536" s="1" t="s">
        <v>103</v>
      </c>
      <c r="B536" s="1" t="s">
        <v>46</v>
      </c>
      <c r="C536" s="1" t="s">
        <v>22</v>
      </c>
      <c r="D536" s="1">
        <v>60386895.803382836</v>
      </c>
      <c r="E536" s="1">
        <v>3989268.4829175198</v>
      </c>
      <c r="F536" s="1">
        <v>3989268.4829175198</v>
      </c>
      <c r="G536" s="1">
        <v>4986585.6036468996</v>
      </c>
      <c r="H536" s="1">
        <v>4986585.6036468996</v>
      </c>
      <c r="I536" s="1">
        <v>4986585.6036468996</v>
      </c>
      <c r="J536" s="1">
        <v>4986585.6036468996</v>
      </c>
      <c r="K536" s="1">
        <v>4986585.6036468996</v>
      </c>
      <c r="L536" s="1">
        <v>4986585.6036468996</v>
      </c>
      <c r="M536" s="1">
        <v>3128918.5150738754</v>
      </c>
      <c r="N536" s="1">
        <v>3128918.5150738754</v>
      </c>
      <c r="O536" s="1">
        <v>2544403.6664122669</v>
      </c>
      <c r="P536" s="1">
        <v>2544403.6664122669</v>
      </c>
      <c r="Q536" s="1">
        <v>3522568.9248928344</v>
      </c>
      <c r="R536" s="1">
        <v>3522568.9248928344</v>
      </c>
      <c r="S536" s="1">
        <v>3522568.9248928344</v>
      </c>
      <c r="T536" s="1">
        <v>3522568.9248928344</v>
      </c>
      <c r="U536" s="1">
        <v>3522568.9248928344</v>
      </c>
      <c r="V536" s="1">
        <v>3522568.9248928344</v>
      </c>
      <c r="W536" s="4">
        <f t="shared" si="18"/>
        <v>35190054.250022866</v>
      </c>
      <c r="X536" s="4">
        <f t="shared" si="18"/>
        <v>35190054.250022866</v>
      </c>
      <c r="Y536" s="5">
        <f t="shared" si="17"/>
        <v>0.58274322238056719</v>
      </c>
    </row>
    <row r="537" spans="1:25" x14ac:dyDescent="0.25">
      <c r="A537" s="1" t="s">
        <v>103</v>
      </c>
      <c r="B537" s="1" t="s">
        <v>66</v>
      </c>
      <c r="C537" s="1" t="s">
        <v>24</v>
      </c>
      <c r="D537" s="1">
        <v>306931615.3736344</v>
      </c>
      <c r="E537" s="1">
        <v>25321858.268324841</v>
      </c>
      <c r="F537" s="1">
        <v>25321858.268324841</v>
      </c>
      <c r="G537" s="1">
        <v>25321858.268324841</v>
      </c>
      <c r="H537" s="1">
        <v>25321858.268324841</v>
      </c>
      <c r="I537" s="1">
        <v>25321858.268324841</v>
      </c>
      <c r="J537" s="1">
        <v>25321858.268324841</v>
      </c>
      <c r="K537" s="1">
        <v>25321858.268324841</v>
      </c>
      <c r="L537" s="1">
        <v>25321858.268324841</v>
      </c>
      <c r="M537" s="1">
        <v>36023109.926700637</v>
      </c>
      <c r="N537" s="1">
        <v>36023109.926700637</v>
      </c>
      <c r="O537" s="1">
        <v>25577634</v>
      </c>
      <c r="P537" s="1">
        <v>25577634</v>
      </c>
      <c r="Q537" s="1">
        <v>25000000</v>
      </c>
      <c r="R537" s="1">
        <v>25000000</v>
      </c>
      <c r="S537" s="1">
        <v>25000000</v>
      </c>
      <c r="T537" s="1">
        <v>25000000</v>
      </c>
      <c r="U537" s="1">
        <v>25000000</v>
      </c>
      <c r="V537" s="1">
        <v>25000000</v>
      </c>
      <c r="W537" s="4">
        <f t="shared" si="18"/>
        <v>237888177.00000006</v>
      </c>
      <c r="X537" s="4">
        <f t="shared" si="18"/>
        <v>237888177.00000006</v>
      </c>
      <c r="Y537" s="5">
        <f t="shared" si="17"/>
        <v>0.77505269931353837</v>
      </c>
    </row>
    <row r="538" spans="1:25" x14ac:dyDescent="0.25">
      <c r="A538" s="1" t="s">
        <v>103</v>
      </c>
      <c r="B538" s="1" t="s">
        <v>67</v>
      </c>
      <c r="C538" s="1" t="s">
        <v>68</v>
      </c>
      <c r="D538" s="1">
        <v>5916750.6585043678</v>
      </c>
      <c r="E538" s="1">
        <v>390505.54346128833</v>
      </c>
      <c r="F538" s="1">
        <v>390505.54346128833</v>
      </c>
      <c r="G538" s="1">
        <v>488131.92932661035</v>
      </c>
      <c r="H538" s="1">
        <v>488131.92932661035</v>
      </c>
      <c r="I538" s="1">
        <v>488131.92932661035</v>
      </c>
      <c r="J538" s="1">
        <v>488131.92932661035</v>
      </c>
      <c r="K538" s="1">
        <v>488131.92932661035</v>
      </c>
      <c r="L538" s="1">
        <v>488131.92932661035</v>
      </c>
      <c r="M538" s="1">
        <v>307671.03424222715</v>
      </c>
      <c r="N538" s="1">
        <v>307671.03424222715</v>
      </c>
      <c r="O538" s="1">
        <v>246531.277437682</v>
      </c>
      <c r="P538" s="1">
        <v>246531.277437682</v>
      </c>
      <c r="Q538" s="1">
        <v>345143.78841275477</v>
      </c>
      <c r="R538" s="1">
        <v>345143.78841275477</v>
      </c>
      <c r="S538" s="1">
        <v>345143.78841275477</v>
      </c>
      <c r="T538" s="1">
        <v>345143.78841275477</v>
      </c>
      <c r="U538" s="1">
        <v>345143.78841275477</v>
      </c>
      <c r="V538" s="1">
        <v>345143.78841275477</v>
      </c>
      <c r="W538" s="4">
        <f t="shared" si="18"/>
        <v>3444535.0083592925</v>
      </c>
      <c r="X538" s="4">
        <f t="shared" si="18"/>
        <v>3444535.0083592925</v>
      </c>
      <c r="Y538" s="5">
        <f t="shared" si="17"/>
        <v>0.58216666666666661</v>
      </c>
    </row>
    <row r="539" spans="1:25" x14ac:dyDescent="0.25">
      <c r="A539" s="1" t="s">
        <v>103</v>
      </c>
      <c r="B539" s="1" t="s">
        <v>69</v>
      </c>
      <c r="C539" s="1" t="s">
        <v>28</v>
      </c>
      <c r="D539" s="1">
        <v>7207231.8363225814</v>
      </c>
      <c r="E539" s="1">
        <v>475677.30119729042</v>
      </c>
      <c r="F539" s="1">
        <v>475677.30119729042</v>
      </c>
      <c r="G539" s="1">
        <v>594596.62649661303</v>
      </c>
      <c r="H539" s="1">
        <v>594596.62649661303</v>
      </c>
      <c r="I539" s="1">
        <v>594596.62649661303</v>
      </c>
      <c r="J539" s="1">
        <v>594596.62649661303</v>
      </c>
      <c r="K539" s="1">
        <v>594596.62649661303</v>
      </c>
      <c r="L539" s="1">
        <v>594596.62649661303</v>
      </c>
      <c r="M539" s="1">
        <v>362163.39977520966</v>
      </c>
      <c r="N539" s="1">
        <v>362163.39977520966</v>
      </c>
      <c r="O539" s="1">
        <v>301802.83314600808</v>
      </c>
      <c r="P539" s="1">
        <v>301802.83314600808</v>
      </c>
      <c r="Q539" s="1">
        <v>422523.9664044113</v>
      </c>
      <c r="R539" s="1">
        <v>422523.9664044113</v>
      </c>
      <c r="S539" s="1">
        <v>422523.9664044113</v>
      </c>
      <c r="T539" s="1">
        <v>422523.9664044113</v>
      </c>
      <c r="U539" s="1">
        <v>422523.9664044113</v>
      </c>
      <c r="V539" s="1">
        <v>422523.9664044113</v>
      </c>
      <c r="W539" s="4">
        <f t="shared" si="18"/>
        <v>4191005.312821581</v>
      </c>
      <c r="X539" s="4">
        <f t="shared" si="18"/>
        <v>4191005.312821581</v>
      </c>
      <c r="Y539" s="5">
        <f t="shared" si="17"/>
        <v>0.58150000000000002</v>
      </c>
    </row>
    <row r="540" spans="1:25" x14ac:dyDescent="0.25">
      <c r="A540" s="1" t="s">
        <v>103</v>
      </c>
      <c r="B540" s="1" t="s">
        <v>70</v>
      </c>
      <c r="C540" s="1" t="s">
        <v>23</v>
      </c>
      <c r="D540" s="1">
        <v>8268750.0182812503</v>
      </c>
      <c r="E540" s="1">
        <v>545737.50120656262</v>
      </c>
      <c r="F540" s="1">
        <v>545737.50120656262</v>
      </c>
      <c r="G540" s="1">
        <v>682171.87650820322</v>
      </c>
      <c r="H540" s="1">
        <v>682171.87650820322</v>
      </c>
      <c r="I540" s="1">
        <v>682171.87650820322</v>
      </c>
      <c r="J540" s="1">
        <v>682171.87650820322</v>
      </c>
      <c r="K540" s="1">
        <v>682171.87650820322</v>
      </c>
      <c r="L540" s="1">
        <v>682171.87650820322</v>
      </c>
      <c r="M540" s="1">
        <v>415504.68841863284</v>
      </c>
      <c r="N540" s="1">
        <v>415504.68841863284</v>
      </c>
      <c r="O540" s="1">
        <v>346253.90701552737</v>
      </c>
      <c r="P540" s="1">
        <v>346253.90701552737</v>
      </c>
      <c r="Q540" s="1">
        <v>484755.46982173825</v>
      </c>
      <c r="R540" s="1">
        <v>484755.46982173825</v>
      </c>
      <c r="S540" s="1">
        <v>484755.46982173825</v>
      </c>
      <c r="T540" s="1">
        <v>484755.46982173825</v>
      </c>
      <c r="U540" s="1">
        <v>484755.46982173825</v>
      </c>
      <c r="V540" s="1">
        <v>484755.46982173825</v>
      </c>
      <c r="W540" s="4">
        <f t="shared" si="18"/>
        <v>4808278.135630548</v>
      </c>
      <c r="X540" s="4">
        <f t="shared" si="18"/>
        <v>4808278.135630548</v>
      </c>
      <c r="Y540" s="5">
        <f t="shared" si="17"/>
        <v>0.58150000000000013</v>
      </c>
    </row>
    <row r="541" spans="1:25" x14ac:dyDescent="0.25">
      <c r="A541" s="1" t="s">
        <v>103</v>
      </c>
      <c r="B541" s="1" t="s">
        <v>71</v>
      </c>
      <c r="C541" s="1" t="s">
        <v>29</v>
      </c>
      <c r="D541" s="1">
        <v>7593845.8211538428</v>
      </c>
      <c r="E541" s="1">
        <v>501193.82419615373</v>
      </c>
      <c r="F541" s="1">
        <v>501193.82419615373</v>
      </c>
      <c r="G541" s="1">
        <v>626492.28024519212</v>
      </c>
      <c r="H541" s="1">
        <v>626492.28024519212</v>
      </c>
      <c r="I541" s="1">
        <v>626492.28024519212</v>
      </c>
      <c r="J541" s="1">
        <v>626492.28024519212</v>
      </c>
      <c r="K541" s="1">
        <v>626492.28024519212</v>
      </c>
      <c r="L541" s="1">
        <v>626492.28024519212</v>
      </c>
      <c r="M541" s="1">
        <v>381590.75251298054</v>
      </c>
      <c r="N541" s="1">
        <v>381590.75251298054</v>
      </c>
      <c r="O541" s="1">
        <v>317992.29376081715</v>
      </c>
      <c r="P541" s="1">
        <v>317992.29376081715</v>
      </c>
      <c r="Q541" s="1">
        <v>445189.211265144</v>
      </c>
      <c r="R541" s="1">
        <v>445189.211265144</v>
      </c>
      <c r="S541" s="1">
        <v>445189.211265144</v>
      </c>
      <c r="T541" s="1">
        <v>445189.211265144</v>
      </c>
      <c r="U541" s="1">
        <v>445189.211265144</v>
      </c>
      <c r="V541" s="1">
        <v>445189.211265144</v>
      </c>
      <c r="W541" s="4">
        <f t="shared" si="18"/>
        <v>4415821.3450009599</v>
      </c>
      <c r="X541" s="4">
        <f t="shared" si="18"/>
        <v>4415821.3450009599</v>
      </c>
      <c r="Y541" s="5">
        <f t="shared" si="17"/>
        <v>0.58150000000000002</v>
      </c>
    </row>
    <row r="542" spans="1:25" x14ac:dyDescent="0.25">
      <c r="A542" s="1" t="s">
        <v>103</v>
      </c>
      <c r="B542" s="1" t="s">
        <v>72</v>
      </c>
      <c r="C542" s="1" t="s">
        <v>73</v>
      </c>
      <c r="D542" s="1">
        <v>5080583.8749789661</v>
      </c>
      <c r="E542" s="1">
        <v>335318.53574861179</v>
      </c>
      <c r="F542" s="1">
        <v>335318.53574861179</v>
      </c>
      <c r="G542" s="1">
        <v>419148.1696857647</v>
      </c>
      <c r="H542" s="1">
        <v>419148.1696857647</v>
      </c>
      <c r="I542" s="1">
        <v>419148.1696857647</v>
      </c>
      <c r="J542" s="1">
        <v>419148.1696857647</v>
      </c>
      <c r="K542" s="1">
        <v>419148.1696857647</v>
      </c>
      <c r="L542" s="1">
        <v>419148.1696857647</v>
      </c>
      <c r="M542" s="1">
        <v>255299.33971769304</v>
      </c>
      <c r="N542" s="1">
        <v>255299.33971769304</v>
      </c>
      <c r="O542" s="1">
        <v>212749.4497647442</v>
      </c>
      <c r="P542" s="1">
        <v>212749.4497647442</v>
      </c>
      <c r="Q542" s="1">
        <v>297849.22967064189</v>
      </c>
      <c r="R542" s="1">
        <v>297849.22967064189</v>
      </c>
      <c r="S542" s="1">
        <v>297849.22967064189</v>
      </c>
      <c r="T542" s="1">
        <v>297849.22967064189</v>
      </c>
      <c r="U542" s="1">
        <v>297849.22967064189</v>
      </c>
      <c r="V542" s="1">
        <v>297849.22967064189</v>
      </c>
      <c r="W542" s="4">
        <f t="shared" si="18"/>
        <v>2954359.5233002687</v>
      </c>
      <c r="X542" s="4">
        <f t="shared" si="18"/>
        <v>2954359.5233002687</v>
      </c>
      <c r="Y542" s="5">
        <f t="shared" si="17"/>
        <v>0.58150000000000002</v>
      </c>
    </row>
    <row r="543" spans="1:25" x14ac:dyDescent="0.25">
      <c r="A543" s="1" t="s">
        <v>103</v>
      </c>
      <c r="B543" s="1" t="s">
        <v>48</v>
      </c>
      <c r="C543" s="1" t="s">
        <v>49</v>
      </c>
      <c r="D543" s="1">
        <v>4378888.1555991862</v>
      </c>
      <c r="E543" s="1">
        <v>289006.61826954631</v>
      </c>
      <c r="F543" s="1">
        <v>289006.61826954631</v>
      </c>
      <c r="G543" s="1">
        <v>361258.27283693285</v>
      </c>
      <c r="H543" s="1">
        <v>361258.27283693285</v>
      </c>
      <c r="I543" s="1">
        <v>361258.27283693285</v>
      </c>
      <c r="J543" s="1">
        <v>361258.27283693285</v>
      </c>
      <c r="K543" s="1">
        <v>361258.27283693285</v>
      </c>
      <c r="L543" s="1">
        <v>361258.27283693285</v>
      </c>
      <c r="M543" s="1">
        <v>220039.12981885907</v>
      </c>
      <c r="N543" s="1">
        <v>220039.12981885907</v>
      </c>
      <c r="O543" s="1">
        <v>183365.94151571591</v>
      </c>
      <c r="P543" s="1">
        <v>183365.94151571591</v>
      </c>
      <c r="Q543" s="1">
        <v>256712.31812200227</v>
      </c>
      <c r="R543" s="1">
        <v>256712.31812200227</v>
      </c>
      <c r="S543" s="1">
        <v>256712.31812200227</v>
      </c>
      <c r="T543" s="1">
        <v>256712.31812200227</v>
      </c>
      <c r="U543" s="1">
        <v>256712.31812200227</v>
      </c>
      <c r="V543" s="1">
        <v>256712.31812200227</v>
      </c>
      <c r="W543" s="4">
        <f t="shared" si="18"/>
        <v>2546323.4624809269</v>
      </c>
      <c r="X543" s="4">
        <f t="shared" si="18"/>
        <v>2546323.4624809269</v>
      </c>
      <c r="Y543" s="5">
        <f t="shared" si="17"/>
        <v>0.58150000000000002</v>
      </c>
    </row>
    <row r="544" spans="1:25" x14ac:dyDescent="0.25">
      <c r="A544" s="1" t="s">
        <v>103</v>
      </c>
      <c r="B544" s="1" t="s">
        <v>53</v>
      </c>
      <c r="C544" s="1" t="s">
        <v>30</v>
      </c>
      <c r="D544" s="1">
        <v>3286014.9262045384</v>
      </c>
      <c r="E544" s="1">
        <v>216876.98512949955</v>
      </c>
      <c r="F544" s="1">
        <v>216876.98512949955</v>
      </c>
      <c r="G544" s="1">
        <v>271096.23141187441</v>
      </c>
      <c r="H544" s="1">
        <v>271096.23141187441</v>
      </c>
      <c r="I544" s="1">
        <v>271096.23141187441</v>
      </c>
      <c r="J544" s="1">
        <v>271096.23141187441</v>
      </c>
      <c r="K544" s="1">
        <v>271096.23141187441</v>
      </c>
      <c r="L544" s="1">
        <v>271096.23141187441</v>
      </c>
      <c r="M544" s="1">
        <v>165122.25004177805</v>
      </c>
      <c r="N544" s="1">
        <v>165122.25004177805</v>
      </c>
      <c r="O544" s="1">
        <v>137601.87503481505</v>
      </c>
      <c r="P544" s="1">
        <v>137601.87503481505</v>
      </c>
      <c r="Q544" s="1">
        <v>192642.62504874106</v>
      </c>
      <c r="R544" s="1">
        <v>192642.62504874106</v>
      </c>
      <c r="S544" s="1">
        <v>192642.62504874106</v>
      </c>
      <c r="T544" s="1">
        <v>192642.62504874106</v>
      </c>
      <c r="U544" s="1">
        <v>192642.62504874106</v>
      </c>
      <c r="V544" s="1">
        <v>192642.62504874106</v>
      </c>
      <c r="W544" s="4">
        <f t="shared" si="18"/>
        <v>1910817.6795879391</v>
      </c>
      <c r="X544" s="4">
        <f t="shared" si="18"/>
        <v>1910817.6795879391</v>
      </c>
      <c r="Y544" s="5">
        <f t="shared" si="17"/>
        <v>0.58150000000000002</v>
      </c>
    </row>
    <row r="545" spans="1:25" x14ac:dyDescent="0.25">
      <c r="A545" s="1" t="s">
        <v>103</v>
      </c>
      <c r="B545" s="1" t="s">
        <v>74</v>
      </c>
      <c r="C545" s="1" t="s">
        <v>75</v>
      </c>
      <c r="D545" s="1">
        <v>8247209.6129727503</v>
      </c>
      <c r="E545" s="1">
        <v>544315.83445620153</v>
      </c>
      <c r="F545" s="1">
        <v>544315.83445620153</v>
      </c>
      <c r="G545" s="1">
        <v>680394.79307025194</v>
      </c>
      <c r="H545" s="1">
        <v>680394.79307025194</v>
      </c>
      <c r="I545" s="1">
        <v>680394.79307025194</v>
      </c>
      <c r="J545" s="1">
        <v>680394.79307025194</v>
      </c>
      <c r="K545" s="1">
        <v>680394.79307025194</v>
      </c>
      <c r="L545" s="1">
        <v>680394.79307025194</v>
      </c>
      <c r="M545" s="1">
        <v>414422.28305188072</v>
      </c>
      <c r="N545" s="1">
        <v>414422.28305188072</v>
      </c>
      <c r="O545" s="1">
        <v>345351.90254323394</v>
      </c>
      <c r="P545" s="1">
        <v>345351.90254323394</v>
      </c>
      <c r="Q545" s="1">
        <v>483492.66356052749</v>
      </c>
      <c r="R545" s="1">
        <v>483492.66356052749</v>
      </c>
      <c r="S545" s="1">
        <v>483492.66356052749</v>
      </c>
      <c r="T545" s="1">
        <v>483492.66356052749</v>
      </c>
      <c r="U545" s="1">
        <v>483492.66356052749</v>
      </c>
      <c r="V545" s="1">
        <v>483492.66356052749</v>
      </c>
      <c r="W545" s="4">
        <f t="shared" si="18"/>
        <v>4795752.3899436546</v>
      </c>
      <c r="X545" s="4">
        <f t="shared" si="18"/>
        <v>4795752.3899436546</v>
      </c>
      <c r="Y545" s="5">
        <f t="shared" si="17"/>
        <v>0.58150000000000002</v>
      </c>
    </row>
    <row r="546" spans="1:25" x14ac:dyDescent="0.25">
      <c r="A546" s="1" t="s">
        <v>103</v>
      </c>
      <c r="B546" s="1" t="s">
        <v>50</v>
      </c>
      <c r="C546" s="1" t="s">
        <v>25</v>
      </c>
      <c r="D546" s="1">
        <v>4597832.5633791462</v>
      </c>
      <c r="E546" s="1">
        <v>303456.94918302371</v>
      </c>
      <c r="F546" s="1">
        <v>303456.94918302371</v>
      </c>
      <c r="G546" s="1">
        <v>379321.18647877959</v>
      </c>
      <c r="H546" s="1">
        <v>379321.18647877959</v>
      </c>
      <c r="I546" s="1">
        <v>379321.18647877959</v>
      </c>
      <c r="J546" s="1">
        <v>379321.18647877959</v>
      </c>
      <c r="K546" s="1">
        <v>379321.18647877959</v>
      </c>
      <c r="L546" s="1">
        <v>379321.18647877959</v>
      </c>
      <c r="M546" s="1">
        <v>231041.08630980205</v>
      </c>
      <c r="N546" s="1">
        <v>231041.08630980205</v>
      </c>
      <c r="O546" s="1">
        <v>192534.23859150172</v>
      </c>
      <c r="P546" s="1">
        <v>192534.23859150172</v>
      </c>
      <c r="Q546" s="1">
        <v>269547.93402810238</v>
      </c>
      <c r="R546" s="1">
        <v>269547.93402810238</v>
      </c>
      <c r="S546" s="1">
        <v>269547.93402810238</v>
      </c>
      <c r="T546" s="1">
        <v>269547.93402810238</v>
      </c>
      <c r="U546" s="1">
        <v>269547.93402810238</v>
      </c>
      <c r="V546" s="1">
        <v>269547.93402810238</v>
      </c>
      <c r="W546" s="4">
        <f t="shared" si="18"/>
        <v>2673639.6356049734</v>
      </c>
      <c r="X546" s="4">
        <f t="shared" si="18"/>
        <v>2673639.6356049734</v>
      </c>
      <c r="Y546" s="5">
        <f t="shared" si="17"/>
        <v>0.58150000000000002</v>
      </c>
    </row>
    <row r="547" spans="1:25" x14ac:dyDescent="0.25">
      <c r="A547" s="1" t="s">
        <v>104</v>
      </c>
      <c r="B547" s="1" t="s">
        <v>59</v>
      </c>
      <c r="C547" s="1" t="s">
        <v>26</v>
      </c>
      <c r="D547" s="1">
        <v>38679285</v>
      </c>
      <c r="E547" s="1">
        <v>3810367.4891579226</v>
      </c>
      <c r="F547" s="1">
        <v>3810367.4891579226</v>
      </c>
      <c r="G547" s="1">
        <v>4762959.3614474032</v>
      </c>
      <c r="H547" s="1">
        <v>4762959.3614474032</v>
      </c>
      <c r="I547" s="1">
        <v>4762959.3614474032</v>
      </c>
      <c r="J547" s="1">
        <v>4762959.3614474032</v>
      </c>
      <c r="K547" s="1">
        <v>4762959.3614474032</v>
      </c>
      <c r="L547" s="1">
        <v>4762959.3614474032</v>
      </c>
      <c r="M547" s="1">
        <v>2453430.9442762993</v>
      </c>
      <c r="N547" s="1">
        <v>2453430.9442762993</v>
      </c>
      <c r="O547" s="1">
        <v>2453430.9442762993</v>
      </c>
      <c r="P547" s="1">
        <v>2453430.9442762993</v>
      </c>
      <c r="Q547" s="1">
        <v>2453430.9442762993</v>
      </c>
      <c r="R547" s="1">
        <v>2453430.9442762993</v>
      </c>
      <c r="S547" s="1">
        <v>2453430.9442762993</v>
      </c>
      <c r="T547" s="1">
        <v>2453430.9442762993</v>
      </c>
      <c r="U547" s="1">
        <v>2453430.9442762993</v>
      </c>
      <c r="V547" s="1">
        <v>2453430.9442762993</v>
      </c>
      <c r="W547" s="4">
        <f t="shared" si="18"/>
        <v>30366400.294881627</v>
      </c>
      <c r="X547" s="4">
        <f t="shared" si="18"/>
        <v>30366400.294881627</v>
      </c>
      <c r="Y547" s="5">
        <f t="shared" si="17"/>
        <v>0.7850817380642281</v>
      </c>
    </row>
    <row r="548" spans="1:25" x14ac:dyDescent="0.25">
      <c r="A548" s="1" t="s">
        <v>104</v>
      </c>
      <c r="B548" s="1" t="s">
        <v>59</v>
      </c>
      <c r="C548" s="1" t="s">
        <v>26</v>
      </c>
      <c r="D548" s="1">
        <v>19053556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9526778</v>
      </c>
      <c r="N548" s="1">
        <v>9526778</v>
      </c>
      <c r="O548" s="1">
        <v>9526778</v>
      </c>
      <c r="P548" s="1">
        <v>9526778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4">
        <f t="shared" si="18"/>
        <v>19053556</v>
      </c>
      <c r="X548" s="4">
        <f t="shared" si="18"/>
        <v>19053556</v>
      </c>
      <c r="Y548" s="5">
        <f t="shared" si="17"/>
        <v>1</v>
      </c>
    </row>
    <row r="549" spans="1:25" x14ac:dyDescent="0.25">
      <c r="A549" s="1" t="s">
        <v>104</v>
      </c>
      <c r="B549" s="1" t="s">
        <v>33</v>
      </c>
      <c r="C549" s="1" t="s">
        <v>34</v>
      </c>
      <c r="D549" s="1">
        <v>60000000</v>
      </c>
      <c r="E549" s="1">
        <v>0</v>
      </c>
      <c r="F549" s="1">
        <v>0</v>
      </c>
      <c r="G549" s="1">
        <v>12000000</v>
      </c>
      <c r="H549" s="1">
        <v>12000000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18000000</v>
      </c>
      <c r="P549" s="1">
        <v>18000000</v>
      </c>
      <c r="Q549" s="1">
        <v>0</v>
      </c>
      <c r="R549" s="1">
        <v>0</v>
      </c>
      <c r="S549" s="1">
        <v>18000000</v>
      </c>
      <c r="T549" s="1">
        <v>18000000</v>
      </c>
      <c r="U549" s="1">
        <v>12000000</v>
      </c>
      <c r="V549" s="1">
        <v>12000000</v>
      </c>
      <c r="W549" s="4">
        <f t="shared" si="18"/>
        <v>60000000</v>
      </c>
      <c r="X549" s="4">
        <f t="shared" si="18"/>
        <v>60000000</v>
      </c>
      <c r="Y549" s="5">
        <f t="shared" si="17"/>
        <v>1</v>
      </c>
    </row>
    <row r="550" spans="1:25" x14ac:dyDescent="0.25">
      <c r="A550" s="1" t="s">
        <v>104</v>
      </c>
      <c r="B550" s="1" t="s">
        <v>35</v>
      </c>
      <c r="C550" s="1" t="s">
        <v>34</v>
      </c>
      <c r="D550" s="1">
        <v>150000000</v>
      </c>
      <c r="E550" s="1">
        <v>0</v>
      </c>
      <c r="F550" s="1">
        <v>0</v>
      </c>
      <c r="G550" s="1">
        <v>41250000</v>
      </c>
      <c r="H550" s="1">
        <v>41250000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36250000</v>
      </c>
      <c r="P550" s="1">
        <v>36250000</v>
      </c>
      <c r="Q550" s="1">
        <v>0</v>
      </c>
      <c r="R550" s="1">
        <v>0</v>
      </c>
      <c r="S550" s="1">
        <v>36250000</v>
      </c>
      <c r="T550" s="1">
        <v>36250000</v>
      </c>
      <c r="U550" s="1">
        <v>36250000</v>
      </c>
      <c r="V550" s="1">
        <v>36250000</v>
      </c>
      <c r="W550" s="4">
        <f t="shared" si="18"/>
        <v>150000000</v>
      </c>
      <c r="X550" s="4">
        <f t="shared" si="18"/>
        <v>150000000</v>
      </c>
      <c r="Y550" s="5">
        <f t="shared" si="17"/>
        <v>1</v>
      </c>
    </row>
    <row r="551" spans="1:25" x14ac:dyDescent="0.25">
      <c r="A551" s="1" t="s">
        <v>104</v>
      </c>
      <c r="B551" s="1" t="s">
        <v>38</v>
      </c>
      <c r="C551" s="1" t="s">
        <v>39</v>
      </c>
      <c r="D551" s="1">
        <v>7680232.3130681198</v>
      </c>
      <c r="E551" s="1">
        <v>506895.33266249602</v>
      </c>
      <c r="F551" s="1">
        <v>506895.33266249602</v>
      </c>
      <c r="G551" s="1">
        <v>633619.16582811996</v>
      </c>
      <c r="H551" s="1">
        <v>633619.16582811996</v>
      </c>
      <c r="I551" s="1">
        <v>633619.16582811996</v>
      </c>
      <c r="J551" s="1">
        <v>633619.16582811996</v>
      </c>
      <c r="K551" s="1">
        <v>633619.16582811996</v>
      </c>
      <c r="L551" s="1">
        <v>633619.16582811996</v>
      </c>
      <c r="M551" s="1">
        <v>385931.67373167299</v>
      </c>
      <c r="N551" s="1">
        <v>385931.67373167299</v>
      </c>
      <c r="O551" s="1">
        <v>321609.7281097275</v>
      </c>
      <c r="P551" s="1">
        <v>321609.7281097275</v>
      </c>
      <c r="Q551" s="1">
        <v>450253.61935361847</v>
      </c>
      <c r="R551" s="1">
        <v>450253.61935361847</v>
      </c>
      <c r="S551" s="1">
        <v>450253.61935361847</v>
      </c>
      <c r="T551" s="1">
        <v>450253.61935361847</v>
      </c>
      <c r="U551" s="1">
        <v>450253.61935361847</v>
      </c>
      <c r="V551" s="1">
        <v>450253.61935361847</v>
      </c>
      <c r="W551" s="4">
        <f t="shared" si="18"/>
        <v>4466055.0900491122</v>
      </c>
      <c r="X551" s="4">
        <f t="shared" si="18"/>
        <v>4466055.0900491122</v>
      </c>
      <c r="Y551" s="5">
        <f t="shared" si="17"/>
        <v>0.58150000000000002</v>
      </c>
    </row>
    <row r="552" spans="1:25" x14ac:dyDescent="0.25">
      <c r="A552" s="1" t="s">
        <v>104</v>
      </c>
      <c r="B552" s="1" t="s">
        <v>61</v>
      </c>
      <c r="C552" s="1" t="s">
        <v>34</v>
      </c>
      <c r="D552" s="1">
        <v>85335799</v>
      </c>
      <c r="E552" s="1">
        <v>0</v>
      </c>
      <c r="F552" s="1">
        <v>0</v>
      </c>
      <c r="G552" s="1">
        <v>6826863.9192224061</v>
      </c>
      <c r="H552" s="1">
        <v>6826863.9192224061</v>
      </c>
      <c r="I552" s="1">
        <v>0</v>
      </c>
      <c r="J552" s="1">
        <v>0</v>
      </c>
      <c r="K552" s="1">
        <v>0</v>
      </c>
      <c r="L552" s="1">
        <v>0</v>
      </c>
      <c r="M552" s="1">
        <v>19627233.7701944</v>
      </c>
      <c r="N552" s="1">
        <v>19627233.7701944</v>
      </c>
      <c r="O552" s="1">
        <v>0</v>
      </c>
      <c r="P552" s="1">
        <v>0</v>
      </c>
      <c r="Q552" s="1">
        <v>0</v>
      </c>
      <c r="R552" s="1">
        <v>0</v>
      </c>
      <c r="S552" s="1">
        <v>29440850.655291602</v>
      </c>
      <c r="T552" s="1">
        <v>29440850.655291602</v>
      </c>
      <c r="U552" s="1">
        <v>0</v>
      </c>
      <c r="V552" s="1">
        <v>0</v>
      </c>
      <c r="W552" s="4">
        <f t="shared" si="18"/>
        <v>55894948.344708405</v>
      </c>
      <c r="X552" s="4">
        <f t="shared" si="18"/>
        <v>55894948.344708405</v>
      </c>
      <c r="Y552" s="5">
        <f t="shared" si="17"/>
        <v>0.65499999999658298</v>
      </c>
    </row>
    <row r="553" spans="1:25" x14ac:dyDescent="0.25">
      <c r="A553" s="1" t="s">
        <v>104</v>
      </c>
      <c r="B553" s="1" t="s">
        <v>62</v>
      </c>
      <c r="C553" s="1" t="s">
        <v>63</v>
      </c>
      <c r="D553" s="1">
        <v>34142857</v>
      </c>
      <c r="E553" s="1">
        <v>14079999.999120001</v>
      </c>
      <c r="F553" s="1">
        <v>14079999.999120001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1240714.2857967855</v>
      </c>
      <c r="N553" s="1">
        <v>1240714.2857967855</v>
      </c>
      <c r="O553" s="1">
        <v>1033928.5714973214</v>
      </c>
      <c r="P553" s="1">
        <v>1033928.5714973214</v>
      </c>
      <c r="Q553" s="1">
        <v>1447500.0000962499</v>
      </c>
      <c r="R553" s="1">
        <v>1447500.0000962499</v>
      </c>
      <c r="S553" s="1">
        <v>1447500.0000962499</v>
      </c>
      <c r="T553" s="1">
        <v>1447500.0000962499</v>
      </c>
      <c r="U553" s="1">
        <v>1447500.0000962499</v>
      </c>
      <c r="V553" s="1">
        <v>1447500.0000962499</v>
      </c>
      <c r="W553" s="4">
        <f t="shared" si="18"/>
        <v>20697142.856702857</v>
      </c>
      <c r="X553" s="4">
        <f t="shared" si="18"/>
        <v>20697142.856702857</v>
      </c>
      <c r="Y553" s="5">
        <f t="shared" si="17"/>
        <v>0.60619247114273</v>
      </c>
    </row>
    <row r="554" spans="1:25" x14ac:dyDescent="0.25">
      <c r="A554" s="1" t="s">
        <v>104</v>
      </c>
      <c r="B554" s="1" t="s">
        <v>40</v>
      </c>
      <c r="C554" s="1" t="s">
        <v>27</v>
      </c>
      <c r="D554" s="1">
        <v>94925514.560000002</v>
      </c>
      <c r="E554" s="1">
        <v>7056892.9199999999</v>
      </c>
      <c r="F554" s="1">
        <v>7056892.9199999999</v>
      </c>
      <c r="G554" s="1">
        <v>5194392.47</v>
      </c>
      <c r="H554" s="1">
        <v>5194392.47</v>
      </c>
      <c r="I554" s="1">
        <v>10889392.92</v>
      </c>
      <c r="J554" s="1">
        <v>10889392.92</v>
      </c>
      <c r="K554" s="1">
        <v>10740892.92</v>
      </c>
      <c r="L554" s="1">
        <v>10740892.92</v>
      </c>
      <c r="M554" s="1">
        <v>6000000.0000000056</v>
      </c>
      <c r="N554" s="1">
        <v>6000000.0000000056</v>
      </c>
      <c r="O554" s="1">
        <v>18049585.840000004</v>
      </c>
      <c r="P554" s="1">
        <v>18049585.840000004</v>
      </c>
      <c r="Q554" s="1">
        <v>9620892.9199999999</v>
      </c>
      <c r="R554" s="1">
        <v>9620892.9199999999</v>
      </c>
      <c r="S554" s="1">
        <v>6693392.9199999999</v>
      </c>
      <c r="T554" s="1">
        <v>6693392.9199999999</v>
      </c>
      <c r="U554" s="1">
        <v>6531892.9199999999</v>
      </c>
      <c r="V554" s="1">
        <v>6531892.9199999999</v>
      </c>
      <c r="W554" s="4">
        <f t="shared" si="18"/>
        <v>80777335.830000013</v>
      </c>
      <c r="X554" s="4">
        <f t="shared" si="18"/>
        <v>80777335.830000013</v>
      </c>
      <c r="Y554" s="5">
        <f t="shared" si="17"/>
        <v>0.85095494298261309</v>
      </c>
    </row>
    <row r="555" spans="1:25" x14ac:dyDescent="0.25">
      <c r="A555" s="1" t="s">
        <v>104</v>
      </c>
      <c r="B555" s="1" t="s">
        <v>40</v>
      </c>
      <c r="C555" s="1" t="s">
        <v>27</v>
      </c>
      <c r="D555" s="1">
        <v>157085000</v>
      </c>
      <c r="E555" s="1">
        <v>28716233.084618688</v>
      </c>
      <c r="F555" s="1">
        <v>28716233.084618688</v>
      </c>
      <c r="G555" s="1">
        <v>0</v>
      </c>
      <c r="H555" s="1">
        <v>0</v>
      </c>
      <c r="I555" s="1">
        <v>3045000</v>
      </c>
      <c r="J555" s="1">
        <v>3045000</v>
      </c>
      <c r="K555" s="1">
        <v>0</v>
      </c>
      <c r="L555" s="1">
        <v>0</v>
      </c>
      <c r="M555" s="1">
        <v>46996412.593267992</v>
      </c>
      <c r="N555" s="1">
        <v>46996412.593267992</v>
      </c>
      <c r="O555" s="1">
        <v>31330941.728845328</v>
      </c>
      <c r="P555" s="1">
        <v>31330941.728845328</v>
      </c>
      <c r="Q555" s="1">
        <v>46996412.593267992</v>
      </c>
      <c r="R555" s="1">
        <v>46996412.593267992</v>
      </c>
      <c r="S555" s="1">
        <v>0</v>
      </c>
      <c r="T555" s="1">
        <v>0</v>
      </c>
      <c r="U555" s="1">
        <v>0</v>
      </c>
      <c r="V555" s="1">
        <v>0</v>
      </c>
      <c r="W555" s="4">
        <f t="shared" si="18"/>
        <v>157085000</v>
      </c>
      <c r="X555" s="4">
        <f t="shared" si="18"/>
        <v>157085000</v>
      </c>
      <c r="Y555" s="5">
        <f t="shared" si="17"/>
        <v>1</v>
      </c>
    </row>
    <row r="556" spans="1:25" x14ac:dyDescent="0.25">
      <c r="A556" s="1" t="s">
        <v>104</v>
      </c>
      <c r="B556" s="1" t="s">
        <v>40</v>
      </c>
      <c r="C556" s="1" t="s">
        <v>27</v>
      </c>
      <c r="D556" s="1">
        <v>26150247</v>
      </c>
      <c r="E556" s="1">
        <v>0</v>
      </c>
      <c r="F556" s="1">
        <v>0</v>
      </c>
      <c r="G556" s="1">
        <v>26150247</v>
      </c>
      <c r="H556" s="1">
        <v>26150247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4">
        <f t="shared" si="18"/>
        <v>26150247</v>
      </c>
      <c r="X556" s="4">
        <f t="shared" si="18"/>
        <v>26150247</v>
      </c>
      <c r="Y556" s="5">
        <f t="shared" si="17"/>
        <v>1</v>
      </c>
    </row>
    <row r="557" spans="1:25" x14ac:dyDescent="0.25">
      <c r="A557" s="1" t="s">
        <v>104</v>
      </c>
      <c r="B557" s="1" t="s">
        <v>43</v>
      </c>
      <c r="C557" s="1" t="s">
        <v>31</v>
      </c>
      <c r="D557" s="1">
        <v>6610163</v>
      </c>
      <c r="E557" s="1">
        <v>383973.81905341399</v>
      </c>
      <c r="F557" s="1">
        <v>383973.81905341399</v>
      </c>
      <c r="G557" s="1">
        <v>479967.27381676744</v>
      </c>
      <c r="H557" s="1">
        <v>479967.27381676744</v>
      </c>
      <c r="I557" s="1">
        <v>479967.27381676744</v>
      </c>
      <c r="J557" s="1">
        <v>479967.27381676744</v>
      </c>
      <c r="K557" s="1">
        <v>479967.27381676744</v>
      </c>
      <c r="L557" s="1">
        <v>479967.27381676744</v>
      </c>
      <c r="M557" s="1">
        <v>356891.4612318555</v>
      </c>
      <c r="N557" s="1">
        <v>356891.4612318555</v>
      </c>
      <c r="O557" s="1">
        <v>297409.55102654628</v>
      </c>
      <c r="P557" s="1">
        <v>297409.55102654628</v>
      </c>
      <c r="Q557" s="1">
        <v>368592.13325289841</v>
      </c>
      <c r="R557" s="1">
        <v>368592.13325289841</v>
      </c>
      <c r="S557" s="1">
        <v>416373.37143716478</v>
      </c>
      <c r="T557" s="1">
        <v>416373.37143716478</v>
      </c>
      <c r="U557" s="1">
        <v>416373.37143716478</v>
      </c>
      <c r="V557" s="1">
        <v>416373.37143716478</v>
      </c>
      <c r="W557" s="4">
        <f t="shared" si="18"/>
        <v>3679515.5288893459</v>
      </c>
      <c r="X557" s="4">
        <f t="shared" si="18"/>
        <v>3679515.5288893459</v>
      </c>
      <c r="Y557" s="5">
        <f t="shared" si="17"/>
        <v>0.55664520358867786</v>
      </c>
    </row>
    <row r="558" spans="1:25" x14ac:dyDescent="0.25">
      <c r="A558" s="1" t="s">
        <v>104</v>
      </c>
      <c r="B558" s="1" t="s">
        <v>64</v>
      </c>
      <c r="C558" s="1" t="s">
        <v>23</v>
      </c>
      <c r="D558" s="1">
        <v>10475866.375297714</v>
      </c>
      <c r="E558" s="1">
        <v>691407.18076964922</v>
      </c>
      <c r="F558" s="1">
        <v>691407.18076964922</v>
      </c>
      <c r="G558" s="1">
        <v>864258.97596206143</v>
      </c>
      <c r="H558" s="1">
        <v>864258.97596206143</v>
      </c>
      <c r="I558" s="1">
        <v>864258.97596206143</v>
      </c>
      <c r="J558" s="1">
        <v>864258.97596206143</v>
      </c>
      <c r="K558" s="1">
        <v>864258.97596206143</v>
      </c>
      <c r="L558" s="1">
        <v>864258.97596206143</v>
      </c>
      <c r="M558" s="1">
        <v>526412.2853587101</v>
      </c>
      <c r="N558" s="1">
        <v>526412.2853587101</v>
      </c>
      <c r="O558" s="1">
        <v>438676.90446559177</v>
      </c>
      <c r="P558" s="1">
        <v>438676.90446559177</v>
      </c>
      <c r="Q558" s="1">
        <v>614147.66625182843</v>
      </c>
      <c r="R558" s="1">
        <v>614147.66625182843</v>
      </c>
      <c r="S558" s="1">
        <v>614147.66625182843</v>
      </c>
      <c r="T558" s="1">
        <v>614147.66625182843</v>
      </c>
      <c r="U558" s="1">
        <v>614147.66625182843</v>
      </c>
      <c r="V558" s="1">
        <v>614147.66625182843</v>
      </c>
      <c r="W558" s="4">
        <f t="shared" si="18"/>
        <v>6091716.2972356211</v>
      </c>
      <c r="X558" s="4">
        <f t="shared" si="18"/>
        <v>6091716.2972356211</v>
      </c>
      <c r="Y558" s="5">
        <f t="shared" si="17"/>
        <v>0.58150000000000002</v>
      </c>
    </row>
    <row r="559" spans="1:25" x14ac:dyDescent="0.25">
      <c r="A559" s="1" t="s">
        <v>104</v>
      </c>
      <c r="B559" s="1" t="s">
        <v>65</v>
      </c>
      <c r="C559" s="1" t="s">
        <v>31</v>
      </c>
      <c r="D559" s="1">
        <v>4940729.3783368235</v>
      </c>
      <c r="E559" s="1">
        <v>326088.13897023041</v>
      </c>
      <c r="F559" s="1">
        <v>326088.13897023041</v>
      </c>
      <c r="G559" s="1">
        <v>407610.17371278798</v>
      </c>
      <c r="H559" s="1">
        <v>407610.17371278798</v>
      </c>
      <c r="I559" s="1">
        <v>407610.17371278798</v>
      </c>
      <c r="J559" s="1">
        <v>407610.17371278798</v>
      </c>
      <c r="K559" s="1">
        <v>407610.17371278798</v>
      </c>
      <c r="L559" s="1">
        <v>407610.17371278798</v>
      </c>
      <c r="M559" s="1">
        <v>248271.65126142537</v>
      </c>
      <c r="N559" s="1">
        <v>248271.65126142537</v>
      </c>
      <c r="O559" s="1">
        <v>206893.04271785449</v>
      </c>
      <c r="P559" s="1">
        <v>206893.04271785449</v>
      </c>
      <c r="Q559" s="1">
        <v>289650.25980499625</v>
      </c>
      <c r="R559" s="1">
        <v>289650.25980499625</v>
      </c>
      <c r="S559" s="1">
        <v>289650.25980499625</v>
      </c>
      <c r="T559" s="1">
        <v>289650.25980499625</v>
      </c>
      <c r="U559" s="1">
        <v>289650.25980499625</v>
      </c>
      <c r="V559" s="1">
        <v>289650.25980499625</v>
      </c>
      <c r="W559" s="4">
        <f t="shared" si="18"/>
        <v>2873034.1335028629</v>
      </c>
      <c r="X559" s="4">
        <f t="shared" si="18"/>
        <v>2873034.1335028629</v>
      </c>
      <c r="Y559" s="5">
        <f t="shared" si="17"/>
        <v>0.58150000000000002</v>
      </c>
    </row>
    <row r="560" spans="1:25" x14ac:dyDescent="0.25">
      <c r="A560" s="1" t="s">
        <v>104</v>
      </c>
      <c r="B560" s="1" t="s">
        <v>44</v>
      </c>
      <c r="C560" s="1" t="s">
        <v>45</v>
      </c>
      <c r="D560" s="1">
        <v>7680232.3130681198</v>
      </c>
      <c r="E560" s="1">
        <v>506895.33266249602</v>
      </c>
      <c r="F560" s="1">
        <v>506895.33266249602</v>
      </c>
      <c r="G560" s="1">
        <v>633619.16582811996</v>
      </c>
      <c r="H560" s="1">
        <v>633619.16582811996</v>
      </c>
      <c r="I560" s="1">
        <v>633619.16582811996</v>
      </c>
      <c r="J560" s="1">
        <v>633619.16582811996</v>
      </c>
      <c r="K560" s="1">
        <v>633619.16582811996</v>
      </c>
      <c r="L560" s="1">
        <v>633619.16582811996</v>
      </c>
      <c r="M560" s="1">
        <v>385931.67373167299</v>
      </c>
      <c r="N560" s="1">
        <v>385931.67373167299</v>
      </c>
      <c r="O560" s="1">
        <v>321609.7281097275</v>
      </c>
      <c r="P560" s="1">
        <v>321609.7281097275</v>
      </c>
      <c r="Q560" s="1">
        <v>450253.61935361847</v>
      </c>
      <c r="R560" s="1">
        <v>450253.61935361847</v>
      </c>
      <c r="S560" s="1">
        <v>450253.61935361847</v>
      </c>
      <c r="T560" s="1">
        <v>450253.61935361847</v>
      </c>
      <c r="U560" s="1">
        <v>450253.61935361847</v>
      </c>
      <c r="V560" s="1">
        <v>450253.61935361847</v>
      </c>
      <c r="W560" s="4">
        <f t="shared" si="18"/>
        <v>4466055.0900491122</v>
      </c>
      <c r="X560" s="4">
        <f t="shared" si="18"/>
        <v>4466055.0900491122</v>
      </c>
      <c r="Y560" s="5">
        <f t="shared" si="17"/>
        <v>0.58150000000000002</v>
      </c>
    </row>
    <row r="561" spans="1:25" x14ac:dyDescent="0.25">
      <c r="A561" s="1" t="s">
        <v>104</v>
      </c>
      <c r="B561" s="1" t="s">
        <v>46</v>
      </c>
      <c r="C561" s="1" t="s">
        <v>22</v>
      </c>
      <c r="D561" s="1">
        <v>67220367.834833175</v>
      </c>
      <c r="E561" s="1">
        <v>4440700.1096188221</v>
      </c>
      <c r="F561" s="1">
        <v>4440700.1096188221</v>
      </c>
      <c r="G561" s="1">
        <v>5550875.1370235272</v>
      </c>
      <c r="H561" s="1">
        <v>5550875.1370235272</v>
      </c>
      <c r="I561" s="1">
        <v>5550875.1370235272</v>
      </c>
      <c r="J561" s="1">
        <v>5550875.1370235272</v>
      </c>
      <c r="K561" s="1">
        <v>5550875.1370235272</v>
      </c>
      <c r="L561" s="1">
        <v>5550875.1370235272</v>
      </c>
      <c r="M561" s="1">
        <v>3482991.6443014694</v>
      </c>
      <c r="N561" s="1">
        <v>3482991.6443014694</v>
      </c>
      <c r="O561" s="1">
        <v>2832332.2154762782</v>
      </c>
      <c r="P561" s="1">
        <v>2832332.2154762782</v>
      </c>
      <c r="Q561" s="1">
        <v>3921188.1270701843</v>
      </c>
      <c r="R561" s="1">
        <v>3921188.1270701843</v>
      </c>
      <c r="S561" s="1">
        <v>3921188.1270701843</v>
      </c>
      <c r="T561" s="1">
        <v>3921188.1270701843</v>
      </c>
      <c r="U561" s="1">
        <v>3921188.1270701843</v>
      </c>
      <c r="V561" s="1">
        <v>3921188.1270701843</v>
      </c>
      <c r="W561" s="4">
        <f t="shared" si="18"/>
        <v>39172213.761677705</v>
      </c>
      <c r="X561" s="4">
        <f t="shared" si="18"/>
        <v>39172213.761677705</v>
      </c>
      <c r="Y561" s="5">
        <f t="shared" si="17"/>
        <v>0.58274322238056708</v>
      </c>
    </row>
    <row r="562" spans="1:25" x14ac:dyDescent="0.25">
      <c r="A562" s="1" t="s">
        <v>104</v>
      </c>
      <c r="B562" s="1" t="s">
        <v>66</v>
      </c>
      <c r="C562" s="1" t="s">
        <v>24</v>
      </c>
      <c r="D562" s="1">
        <v>302656497.1121968</v>
      </c>
      <c r="E562" s="1">
        <v>24969161.011756238</v>
      </c>
      <c r="F562" s="1">
        <v>24969161.011756238</v>
      </c>
      <c r="G562" s="1">
        <v>24969161.011756238</v>
      </c>
      <c r="H562" s="1">
        <v>24969161.011756238</v>
      </c>
      <c r="I562" s="1">
        <v>24969161.011756238</v>
      </c>
      <c r="J562" s="1">
        <v>24969161.011756238</v>
      </c>
      <c r="K562" s="1">
        <v>24969161.011756238</v>
      </c>
      <c r="L562" s="1">
        <v>24969161.011756238</v>
      </c>
      <c r="M562" s="1">
        <v>28337352.95297505</v>
      </c>
      <c r="N562" s="1">
        <v>28337352.95297505</v>
      </c>
      <c r="O562" s="1">
        <v>25797500</v>
      </c>
      <c r="P562" s="1">
        <v>25797500</v>
      </c>
      <c r="Q562" s="1">
        <v>24757500</v>
      </c>
      <c r="R562" s="1">
        <v>24757500</v>
      </c>
      <c r="S562" s="1">
        <v>24795000</v>
      </c>
      <c r="T562" s="1">
        <v>24795000</v>
      </c>
      <c r="U562" s="1">
        <v>24742500</v>
      </c>
      <c r="V562" s="1">
        <v>24742500</v>
      </c>
      <c r="W562" s="4">
        <f t="shared" si="18"/>
        <v>228306497</v>
      </c>
      <c r="X562" s="4">
        <f t="shared" si="18"/>
        <v>228306497</v>
      </c>
      <c r="Y562" s="5">
        <f t="shared" si="17"/>
        <v>0.75434196582062885</v>
      </c>
    </row>
    <row r="563" spans="1:25" x14ac:dyDescent="0.25">
      <c r="A563" s="1" t="s">
        <v>104</v>
      </c>
      <c r="B563" s="1" t="s">
        <v>67</v>
      </c>
      <c r="C563" s="1" t="s">
        <v>68</v>
      </c>
      <c r="D563" s="1">
        <v>5916750.6585043678</v>
      </c>
      <c r="E563" s="1">
        <v>390505.54346128833</v>
      </c>
      <c r="F563" s="1">
        <v>390505.54346128833</v>
      </c>
      <c r="G563" s="1">
        <v>488131.92932661035</v>
      </c>
      <c r="H563" s="1">
        <v>488131.92932661035</v>
      </c>
      <c r="I563" s="1">
        <v>488131.92932661035</v>
      </c>
      <c r="J563" s="1">
        <v>488131.92932661035</v>
      </c>
      <c r="K563" s="1">
        <v>488131.92932661035</v>
      </c>
      <c r="L563" s="1">
        <v>488131.92932661035</v>
      </c>
      <c r="M563" s="1">
        <v>307671.03424222715</v>
      </c>
      <c r="N563" s="1">
        <v>307671.03424222715</v>
      </c>
      <c r="O563" s="1">
        <v>246531.277437682</v>
      </c>
      <c r="P563" s="1">
        <v>246531.277437682</v>
      </c>
      <c r="Q563" s="1">
        <v>345143.78841275477</v>
      </c>
      <c r="R563" s="1">
        <v>345143.78841275477</v>
      </c>
      <c r="S563" s="1">
        <v>345143.78841275477</v>
      </c>
      <c r="T563" s="1">
        <v>345143.78841275477</v>
      </c>
      <c r="U563" s="1">
        <v>345143.78841275477</v>
      </c>
      <c r="V563" s="1">
        <v>345143.78841275477</v>
      </c>
      <c r="W563" s="4">
        <f t="shared" si="18"/>
        <v>3444535.0083592925</v>
      </c>
      <c r="X563" s="4">
        <f t="shared" si="18"/>
        <v>3444535.0083592925</v>
      </c>
      <c r="Y563" s="5">
        <f t="shared" si="17"/>
        <v>0.58216666666666661</v>
      </c>
    </row>
    <row r="564" spans="1:25" x14ac:dyDescent="0.25">
      <c r="A564" s="1" t="s">
        <v>104</v>
      </c>
      <c r="B564" s="1" t="s">
        <v>69</v>
      </c>
      <c r="C564" s="1" t="s">
        <v>28</v>
      </c>
      <c r="D564" s="1">
        <v>8018068.306105637</v>
      </c>
      <c r="E564" s="1">
        <v>529192.50820297212</v>
      </c>
      <c r="F564" s="1">
        <v>529192.50820297212</v>
      </c>
      <c r="G564" s="1">
        <v>661490.6352537151</v>
      </c>
      <c r="H564" s="1">
        <v>661490.6352537151</v>
      </c>
      <c r="I564" s="1">
        <v>661490.6352537151</v>
      </c>
      <c r="J564" s="1">
        <v>661490.6352537151</v>
      </c>
      <c r="K564" s="1">
        <v>661490.6352537151</v>
      </c>
      <c r="L564" s="1">
        <v>661490.6352537151</v>
      </c>
      <c r="M564" s="1">
        <v>402907.93238180823</v>
      </c>
      <c r="N564" s="1">
        <v>402907.93238180823</v>
      </c>
      <c r="O564" s="1">
        <v>335756.61031817354</v>
      </c>
      <c r="P564" s="1">
        <v>335756.61031817354</v>
      </c>
      <c r="Q564" s="1">
        <v>470059.25444544293</v>
      </c>
      <c r="R564" s="1">
        <v>470059.25444544293</v>
      </c>
      <c r="S564" s="1">
        <v>470059.25444544293</v>
      </c>
      <c r="T564" s="1">
        <v>470059.25444544293</v>
      </c>
      <c r="U564" s="1">
        <v>470059.25444544293</v>
      </c>
      <c r="V564" s="1">
        <v>470059.25444544293</v>
      </c>
      <c r="W564" s="4">
        <f t="shared" si="18"/>
        <v>4662506.7200004281</v>
      </c>
      <c r="X564" s="4">
        <f t="shared" si="18"/>
        <v>4662506.7200004281</v>
      </c>
      <c r="Y564" s="5">
        <f t="shared" si="17"/>
        <v>0.58150000000000002</v>
      </c>
    </row>
    <row r="565" spans="1:25" x14ac:dyDescent="0.25">
      <c r="A565" s="1" t="s">
        <v>104</v>
      </c>
      <c r="B565" s="1" t="s">
        <v>70</v>
      </c>
      <c r="C565" s="1" t="s">
        <v>23</v>
      </c>
      <c r="D565" s="1">
        <v>8268750.0182812503</v>
      </c>
      <c r="E565" s="1">
        <v>545737.50120656262</v>
      </c>
      <c r="F565" s="1">
        <v>545737.50120656262</v>
      </c>
      <c r="G565" s="1">
        <v>682171.87650820322</v>
      </c>
      <c r="H565" s="1">
        <v>682171.87650820322</v>
      </c>
      <c r="I565" s="1">
        <v>682171.87650820322</v>
      </c>
      <c r="J565" s="1">
        <v>682171.87650820322</v>
      </c>
      <c r="K565" s="1">
        <v>682171.87650820322</v>
      </c>
      <c r="L565" s="1">
        <v>682171.87650820322</v>
      </c>
      <c r="M565" s="1">
        <v>415504.68841863284</v>
      </c>
      <c r="N565" s="1">
        <v>415504.68841863284</v>
      </c>
      <c r="O565" s="1">
        <v>346253.90701552737</v>
      </c>
      <c r="P565" s="1">
        <v>346253.90701552737</v>
      </c>
      <c r="Q565" s="1">
        <v>484755.46982173825</v>
      </c>
      <c r="R565" s="1">
        <v>484755.46982173825</v>
      </c>
      <c r="S565" s="1">
        <v>484755.46982173825</v>
      </c>
      <c r="T565" s="1">
        <v>484755.46982173825</v>
      </c>
      <c r="U565" s="1">
        <v>484755.46982173825</v>
      </c>
      <c r="V565" s="1">
        <v>484755.46982173825</v>
      </c>
      <c r="W565" s="4">
        <f t="shared" si="18"/>
        <v>4808278.135630548</v>
      </c>
      <c r="X565" s="4">
        <f t="shared" si="18"/>
        <v>4808278.135630548</v>
      </c>
      <c r="Y565" s="5">
        <f t="shared" si="17"/>
        <v>0.58150000000000013</v>
      </c>
    </row>
    <row r="566" spans="1:25" x14ac:dyDescent="0.25">
      <c r="A566" s="1" t="s">
        <v>104</v>
      </c>
      <c r="B566" s="1" t="s">
        <v>71</v>
      </c>
      <c r="C566" s="1" t="s">
        <v>29</v>
      </c>
      <c r="D566" s="1">
        <v>7771044.8711538427</v>
      </c>
      <c r="E566" s="1">
        <v>512888.96149615367</v>
      </c>
      <c r="F566" s="1">
        <v>512888.96149615367</v>
      </c>
      <c r="G566" s="1">
        <v>641111.20187019208</v>
      </c>
      <c r="H566" s="1">
        <v>641111.20187019208</v>
      </c>
      <c r="I566" s="1">
        <v>641111.20187019208</v>
      </c>
      <c r="J566" s="1">
        <v>641111.20187019208</v>
      </c>
      <c r="K566" s="1">
        <v>641111.20187019208</v>
      </c>
      <c r="L566" s="1">
        <v>641111.20187019208</v>
      </c>
      <c r="M566" s="1">
        <v>390495.00477548054</v>
      </c>
      <c r="N566" s="1">
        <v>390495.00477548054</v>
      </c>
      <c r="O566" s="1">
        <v>325412.50397956715</v>
      </c>
      <c r="P566" s="1">
        <v>325412.50397956715</v>
      </c>
      <c r="Q566" s="1">
        <v>455577.50557139399</v>
      </c>
      <c r="R566" s="1">
        <v>455577.50557139399</v>
      </c>
      <c r="S566" s="1">
        <v>455577.50557139399</v>
      </c>
      <c r="T566" s="1">
        <v>455577.50557139399</v>
      </c>
      <c r="U566" s="1">
        <v>455577.50557139399</v>
      </c>
      <c r="V566" s="1">
        <v>455577.50557139399</v>
      </c>
      <c r="W566" s="4">
        <f t="shared" si="18"/>
        <v>4518862.5925759599</v>
      </c>
      <c r="X566" s="4">
        <f t="shared" si="18"/>
        <v>4518862.5925759599</v>
      </c>
      <c r="Y566" s="5">
        <f t="shared" si="17"/>
        <v>0.58150000000000002</v>
      </c>
    </row>
    <row r="567" spans="1:25" x14ac:dyDescent="0.25">
      <c r="A567" s="1" t="s">
        <v>104</v>
      </c>
      <c r="B567" s="1" t="s">
        <v>72</v>
      </c>
      <c r="C567" s="1" t="s">
        <v>73</v>
      </c>
      <c r="D567" s="1">
        <v>6213608.2808146011</v>
      </c>
      <c r="E567" s="1">
        <v>410098.14653376373</v>
      </c>
      <c r="F567" s="1">
        <v>410098.14653376373</v>
      </c>
      <c r="G567" s="1">
        <v>512622.68316720461</v>
      </c>
      <c r="H567" s="1">
        <v>512622.68316720461</v>
      </c>
      <c r="I567" s="1">
        <v>512622.68316720461</v>
      </c>
      <c r="J567" s="1">
        <v>512622.68316720461</v>
      </c>
      <c r="K567" s="1">
        <v>512622.68316720461</v>
      </c>
      <c r="L567" s="1">
        <v>512622.68316720461</v>
      </c>
      <c r="M567" s="1">
        <v>312233.81611093367</v>
      </c>
      <c r="N567" s="1">
        <v>312233.81611093367</v>
      </c>
      <c r="O567" s="1">
        <v>260194.84675911142</v>
      </c>
      <c r="P567" s="1">
        <v>260194.84675911142</v>
      </c>
      <c r="Q567" s="1">
        <v>364272.78546275594</v>
      </c>
      <c r="R567" s="1">
        <v>364272.78546275594</v>
      </c>
      <c r="S567" s="1">
        <v>364272.78546275594</v>
      </c>
      <c r="T567" s="1">
        <v>364272.78546275594</v>
      </c>
      <c r="U567" s="1">
        <v>364272.78546275594</v>
      </c>
      <c r="V567" s="1">
        <v>364272.78546275594</v>
      </c>
      <c r="W567" s="4">
        <f t="shared" si="18"/>
        <v>3613213.2152936906</v>
      </c>
      <c r="X567" s="4">
        <f t="shared" si="18"/>
        <v>3613213.2152936906</v>
      </c>
      <c r="Y567" s="5">
        <f t="shared" si="17"/>
        <v>0.58150000000000002</v>
      </c>
    </row>
    <row r="568" spans="1:25" x14ac:dyDescent="0.25">
      <c r="A568" s="1" t="s">
        <v>104</v>
      </c>
      <c r="B568" s="1" t="s">
        <v>48</v>
      </c>
      <c r="C568" s="1" t="s">
        <v>49</v>
      </c>
      <c r="D568" s="1">
        <v>4852566.6118031563</v>
      </c>
      <c r="E568" s="1">
        <v>320269.39637900837</v>
      </c>
      <c r="F568" s="1">
        <v>320269.39637900837</v>
      </c>
      <c r="G568" s="1">
        <v>400336.74547376041</v>
      </c>
      <c r="H568" s="1">
        <v>400336.74547376041</v>
      </c>
      <c r="I568" s="1">
        <v>400336.74547376041</v>
      </c>
      <c r="J568" s="1">
        <v>400336.74547376041</v>
      </c>
      <c r="K568" s="1">
        <v>400336.74547376041</v>
      </c>
      <c r="L568" s="1">
        <v>400336.74547376041</v>
      </c>
      <c r="M568" s="1">
        <v>243841.47224310867</v>
      </c>
      <c r="N568" s="1">
        <v>243841.47224310867</v>
      </c>
      <c r="O568" s="1">
        <v>203201.22686925723</v>
      </c>
      <c r="P568" s="1">
        <v>203201.22686925723</v>
      </c>
      <c r="Q568" s="1">
        <v>284481.71761696012</v>
      </c>
      <c r="R568" s="1">
        <v>284481.71761696012</v>
      </c>
      <c r="S568" s="1">
        <v>284481.71761696012</v>
      </c>
      <c r="T568" s="1">
        <v>284481.71761696012</v>
      </c>
      <c r="U568" s="1">
        <v>284481.71761696012</v>
      </c>
      <c r="V568" s="1">
        <v>284481.71761696012</v>
      </c>
      <c r="W568" s="4">
        <f t="shared" si="18"/>
        <v>2821767.4847635361</v>
      </c>
      <c r="X568" s="4">
        <f t="shared" si="18"/>
        <v>2821767.4847635361</v>
      </c>
      <c r="Y568" s="5">
        <f t="shared" si="17"/>
        <v>0.58150000000000013</v>
      </c>
    </row>
    <row r="569" spans="1:25" x14ac:dyDescent="0.25">
      <c r="A569" s="1" t="s">
        <v>104</v>
      </c>
      <c r="B569" s="1" t="s">
        <v>53</v>
      </c>
      <c r="C569" s="1" t="s">
        <v>30</v>
      </c>
      <c r="D569" s="1">
        <v>9688786.1158917695</v>
      </c>
      <c r="E569" s="1">
        <v>639459.88364885689</v>
      </c>
      <c r="F569" s="1">
        <v>639459.88364885689</v>
      </c>
      <c r="G569" s="1">
        <v>799324.85456107103</v>
      </c>
      <c r="H569" s="1">
        <v>799324.85456107103</v>
      </c>
      <c r="I569" s="1">
        <v>799324.85456107103</v>
      </c>
      <c r="J569" s="1">
        <v>799324.85456107103</v>
      </c>
      <c r="K569" s="1">
        <v>799324.85456107103</v>
      </c>
      <c r="L569" s="1">
        <v>799324.85456107103</v>
      </c>
      <c r="M569" s="1">
        <v>486861.50232356141</v>
      </c>
      <c r="N569" s="1">
        <v>486861.50232356141</v>
      </c>
      <c r="O569" s="1">
        <v>405717.91860296787</v>
      </c>
      <c r="P569" s="1">
        <v>405717.91860296787</v>
      </c>
      <c r="Q569" s="1">
        <v>568005.08604415494</v>
      </c>
      <c r="R569" s="1">
        <v>568005.08604415494</v>
      </c>
      <c r="S569" s="1">
        <v>568005.08604415494</v>
      </c>
      <c r="T569" s="1">
        <v>568005.08604415494</v>
      </c>
      <c r="U569" s="1">
        <v>568005.08604415494</v>
      </c>
      <c r="V569" s="1">
        <v>568005.08604415494</v>
      </c>
      <c r="W569" s="4">
        <f t="shared" si="18"/>
        <v>5634029.1263910634</v>
      </c>
      <c r="X569" s="4">
        <f t="shared" si="18"/>
        <v>5634029.1263910634</v>
      </c>
      <c r="Y569" s="5">
        <f t="shared" si="17"/>
        <v>0.58149999999999991</v>
      </c>
    </row>
    <row r="570" spans="1:25" x14ac:dyDescent="0.25">
      <c r="A570" s="1" t="s">
        <v>104</v>
      </c>
      <c r="B570" s="1" t="s">
        <v>74</v>
      </c>
      <c r="C570" s="1" t="s">
        <v>75</v>
      </c>
      <c r="D570" s="1">
        <v>5940301.0640891325</v>
      </c>
      <c r="E570" s="1">
        <v>392059.87022988277</v>
      </c>
      <c r="F570" s="1">
        <v>392059.87022988277</v>
      </c>
      <c r="G570" s="1">
        <v>490074.83778735343</v>
      </c>
      <c r="H570" s="1">
        <v>490074.83778735343</v>
      </c>
      <c r="I570" s="1">
        <v>490074.83778735343</v>
      </c>
      <c r="J570" s="1">
        <v>490074.83778735343</v>
      </c>
      <c r="K570" s="1">
        <v>490074.83778735343</v>
      </c>
      <c r="L570" s="1">
        <v>490074.83778735343</v>
      </c>
      <c r="M570" s="1">
        <v>298500.12847047887</v>
      </c>
      <c r="N570" s="1">
        <v>298500.12847047887</v>
      </c>
      <c r="O570" s="1">
        <v>248750.10705873242</v>
      </c>
      <c r="P570" s="1">
        <v>248750.10705873242</v>
      </c>
      <c r="Q570" s="1">
        <v>348250.14988222538</v>
      </c>
      <c r="R570" s="1">
        <v>348250.14988222538</v>
      </c>
      <c r="S570" s="1">
        <v>348250.14988222538</v>
      </c>
      <c r="T570" s="1">
        <v>348250.14988222538</v>
      </c>
      <c r="U570" s="1">
        <v>348250.14988222538</v>
      </c>
      <c r="V570" s="1">
        <v>348250.14988222538</v>
      </c>
      <c r="W570" s="4">
        <f t="shared" si="18"/>
        <v>3454285.0687678303</v>
      </c>
      <c r="X570" s="4">
        <f t="shared" si="18"/>
        <v>3454285.0687678303</v>
      </c>
      <c r="Y570" s="5">
        <f t="shared" si="17"/>
        <v>0.58149999999999991</v>
      </c>
    </row>
    <row r="571" spans="1:25" x14ac:dyDescent="0.25">
      <c r="A571" s="1" t="s">
        <v>104</v>
      </c>
      <c r="B571" s="1" t="s">
        <v>50</v>
      </c>
      <c r="C571" s="1" t="s">
        <v>25</v>
      </c>
      <c r="D571" s="1">
        <v>5095194.9423933132</v>
      </c>
      <c r="E571" s="1">
        <v>336282.86619795871</v>
      </c>
      <c r="F571" s="1">
        <v>336282.86619795871</v>
      </c>
      <c r="G571" s="1">
        <v>420353.58274744835</v>
      </c>
      <c r="H571" s="1">
        <v>420353.58274744835</v>
      </c>
      <c r="I571" s="1">
        <v>420353.58274744835</v>
      </c>
      <c r="J571" s="1">
        <v>420353.58274744835</v>
      </c>
      <c r="K571" s="1">
        <v>420353.58274744835</v>
      </c>
      <c r="L571" s="1">
        <v>420353.58274744835</v>
      </c>
      <c r="M571" s="1">
        <v>256033.54585526398</v>
      </c>
      <c r="N571" s="1">
        <v>256033.54585526398</v>
      </c>
      <c r="O571" s="1">
        <v>213361.28821271998</v>
      </c>
      <c r="P571" s="1">
        <v>213361.28821271998</v>
      </c>
      <c r="Q571" s="1">
        <v>298705.80349780794</v>
      </c>
      <c r="R571" s="1">
        <v>298705.80349780794</v>
      </c>
      <c r="S571" s="1">
        <v>298705.80349780794</v>
      </c>
      <c r="T571" s="1">
        <v>298705.80349780794</v>
      </c>
      <c r="U571" s="1">
        <v>298705.80349780794</v>
      </c>
      <c r="V571" s="1">
        <v>298705.80349780794</v>
      </c>
      <c r="W571" s="4">
        <f t="shared" si="18"/>
        <v>2962855.859001711</v>
      </c>
      <c r="X571" s="4">
        <f t="shared" si="18"/>
        <v>2962855.859001711</v>
      </c>
      <c r="Y571" s="5">
        <f t="shared" si="17"/>
        <v>0.58149999999999991</v>
      </c>
    </row>
    <row r="572" spans="1:25" x14ac:dyDescent="0.25">
      <c r="A572" s="1" t="s">
        <v>105</v>
      </c>
      <c r="B572" s="1" t="s">
        <v>59</v>
      </c>
      <c r="C572" s="1" t="s">
        <v>26</v>
      </c>
      <c r="D572" s="1">
        <v>36952199</v>
      </c>
      <c r="E572" s="1">
        <v>3513361.0067966357</v>
      </c>
      <c r="F572" s="1">
        <v>3513361.0067966357</v>
      </c>
      <c r="G572" s="1">
        <v>4391701.2584957946</v>
      </c>
      <c r="H572" s="1">
        <v>4391701.2584957946</v>
      </c>
      <c r="I572" s="1">
        <v>4391701.2584957946</v>
      </c>
      <c r="J572" s="1">
        <v>4391701.2584957946</v>
      </c>
      <c r="K572" s="1">
        <v>4391701.2584957946</v>
      </c>
      <c r="L572" s="1">
        <v>4391701.2584957946</v>
      </c>
      <c r="M572" s="1">
        <v>2423174.2457521036</v>
      </c>
      <c r="N572" s="1">
        <v>2423174.2457521036</v>
      </c>
      <c r="O572" s="1">
        <v>2423174.2457521036</v>
      </c>
      <c r="P572" s="1">
        <v>2423174.2457521036</v>
      </c>
      <c r="Q572" s="1">
        <v>2423174.2457521036</v>
      </c>
      <c r="R572" s="1">
        <v>2423174.2457521036</v>
      </c>
      <c r="S572" s="1">
        <v>2423174.2457521036</v>
      </c>
      <c r="T572" s="1">
        <v>2423174.2457521036</v>
      </c>
      <c r="U572" s="1">
        <v>2423174.2457521036</v>
      </c>
      <c r="V572" s="1">
        <v>2423174.2457521036</v>
      </c>
      <c r="W572" s="4">
        <f t="shared" si="18"/>
        <v>28804336.01104454</v>
      </c>
      <c r="X572" s="4">
        <f t="shared" si="18"/>
        <v>28804336.01104454</v>
      </c>
      <c r="Y572" s="5">
        <f t="shared" si="17"/>
        <v>0.77950262205084297</v>
      </c>
    </row>
    <row r="573" spans="1:25" x14ac:dyDescent="0.25">
      <c r="A573" s="1" t="s">
        <v>105</v>
      </c>
      <c r="B573" s="1" t="s">
        <v>59</v>
      </c>
      <c r="C573" s="1" t="s">
        <v>26</v>
      </c>
      <c r="D573" s="1">
        <v>16280544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8140272</v>
      </c>
      <c r="N573" s="1">
        <v>8140272</v>
      </c>
      <c r="O573" s="1">
        <v>8140272</v>
      </c>
      <c r="P573" s="1">
        <v>8140272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4">
        <f t="shared" si="18"/>
        <v>16280544</v>
      </c>
      <c r="X573" s="4">
        <f t="shared" si="18"/>
        <v>16280544</v>
      </c>
      <c r="Y573" s="5">
        <f t="shared" si="17"/>
        <v>1</v>
      </c>
    </row>
    <row r="574" spans="1:25" x14ac:dyDescent="0.25">
      <c r="A574" s="1" t="s">
        <v>105</v>
      </c>
      <c r="B574" s="1" t="s">
        <v>33</v>
      </c>
      <c r="C574" s="1" t="s">
        <v>34</v>
      </c>
      <c r="D574" s="1">
        <v>60000000</v>
      </c>
      <c r="E574" s="1">
        <v>0</v>
      </c>
      <c r="F574" s="1">
        <v>0</v>
      </c>
      <c r="G574" s="1">
        <v>12000000</v>
      </c>
      <c r="H574" s="1">
        <v>12000000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18000000</v>
      </c>
      <c r="P574" s="1">
        <v>18000000</v>
      </c>
      <c r="Q574" s="1">
        <v>0</v>
      </c>
      <c r="R574" s="1">
        <v>0</v>
      </c>
      <c r="S574" s="1">
        <v>18000000</v>
      </c>
      <c r="T574" s="1">
        <v>18000000</v>
      </c>
      <c r="U574" s="1">
        <v>12000000</v>
      </c>
      <c r="V574" s="1">
        <v>12000000</v>
      </c>
      <c r="W574" s="4">
        <f t="shared" si="18"/>
        <v>60000000</v>
      </c>
      <c r="X574" s="4">
        <f t="shared" si="18"/>
        <v>60000000</v>
      </c>
      <c r="Y574" s="5">
        <f t="shared" si="17"/>
        <v>1</v>
      </c>
    </row>
    <row r="575" spans="1:25" x14ac:dyDescent="0.25">
      <c r="A575" s="1" t="s">
        <v>105</v>
      </c>
      <c r="B575" s="1" t="s">
        <v>35</v>
      </c>
      <c r="C575" s="1" t="s">
        <v>34</v>
      </c>
      <c r="D575" s="1">
        <v>150000000</v>
      </c>
      <c r="E575" s="1">
        <v>0</v>
      </c>
      <c r="F575" s="1">
        <v>0</v>
      </c>
      <c r="G575" s="1">
        <v>41250000</v>
      </c>
      <c r="H575" s="1">
        <v>41250000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36250000</v>
      </c>
      <c r="P575" s="1">
        <v>36250000</v>
      </c>
      <c r="Q575" s="1">
        <v>0</v>
      </c>
      <c r="R575" s="1">
        <v>0</v>
      </c>
      <c r="S575" s="1">
        <v>36250000</v>
      </c>
      <c r="T575" s="1">
        <v>36250000</v>
      </c>
      <c r="U575" s="1">
        <v>36250000</v>
      </c>
      <c r="V575" s="1">
        <v>36250000</v>
      </c>
      <c r="W575" s="4">
        <f t="shared" si="18"/>
        <v>150000000</v>
      </c>
      <c r="X575" s="4">
        <f t="shared" si="18"/>
        <v>150000000</v>
      </c>
      <c r="Y575" s="5">
        <f t="shared" si="17"/>
        <v>1</v>
      </c>
    </row>
    <row r="576" spans="1:25" x14ac:dyDescent="0.25">
      <c r="A576" s="1" t="s">
        <v>105</v>
      </c>
      <c r="B576" s="1" t="s">
        <v>38</v>
      </c>
      <c r="C576" s="1" t="s">
        <v>39</v>
      </c>
      <c r="D576" s="1">
        <v>6876971.890448154</v>
      </c>
      <c r="E576" s="1">
        <v>453880.14476957818</v>
      </c>
      <c r="F576" s="1">
        <v>453880.14476957818</v>
      </c>
      <c r="G576" s="1">
        <v>567350.18096197268</v>
      </c>
      <c r="H576" s="1">
        <v>567350.18096197268</v>
      </c>
      <c r="I576" s="1">
        <v>567350.18096197268</v>
      </c>
      <c r="J576" s="1">
        <v>567350.18096197268</v>
      </c>
      <c r="K576" s="1">
        <v>567350.18096197268</v>
      </c>
      <c r="L576" s="1">
        <v>567350.18096197268</v>
      </c>
      <c r="M576" s="1">
        <v>345567.8374950196</v>
      </c>
      <c r="N576" s="1">
        <v>345567.8374950196</v>
      </c>
      <c r="O576" s="1">
        <v>287973.19791251636</v>
      </c>
      <c r="P576" s="1">
        <v>287973.19791251636</v>
      </c>
      <c r="Q576" s="1">
        <v>403162.4770775229</v>
      </c>
      <c r="R576" s="1">
        <v>403162.4770775229</v>
      </c>
      <c r="S576" s="1">
        <v>403162.4770775229</v>
      </c>
      <c r="T576" s="1">
        <v>403162.4770775229</v>
      </c>
      <c r="U576" s="1">
        <v>403162.4770775229</v>
      </c>
      <c r="V576" s="1">
        <v>403162.4770775229</v>
      </c>
      <c r="W576" s="4">
        <f t="shared" si="18"/>
        <v>3998959.154295601</v>
      </c>
      <c r="X576" s="4">
        <f t="shared" si="18"/>
        <v>3998959.154295601</v>
      </c>
      <c r="Y576" s="5">
        <f t="shared" si="17"/>
        <v>0.58149999999999991</v>
      </c>
    </row>
    <row r="577" spans="1:25" x14ac:dyDescent="0.25">
      <c r="A577" s="1" t="s">
        <v>105</v>
      </c>
      <c r="B577" s="1" t="s">
        <v>61</v>
      </c>
      <c r="C577" s="1" t="s">
        <v>34</v>
      </c>
      <c r="D577" s="1">
        <v>116191986</v>
      </c>
      <c r="E577" s="1">
        <v>0</v>
      </c>
      <c r="F577" s="1">
        <v>0</v>
      </c>
      <c r="G577" s="1">
        <v>9295358.8789412398</v>
      </c>
      <c r="H577" s="1">
        <v>9295358.8789412398</v>
      </c>
      <c r="I577" s="1">
        <v>0</v>
      </c>
      <c r="J577" s="1">
        <v>0</v>
      </c>
      <c r="K577" s="1">
        <v>0</v>
      </c>
      <c r="L577" s="1">
        <v>0</v>
      </c>
      <c r="M577" s="1">
        <v>26724156.780264691</v>
      </c>
      <c r="N577" s="1">
        <v>26724156.780264691</v>
      </c>
      <c r="O577" s="1">
        <v>0</v>
      </c>
      <c r="P577" s="1">
        <v>0</v>
      </c>
      <c r="Q577" s="1">
        <v>0</v>
      </c>
      <c r="R577" s="1">
        <v>0</v>
      </c>
      <c r="S577" s="1">
        <v>40086235.170397036</v>
      </c>
      <c r="T577" s="1">
        <v>40086235.170397036</v>
      </c>
      <c r="U577" s="1">
        <v>0</v>
      </c>
      <c r="V577" s="1">
        <v>0</v>
      </c>
      <c r="W577" s="4">
        <f t="shared" si="18"/>
        <v>76105750.829602972</v>
      </c>
      <c r="X577" s="4">
        <f t="shared" si="18"/>
        <v>76105750.829602972</v>
      </c>
      <c r="Y577" s="5">
        <f t="shared" si="17"/>
        <v>0.65499999999658298</v>
      </c>
    </row>
    <row r="578" spans="1:25" x14ac:dyDescent="0.25">
      <c r="A578" s="1" t="s">
        <v>105</v>
      </c>
      <c r="B578" s="1" t="s">
        <v>62</v>
      </c>
      <c r="C578" s="1" t="s">
        <v>63</v>
      </c>
      <c r="D578" s="1">
        <v>58142857</v>
      </c>
      <c r="E578" s="1">
        <v>25959999.999120001</v>
      </c>
      <c r="F578" s="1">
        <v>25959999.999120001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1926964.2857967855</v>
      </c>
      <c r="N578" s="1">
        <v>1926964.2857967855</v>
      </c>
      <c r="O578" s="1">
        <v>1605803.5714973214</v>
      </c>
      <c r="P578" s="1">
        <v>1605803.5714973214</v>
      </c>
      <c r="Q578" s="1">
        <v>2248125.0000962499</v>
      </c>
      <c r="R578" s="1">
        <v>2248125.0000962499</v>
      </c>
      <c r="S578" s="1">
        <v>2248125.0000962499</v>
      </c>
      <c r="T578" s="1">
        <v>2248125.0000962499</v>
      </c>
      <c r="U578" s="1">
        <v>2248125.0000962499</v>
      </c>
      <c r="V578" s="1">
        <v>2248125.0000962499</v>
      </c>
      <c r="W578" s="4">
        <f t="shared" si="18"/>
        <v>36237142.856702857</v>
      </c>
      <c r="X578" s="4">
        <f t="shared" si="18"/>
        <v>36237142.856702857</v>
      </c>
      <c r="Y578" s="5">
        <f t="shared" si="17"/>
        <v>0.62324324476698589</v>
      </c>
    </row>
    <row r="579" spans="1:25" x14ac:dyDescent="0.25">
      <c r="A579" s="1" t="s">
        <v>105</v>
      </c>
      <c r="B579" s="1" t="s">
        <v>40</v>
      </c>
      <c r="C579" s="1" t="s">
        <v>27</v>
      </c>
      <c r="D579" s="1">
        <v>84427627</v>
      </c>
      <c r="E579" s="1">
        <v>7294952</v>
      </c>
      <c r="F579" s="1">
        <v>7294952</v>
      </c>
      <c r="G579" s="1">
        <v>7955082.1802551374</v>
      </c>
      <c r="H579" s="1">
        <v>7955082.1802551374</v>
      </c>
      <c r="I579" s="1">
        <v>7733356</v>
      </c>
      <c r="J579" s="1">
        <v>7733356</v>
      </c>
      <c r="K579" s="1">
        <v>4484335</v>
      </c>
      <c r="L579" s="1">
        <v>4484335</v>
      </c>
      <c r="M579" s="1">
        <v>18046922.114808649</v>
      </c>
      <c r="N579" s="1">
        <v>18046922.114808649</v>
      </c>
      <c r="O579" s="1">
        <v>15235912.704936216</v>
      </c>
      <c r="P579" s="1">
        <v>15235912.704936216</v>
      </c>
      <c r="Q579" s="1">
        <v>7431405</v>
      </c>
      <c r="R579" s="1">
        <v>7431405</v>
      </c>
      <c r="S579" s="1">
        <v>4030850</v>
      </c>
      <c r="T579" s="1">
        <v>4030850</v>
      </c>
      <c r="U579" s="1">
        <v>2555250</v>
      </c>
      <c r="V579" s="1">
        <v>2555250</v>
      </c>
      <c r="W579" s="4">
        <f t="shared" si="18"/>
        <v>74768065</v>
      </c>
      <c r="X579" s="4">
        <f t="shared" si="18"/>
        <v>74768065</v>
      </c>
      <c r="Y579" s="5">
        <f t="shared" ref="Y579:Y642" si="19">X579/D579</f>
        <v>0.88558766433172398</v>
      </c>
    </row>
    <row r="580" spans="1:25" x14ac:dyDescent="0.25">
      <c r="A580" s="1" t="s">
        <v>105</v>
      </c>
      <c r="B580" s="1" t="s">
        <v>40</v>
      </c>
      <c r="C580" s="1" t="s">
        <v>27</v>
      </c>
      <c r="D580" s="1">
        <v>89864801</v>
      </c>
      <c r="E580" s="1">
        <v>0</v>
      </c>
      <c r="F580" s="1">
        <v>0</v>
      </c>
      <c r="G580" s="1">
        <v>26533666</v>
      </c>
      <c r="H580" s="1">
        <v>26533666</v>
      </c>
      <c r="I580" s="1">
        <v>0</v>
      </c>
      <c r="J580" s="1">
        <v>0</v>
      </c>
      <c r="K580" s="1">
        <v>0</v>
      </c>
      <c r="L580" s="1">
        <v>0</v>
      </c>
      <c r="M580" s="1">
        <v>23749175.625</v>
      </c>
      <c r="N580" s="1">
        <v>23749175.625</v>
      </c>
      <c r="O580" s="1">
        <v>15832783.75</v>
      </c>
      <c r="P580" s="1">
        <v>15832783.75</v>
      </c>
      <c r="Q580" s="1">
        <v>23749175.625</v>
      </c>
      <c r="R580" s="1">
        <v>23749175.625</v>
      </c>
      <c r="S580" s="1">
        <v>0</v>
      </c>
      <c r="T580" s="1">
        <v>0</v>
      </c>
      <c r="U580" s="1">
        <v>0</v>
      </c>
      <c r="V580" s="1">
        <v>0</v>
      </c>
      <c r="W580" s="4">
        <f t="shared" si="18"/>
        <v>89864801</v>
      </c>
      <c r="X580" s="4">
        <f t="shared" si="18"/>
        <v>89864801</v>
      </c>
      <c r="Y580" s="5">
        <f t="shared" si="19"/>
        <v>1</v>
      </c>
    </row>
    <row r="581" spans="1:25" x14ac:dyDescent="0.25">
      <c r="A581" s="1" t="s">
        <v>105</v>
      </c>
      <c r="B581" s="1" t="s">
        <v>40</v>
      </c>
      <c r="C581" s="1" t="s">
        <v>27</v>
      </c>
      <c r="D581" s="1">
        <v>20171806</v>
      </c>
      <c r="E581" s="1">
        <v>10171806</v>
      </c>
      <c r="F581" s="1">
        <v>10171806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3750000</v>
      </c>
      <c r="N581" s="1">
        <v>3750000</v>
      </c>
      <c r="O581" s="1">
        <v>2500000</v>
      </c>
      <c r="P581" s="1">
        <v>2500000</v>
      </c>
      <c r="Q581" s="1">
        <v>3750000</v>
      </c>
      <c r="R581" s="1">
        <v>3750000</v>
      </c>
      <c r="S581" s="1">
        <v>0</v>
      </c>
      <c r="T581" s="1">
        <v>0</v>
      </c>
      <c r="U581" s="1">
        <v>0</v>
      </c>
      <c r="V581" s="1">
        <v>0</v>
      </c>
      <c r="W581" s="4">
        <f t="shared" si="18"/>
        <v>20171806</v>
      </c>
      <c r="X581" s="4">
        <f t="shared" si="18"/>
        <v>20171806</v>
      </c>
      <c r="Y581" s="5">
        <f t="shared" si="19"/>
        <v>1</v>
      </c>
    </row>
    <row r="582" spans="1:25" x14ac:dyDescent="0.25">
      <c r="A582" s="1" t="s">
        <v>105</v>
      </c>
      <c r="B582" s="1" t="s">
        <v>43</v>
      </c>
      <c r="C582" s="1" t="s">
        <v>31</v>
      </c>
      <c r="D582" s="1">
        <v>8954973</v>
      </c>
      <c r="E582" s="1">
        <v>520180.09917199967</v>
      </c>
      <c r="F582" s="1">
        <v>520180.09917199967</v>
      </c>
      <c r="G582" s="1">
        <v>650225.12396499957</v>
      </c>
      <c r="H582" s="1">
        <v>650225.12396499957</v>
      </c>
      <c r="I582" s="1">
        <v>650225.12396499957</v>
      </c>
      <c r="J582" s="1">
        <v>650225.12396499957</v>
      </c>
      <c r="K582" s="1">
        <v>650225.12396499957</v>
      </c>
      <c r="L582" s="1">
        <v>650225.12396499957</v>
      </c>
      <c r="M582" s="1">
        <v>483490.86965067603</v>
      </c>
      <c r="N582" s="1">
        <v>483490.86965067603</v>
      </c>
      <c r="O582" s="1">
        <v>402909.05804223003</v>
      </c>
      <c r="P582" s="1">
        <v>402909.05804223003</v>
      </c>
      <c r="Q582" s="1">
        <v>499341.98408414691</v>
      </c>
      <c r="R582" s="1">
        <v>499341.98408414691</v>
      </c>
      <c r="S582" s="1">
        <v>564072.68125912198</v>
      </c>
      <c r="T582" s="1">
        <v>564072.68125912198</v>
      </c>
      <c r="U582" s="1">
        <v>564072.68125912198</v>
      </c>
      <c r="V582" s="1">
        <v>564072.68125912198</v>
      </c>
      <c r="W582" s="4">
        <f t="shared" si="18"/>
        <v>4984742.7453622958</v>
      </c>
      <c r="X582" s="4">
        <f t="shared" si="18"/>
        <v>4984742.7453622958</v>
      </c>
      <c r="Y582" s="5">
        <f t="shared" si="19"/>
        <v>0.55664520098076187</v>
      </c>
    </row>
    <row r="583" spans="1:25" x14ac:dyDescent="0.25">
      <c r="A583" s="1" t="s">
        <v>105</v>
      </c>
      <c r="B583" s="1" t="s">
        <v>64</v>
      </c>
      <c r="C583" s="1" t="s">
        <v>23</v>
      </c>
      <c r="D583" s="1">
        <v>8274857.5290693417</v>
      </c>
      <c r="E583" s="1">
        <v>546140.59691857663</v>
      </c>
      <c r="F583" s="1">
        <v>546140.59691857663</v>
      </c>
      <c r="G583" s="1">
        <v>682675.74614822073</v>
      </c>
      <c r="H583" s="1">
        <v>682675.74614822073</v>
      </c>
      <c r="I583" s="1">
        <v>682675.74614822073</v>
      </c>
      <c r="J583" s="1">
        <v>682675.74614822073</v>
      </c>
      <c r="K583" s="1">
        <v>682675.74614822073</v>
      </c>
      <c r="L583" s="1">
        <v>682675.74614822073</v>
      </c>
      <c r="M583" s="1">
        <v>415811.59083573439</v>
      </c>
      <c r="N583" s="1">
        <v>415811.59083573439</v>
      </c>
      <c r="O583" s="1">
        <v>346509.65902977868</v>
      </c>
      <c r="P583" s="1">
        <v>346509.65902977868</v>
      </c>
      <c r="Q583" s="1">
        <v>485113.5226416901</v>
      </c>
      <c r="R583" s="1">
        <v>485113.5226416901</v>
      </c>
      <c r="S583" s="1">
        <v>485113.5226416901</v>
      </c>
      <c r="T583" s="1">
        <v>485113.5226416901</v>
      </c>
      <c r="U583" s="1">
        <v>485113.5226416901</v>
      </c>
      <c r="V583" s="1">
        <v>485113.5226416901</v>
      </c>
      <c r="W583" s="4">
        <f t="shared" si="18"/>
        <v>4811829.6531538218</v>
      </c>
      <c r="X583" s="4">
        <f t="shared" si="18"/>
        <v>4811829.6531538218</v>
      </c>
      <c r="Y583" s="5">
        <f t="shared" si="19"/>
        <v>0.58149999999999991</v>
      </c>
    </row>
    <row r="584" spans="1:25" x14ac:dyDescent="0.25">
      <c r="A584" s="1" t="s">
        <v>105</v>
      </c>
      <c r="B584" s="1" t="s">
        <v>65</v>
      </c>
      <c r="C584" s="1" t="s">
        <v>31</v>
      </c>
      <c r="D584" s="1">
        <v>7427102.7668700684</v>
      </c>
      <c r="E584" s="1">
        <v>490188.78261342453</v>
      </c>
      <c r="F584" s="1">
        <v>490188.78261342453</v>
      </c>
      <c r="G584" s="1">
        <v>612735.97826678061</v>
      </c>
      <c r="H584" s="1">
        <v>612735.97826678061</v>
      </c>
      <c r="I584" s="1">
        <v>612735.97826678061</v>
      </c>
      <c r="J584" s="1">
        <v>612735.97826678061</v>
      </c>
      <c r="K584" s="1">
        <v>612735.97826678061</v>
      </c>
      <c r="L584" s="1">
        <v>612735.97826678061</v>
      </c>
      <c r="M584" s="1">
        <v>373211.91403522092</v>
      </c>
      <c r="N584" s="1">
        <v>373211.91403522092</v>
      </c>
      <c r="O584" s="1">
        <v>311009.92836268409</v>
      </c>
      <c r="P584" s="1">
        <v>311009.92836268409</v>
      </c>
      <c r="Q584" s="1">
        <v>435413.89970775769</v>
      </c>
      <c r="R584" s="1">
        <v>435413.89970775769</v>
      </c>
      <c r="S584" s="1">
        <v>435413.89970775769</v>
      </c>
      <c r="T584" s="1">
        <v>435413.89970775769</v>
      </c>
      <c r="U584" s="1">
        <v>435413.89970775769</v>
      </c>
      <c r="V584" s="1">
        <v>435413.89970775769</v>
      </c>
      <c r="W584" s="4">
        <f t="shared" si="18"/>
        <v>4318860.2589349449</v>
      </c>
      <c r="X584" s="4">
        <f t="shared" si="18"/>
        <v>4318860.2589349449</v>
      </c>
      <c r="Y584" s="5">
        <f t="shared" si="19"/>
        <v>0.58150000000000002</v>
      </c>
    </row>
    <row r="585" spans="1:25" x14ac:dyDescent="0.25">
      <c r="A585" s="1" t="s">
        <v>105</v>
      </c>
      <c r="B585" s="1" t="s">
        <v>44</v>
      </c>
      <c r="C585" s="1" t="s">
        <v>45</v>
      </c>
      <c r="D585" s="1">
        <v>6876971.890448154</v>
      </c>
      <c r="E585" s="1">
        <v>453880.14476957818</v>
      </c>
      <c r="F585" s="1">
        <v>453880.14476957818</v>
      </c>
      <c r="G585" s="1">
        <v>567350.18096197268</v>
      </c>
      <c r="H585" s="1">
        <v>567350.18096197268</v>
      </c>
      <c r="I585" s="1">
        <v>567350.18096197268</v>
      </c>
      <c r="J585" s="1">
        <v>567350.18096197268</v>
      </c>
      <c r="K585" s="1">
        <v>567350.18096197268</v>
      </c>
      <c r="L585" s="1">
        <v>567350.18096197268</v>
      </c>
      <c r="M585" s="1">
        <v>345567.8374950196</v>
      </c>
      <c r="N585" s="1">
        <v>345567.8374950196</v>
      </c>
      <c r="O585" s="1">
        <v>287973.19791251636</v>
      </c>
      <c r="P585" s="1">
        <v>287973.19791251636</v>
      </c>
      <c r="Q585" s="1">
        <v>403162.4770775229</v>
      </c>
      <c r="R585" s="1">
        <v>403162.4770775229</v>
      </c>
      <c r="S585" s="1">
        <v>403162.4770775229</v>
      </c>
      <c r="T585" s="1">
        <v>403162.4770775229</v>
      </c>
      <c r="U585" s="1">
        <v>403162.4770775229</v>
      </c>
      <c r="V585" s="1">
        <v>403162.4770775229</v>
      </c>
      <c r="W585" s="4">
        <f t="shared" si="18"/>
        <v>3998959.154295601</v>
      </c>
      <c r="X585" s="4">
        <f t="shared" si="18"/>
        <v>3998959.154295601</v>
      </c>
      <c r="Y585" s="5">
        <f t="shared" si="19"/>
        <v>0.58149999999999991</v>
      </c>
    </row>
    <row r="586" spans="1:25" x14ac:dyDescent="0.25">
      <c r="A586" s="1" t="s">
        <v>105</v>
      </c>
      <c r="B586" s="1" t="s">
        <v>46</v>
      </c>
      <c r="C586" s="1" t="s">
        <v>22</v>
      </c>
      <c r="D586" s="1">
        <v>62075515.578402057</v>
      </c>
      <c r="E586" s="1">
        <v>4100821.7853102894</v>
      </c>
      <c r="F586" s="1">
        <v>4100821.7853102894</v>
      </c>
      <c r="G586" s="1">
        <v>5126027.2316378616</v>
      </c>
      <c r="H586" s="1">
        <v>5126027.2316378616</v>
      </c>
      <c r="I586" s="1">
        <v>5126027.2316378616</v>
      </c>
      <c r="J586" s="1">
        <v>5126027.2316378616</v>
      </c>
      <c r="K586" s="1">
        <v>5126027.2316378616</v>
      </c>
      <c r="L586" s="1">
        <v>5126027.2316378616</v>
      </c>
      <c r="M586" s="1">
        <v>3216413.5520133558</v>
      </c>
      <c r="N586" s="1">
        <v>3216413.5520133558</v>
      </c>
      <c r="O586" s="1">
        <v>2615553.7112949253</v>
      </c>
      <c r="P586" s="1">
        <v>2615553.7112949253</v>
      </c>
      <c r="Q586" s="1">
        <v>3621071.7451869855</v>
      </c>
      <c r="R586" s="1">
        <v>3621071.7451869855</v>
      </c>
      <c r="S586" s="1">
        <v>3621071.7451869855</v>
      </c>
      <c r="T586" s="1">
        <v>3621071.7451869855</v>
      </c>
      <c r="U586" s="1">
        <v>3621071.7451869855</v>
      </c>
      <c r="V586" s="1">
        <v>3621071.7451869855</v>
      </c>
      <c r="W586" s="4">
        <f t="shared" si="18"/>
        <v>36174085.979093112</v>
      </c>
      <c r="X586" s="4">
        <f t="shared" si="18"/>
        <v>36174085.979093112</v>
      </c>
      <c r="Y586" s="5">
        <f t="shared" si="19"/>
        <v>0.58274322238056719</v>
      </c>
    </row>
    <row r="587" spans="1:25" x14ac:dyDescent="0.25">
      <c r="A587" s="1" t="s">
        <v>105</v>
      </c>
      <c r="B587" s="1" t="s">
        <v>66</v>
      </c>
      <c r="C587" s="1" t="s">
        <v>24</v>
      </c>
      <c r="D587" s="1">
        <v>213169321.36271989</v>
      </c>
      <c r="E587" s="1">
        <v>17586469.012424391</v>
      </c>
      <c r="F587" s="1">
        <v>17586469.012424391</v>
      </c>
      <c r="G587" s="1">
        <v>17586469.012424391</v>
      </c>
      <c r="H587" s="1">
        <v>17586469.012424391</v>
      </c>
      <c r="I587" s="1">
        <v>17586469.012424391</v>
      </c>
      <c r="J587" s="1">
        <v>17586469.012424391</v>
      </c>
      <c r="K587" s="1">
        <v>17586469.012424391</v>
      </c>
      <c r="L587" s="1">
        <v>17586469.012424391</v>
      </c>
      <c r="M587" s="1">
        <v>21520549.170302432</v>
      </c>
      <c r="N587" s="1">
        <v>21520549.170302432</v>
      </c>
      <c r="O587" s="1">
        <v>17716224.84</v>
      </c>
      <c r="P587" s="1">
        <v>27716224.84</v>
      </c>
      <c r="Q587" s="1">
        <v>16754626.84</v>
      </c>
      <c r="R587" s="1">
        <v>16754626.84</v>
      </c>
      <c r="S587" s="1">
        <v>16716224.84</v>
      </c>
      <c r="T587" s="1">
        <v>16716224.84</v>
      </c>
      <c r="U587" s="1">
        <v>18871227.829999998</v>
      </c>
      <c r="V587" s="1">
        <v>18871227.829999998</v>
      </c>
      <c r="W587" s="4">
        <f t="shared" si="18"/>
        <v>161924729.56999999</v>
      </c>
      <c r="X587" s="4">
        <f t="shared" si="18"/>
        <v>171924729.56999999</v>
      </c>
      <c r="Y587" s="5">
        <f t="shared" si="19"/>
        <v>0.8065172252317685</v>
      </c>
    </row>
    <row r="588" spans="1:25" x14ac:dyDescent="0.25">
      <c r="A588" s="1" t="s">
        <v>105</v>
      </c>
      <c r="B588" s="1" t="s">
        <v>67</v>
      </c>
      <c r="C588" s="1" t="s">
        <v>68</v>
      </c>
      <c r="D588" s="1">
        <v>5916750.6585043678</v>
      </c>
      <c r="E588" s="1">
        <v>390505.54346128833</v>
      </c>
      <c r="F588" s="1">
        <v>390505.54346128833</v>
      </c>
      <c r="G588" s="1">
        <v>488131.92932661035</v>
      </c>
      <c r="H588" s="1">
        <v>488131.92932661035</v>
      </c>
      <c r="I588" s="1">
        <v>488131.92932661035</v>
      </c>
      <c r="J588" s="1">
        <v>488131.92932661035</v>
      </c>
      <c r="K588" s="1">
        <v>488131.92932661035</v>
      </c>
      <c r="L588" s="1">
        <v>488131.92932661035</v>
      </c>
      <c r="M588" s="1">
        <v>307671.03424222715</v>
      </c>
      <c r="N588" s="1">
        <v>307671.03424222715</v>
      </c>
      <c r="O588" s="1">
        <v>246531.277437682</v>
      </c>
      <c r="P588" s="1">
        <v>246531.277437682</v>
      </c>
      <c r="Q588" s="1">
        <v>345143.78841275477</v>
      </c>
      <c r="R588" s="1">
        <v>345143.78841275477</v>
      </c>
      <c r="S588" s="1">
        <v>345143.78841275477</v>
      </c>
      <c r="T588" s="1">
        <v>345143.78841275477</v>
      </c>
      <c r="U588" s="1">
        <v>345143.78841275477</v>
      </c>
      <c r="V588" s="1">
        <v>345143.78841275477</v>
      </c>
      <c r="W588" s="4">
        <f t="shared" si="18"/>
        <v>3444535.0083592925</v>
      </c>
      <c r="X588" s="4">
        <f t="shared" si="18"/>
        <v>3444535.0083592925</v>
      </c>
      <c r="Y588" s="5">
        <f t="shared" si="19"/>
        <v>0.58216666666666661</v>
      </c>
    </row>
    <row r="589" spans="1:25" x14ac:dyDescent="0.25">
      <c r="A589" s="1" t="s">
        <v>105</v>
      </c>
      <c r="B589" s="1" t="s">
        <v>69</v>
      </c>
      <c r="C589" s="1" t="s">
        <v>28</v>
      </c>
      <c r="D589" s="1">
        <v>5267643.4679714572</v>
      </c>
      <c r="E589" s="1">
        <v>347664.46888611623</v>
      </c>
      <c r="F589" s="1">
        <v>347664.46888611623</v>
      </c>
      <c r="G589" s="1">
        <v>434580.58610764524</v>
      </c>
      <c r="H589" s="1">
        <v>434580.58610764524</v>
      </c>
      <c r="I589" s="1">
        <v>434580.58610764524</v>
      </c>
      <c r="J589" s="1">
        <v>434580.58610764524</v>
      </c>
      <c r="K589" s="1">
        <v>434580.58610764524</v>
      </c>
      <c r="L589" s="1">
        <v>434580.58610764524</v>
      </c>
      <c r="M589" s="1">
        <v>264699.08426556573</v>
      </c>
      <c r="N589" s="1">
        <v>264699.08426556573</v>
      </c>
      <c r="O589" s="1">
        <v>220582.57022130478</v>
      </c>
      <c r="P589" s="1">
        <v>220582.57022130478</v>
      </c>
      <c r="Q589" s="1">
        <v>308815.59830982669</v>
      </c>
      <c r="R589" s="1">
        <v>308815.59830982669</v>
      </c>
      <c r="S589" s="1">
        <v>308815.59830982669</v>
      </c>
      <c r="T589" s="1">
        <v>308815.59830982669</v>
      </c>
      <c r="U589" s="1">
        <v>308815.59830982669</v>
      </c>
      <c r="V589" s="1">
        <v>308815.59830982669</v>
      </c>
      <c r="W589" s="4">
        <f t="shared" si="18"/>
        <v>3063134.6766254022</v>
      </c>
      <c r="X589" s="4">
        <f t="shared" si="18"/>
        <v>3063134.6766254022</v>
      </c>
      <c r="Y589" s="5">
        <f t="shared" si="19"/>
        <v>0.58150000000000002</v>
      </c>
    </row>
    <row r="590" spans="1:25" x14ac:dyDescent="0.25">
      <c r="A590" s="1" t="s">
        <v>105</v>
      </c>
      <c r="B590" s="1" t="s">
        <v>70</v>
      </c>
      <c r="C590" s="1" t="s">
        <v>23</v>
      </c>
      <c r="D590" s="1">
        <v>9646874.9064843766</v>
      </c>
      <c r="E590" s="1">
        <v>636693.74382796895</v>
      </c>
      <c r="F590" s="1">
        <v>636693.74382796895</v>
      </c>
      <c r="G590" s="1">
        <v>795867.17978496116</v>
      </c>
      <c r="H590" s="1">
        <v>795867.17978496116</v>
      </c>
      <c r="I590" s="1">
        <v>795867.17978496116</v>
      </c>
      <c r="J590" s="1">
        <v>795867.17978496116</v>
      </c>
      <c r="K590" s="1">
        <v>795867.17978496116</v>
      </c>
      <c r="L590" s="1">
        <v>795867.17978496116</v>
      </c>
      <c r="M590" s="1">
        <v>484755.46405083989</v>
      </c>
      <c r="N590" s="1">
        <v>484755.46405083989</v>
      </c>
      <c r="O590" s="1">
        <v>403962.88670903328</v>
      </c>
      <c r="P590" s="1">
        <v>403962.88670903328</v>
      </c>
      <c r="Q590" s="1">
        <v>565548.0413926465</v>
      </c>
      <c r="R590" s="1">
        <v>565548.0413926465</v>
      </c>
      <c r="S590" s="1">
        <v>565548.0413926465</v>
      </c>
      <c r="T590" s="1">
        <v>565548.0413926465</v>
      </c>
      <c r="U590" s="1">
        <v>565548.0413926465</v>
      </c>
      <c r="V590" s="1">
        <v>565548.0413926465</v>
      </c>
      <c r="W590" s="4">
        <f t="shared" si="18"/>
        <v>5609657.7581206644</v>
      </c>
      <c r="X590" s="4">
        <f t="shared" si="18"/>
        <v>5609657.7581206644</v>
      </c>
      <c r="Y590" s="5">
        <f t="shared" si="19"/>
        <v>0.58149999999999991</v>
      </c>
    </row>
    <row r="591" spans="1:25" x14ac:dyDescent="0.25">
      <c r="A591" s="1" t="s">
        <v>105</v>
      </c>
      <c r="B591" s="1" t="s">
        <v>71</v>
      </c>
      <c r="C591" s="1" t="s">
        <v>29</v>
      </c>
      <c r="D591" s="1">
        <v>6363404.3711538436</v>
      </c>
      <c r="E591" s="1">
        <v>419984.68849615374</v>
      </c>
      <c r="F591" s="1">
        <v>419984.68849615374</v>
      </c>
      <c r="G591" s="1">
        <v>524980.86062019214</v>
      </c>
      <c r="H591" s="1">
        <v>524980.86062019214</v>
      </c>
      <c r="I591" s="1">
        <v>524980.86062019214</v>
      </c>
      <c r="J591" s="1">
        <v>524980.86062019214</v>
      </c>
      <c r="K591" s="1">
        <v>524980.86062019214</v>
      </c>
      <c r="L591" s="1">
        <v>524980.86062019214</v>
      </c>
      <c r="M591" s="1">
        <v>319761.06965048064</v>
      </c>
      <c r="N591" s="1">
        <v>319761.06965048064</v>
      </c>
      <c r="O591" s="1">
        <v>266467.55804206722</v>
      </c>
      <c r="P591" s="1">
        <v>266467.55804206722</v>
      </c>
      <c r="Q591" s="1">
        <v>373054.58125889406</v>
      </c>
      <c r="R591" s="1">
        <v>373054.58125889406</v>
      </c>
      <c r="S591" s="1">
        <v>373054.58125889406</v>
      </c>
      <c r="T591" s="1">
        <v>373054.58125889406</v>
      </c>
      <c r="U591" s="1">
        <v>373054.58125889406</v>
      </c>
      <c r="V591" s="1">
        <v>373054.58125889406</v>
      </c>
      <c r="W591" s="4">
        <f t="shared" si="18"/>
        <v>3700319.6418259605</v>
      </c>
      <c r="X591" s="4">
        <f t="shared" si="18"/>
        <v>3700319.6418259605</v>
      </c>
      <c r="Y591" s="5">
        <f t="shared" si="19"/>
        <v>0.58150000000000002</v>
      </c>
    </row>
    <row r="592" spans="1:25" x14ac:dyDescent="0.25">
      <c r="A592" s="1" t="s">
        <v>105</v>
      </c>
      <c r="B592" s="1" t="s">
        <v>72</v>
      </c>
      <c r="C592" s="1" t="s">
        <v>73</v>
      </c>
      <c r="D592" s="1">
        <v>5093088.4774924582</v>
      </c>
      <c r="E592" s="1">
        <v>336143.83951450232</v>
      </c>
      <c r="F592" s="1">
        <v>336143.83951450232</v>
      </c>
      <c r="G592" s="1">
        <v>420179.79939312785</v>
      </c>
      <c r="H592" s="1">
        <v>420179.79939312785</v>
      </c>
      <c r="I592" s="1">
        <v>420179.79939312785</v>
      </c>
      <c r="J592" s="1">
        <v>420179.79939312785</v>
      </c>
      <c r="K592" s="1">
        <v>420179.79939312785</v>
      </c>
      <c r="L592" s="1">
        <v>420179.79939312785</v>
      </c>
      <c r="M592" s="1">
        <v>255927.69599399599</v>
      </c>
      <c r="N592" s="1">
        <v>255927.69599399599</v>
      </c>
      <c r="O592" s="1">
        <v>213273.07999499666</v>
      </c>
      <c r="P592" s="1">
        <v>213273.07999499666</v>
      </c>
      <c r="Q592" s="1">
        <v>298582.31199299532</v>
      </c>
      <c r="R592" s="1">
        <v>298582.31199299532</v>
      </c>
      <c r="S592" s="1">
        <v>298582.31199299532</v>
      </c>
      <c r="T592" s="1">
        <v>298582.31199299532</v>
      </c>
      <c r="U592" s="1">
        <v>298582.31199299532</v>
      </c>
      <c r="V592" s="1">
        <v>298582.31199299532</v>
      </c>
      <c r="W592" s="4">
        <f t="shared" si="18"/>
        <v>2961630.9496618644</v>
      </c>
      <c r="X592" s="4">
        <f t="shared" si="18"/>
        <v>2961630.9496618644</v>
      </c>
      <c r="Y592" s="5">
        <f t="shared" si="19"/>
        <v>0.58150000000000002</v>
      </c>
    </row>
    <row r="593" spans="1:25" x14ac:dyDescent="0.25">
      <c r="A593" s="1" t="s">
        <v>105</v>
      </c>
      <c r="B593" s="1" t="s">
        <v>48</v>
      </c>
      <c r="C593" s="1" t="s">
        <v>49</v>
      </c>
      <c r="D593" s="1">
        <v>4118230.3351121228</v>
      </c>
      <c r="E593" s="1">
        <v>271803.20211740013</v>
      </c>
      <c r="F593" s="1">
        <v>271803.20211740013</v>
      </c>
      <c r="G593" s="1">
        <v>339754.00264675013</v>
      </c>
      <c r="H593" s="1">
        <v>339754.00264675013</v>
      </c>
      <c r="I593" s="1">
        <v>339754.00264675013</v>
      </c>
      <c r="J593" s="1">
        <v>339754.00264675013</v>
      </c>
      <c r="K593" s="1">
        <v>339754.00264675013</v>
      </c>
      <c r="L593" s="1">
        <v>339754.00264675013</v>
      </c>
      <c r="M593" s="1">
        <v>206941.07433938413</v>
      </c>
      <c r="N593" s="1">
        <v>206941.07433938413</v>
      </c>
      <c r="O593" s="1">
        <v>172450.8952828201</v>
      </c>
      <c r="P593" s="1">
        <v>172450.8952828201</v>
      </c>
      <c r="Q593" s="1">
        <v>241431.25339594812</v>
      </c>
      <c r="R593" s="1">
        <v>241431.25339594812</v>
      </c>
      <c r="S593" s="1">
        <v>241431.25339594812</v>
      </c>
      <c r="T593" s="1">
        <v>241431.25339594812</v>
      </c>
      <c r="U593" s="1">
        <v>241431.25339594812</v>
      </c>
      <c r="V593" s="1">
        <v>241431.25339594812</v>
      </c>
      <c r="W593" s="4">
        <f t="shared" si="18"/>
        <v>2394750.9398676991</v>
      </c>
      <c r="X593" s="4">
        <f t="shared" si="18"/>
        <v>2394750.9398676991</v>
      </c>
      <c r="Y593" s="5">
        <f t="shared" si="19"/>
        <v>0.58149999999999991</v>
      </c>
    </row>
    <row r="594" spans="1:25" x14ac:dyDescent="0.25">
      <c r="A594" s="1" t="s">
        <v>105</v>
      </c>
      <c r="B594" s="1" t="s">
        <v>53</v>
      </c>
      <c r="C594" s="1" t="s">
        <v>30</v>
      </c>
      <c r="D594" s="1">
        <v>3286014.9262045384</v>
      </c>
      <c r="E594" s="1">
        <v>216876.98512949955</v>
      </c>
      <c r="F594" s="1">
        <v>216876.98512949955</v>
      </c>
      <c r="G594" s="1">
        <v>271096.23141187441</v>
      </c>
      <c r="H594" s="1">
        <v>271096.23141187441</v>
      </c>
      <c r="I594" s="1">
        <v>271096.23141187441</v>
      </c>
      <c r="J594" s="1">
        <v>271096.23141187441</v>
      </c>
      <c r="K594" s="1">
        <v>271096.23141187441</v>
      </c>
      <c r="L594" s="1">
        <v>271096.23141187441</v>
      </c>
      <c r="M594" s="1">
        <v>165122.25004177805</v>
      </c>
      <c r="N594" s="1">
        <v>165122.25004177805</v>
      </c>
      <c r="O594" s="1">
        <v>137601.87503481505</v>
      </c>
      <c r="P594" s="1">
        <v>137601.87503481505</v>
      </c>
      <c r="Q594" s="1">
        <v>192642.62504874106</v>
      </c>
      <c r="R594" s="1">
        <v>192642.62504874106</v>
      </c>
      <c r="S594" s="1">
        <v>192642.62504874106</v>
      </c>
      <c r="T594" s="1">
        <v>192642.62504874106</v>
      </c>
      <c r="U594" s="1">
        <v>192642.62504874106</v>
      </c>
      <c r="V594" s="1">
        <v>192642.62504874106</v>
      </c>
      <c r="W594" s="4">
        <f t="shared" ref="W594:X657" si="20">U594+S594+Q594+O594+M594+K594+I594+G594+E594</f>
        <v>1910817.6795879391</v>
      </c>
      <c r="X594" s="4">
        <f t="shared" si="20"/>
        <v>1910817.6795879391</v>
      </c>
      <c r="Y594" s="5">
        <f t="shared" si="19"/>
        <v>0.58150000000000002</v>
      </c>
    </row>
    <row r="595" spans="1:25" x14ac:dyDescent="0.25">
      <c r="A595" s="1" t="s">
        <v>105</v>
      </c>
      <c r="B595" s="1" t="s">
        <v>74</v>
      </c>
      <c r="C595" s="1" t="s">
        <v>75</v>
      </c>
      <c r="D595" s="1">
        <v>7751545.3848048607</v>
      </c>
      <c r="E595" s="1">
        <v>511601.99539712083</v>
      </c>
      <c r="F595" s="1">
        <v>511601.99539712083</v>
      </c>
      <c r="G595" s="1">
        <v>639502.49424640101</v>
      </c>
      <c r="H595" s="1">
        <v>639502.49424640101</v>
      </c>
      <c r="I595" s="1">
        <v>639502.49424640101</v>
      </c>
      <c r="J595" s="1">
        <v>639502.49424640101</v>
      </c>
      <c r="K595" s="1">
        <v>639502.49424640101</v>
      </c>
      <c r="L595" s="1">
        <v>639502.49424640101</v>
      </c>
      <c r="M595" s="1">
        <v>389515.15558644419</v>
      </c>
      <c r="N595" s="1">
        <v>389515.15558644419</v>
      </c>
      <c r="O595" s="1">
        <v>324595.96298870351</v>
      </c>
      <c r="P595" s="1">
        <v>324595.96298870351</v>
      </c>
      <c r="Q595" s="1">
        <v>454434.34818418487</v>
      </c>
      <c r="R595" s="1">
        <v>454434.34818418487</v>
      </c>
      <c r="S595" s="1">
        <v>454434.34818418487</v>
      </c>
      <c r="T595" s="1">
        <v>454434.34818418487</v>
      </c>
      <c r="U595" s="1">
        <v>454434.34818418487</v>
      </c>
      <c r="V595" s="1">
        <v>454434.34818418487</v>
      </c>
      <c r="W595" s="4">
        <f t="shared" si="20"/>
        <v>4507523.6412640261</v>
      </c>
      <c r="X595" s="4">
        <f t="shared" si="20"/>
        <v>4507523.6412640261</v>
      </c>
      <c r="Y595" s="5">
        <f t="shared" si="19"/>
        <v>0.58149999999999991</v>
      </c>
    </row>
    <row r="596" spans="1:25" x14ac:dyDescent="0.25">
      <c r="A596" s="1" t="s">
        <v>105</v>
      </c>
      <c r="B596" s="1" t="s">
        <v>50</v>
      </c>
      <c r="C596" s="1" t="s">
        <v>25</v>
      </c>
      <c r="D596" s="1">
        <v>4324141.8518677279</v>
      </c>
      <c r="E596" s="1">
        <v>285393.36222327006</v>
      </c>
      <c r="F596" s="1">
        <v>285393.36222327006</v>
      </c>
      <c r="G596" s="1">
        <v>356741.70277908759</v>
      </c>
      <c r="H596" s="1">
        <v>356741.70277908759</v>
      </c>
      <c r="I596" s="1">
        <v>356741.70277908759</v>
      </c>
      <c r="J596" s="1">
        <v>356741.70277908759</v>
      </c>
      <c r="K596" s="1">
        <v>356741.70277908759</v>
      </c>
      <c r="L596" s="1">
        <v>356741.70277908759</v>
      </c>
      <c r="M596" s="1">
        <v>217288.12805635331</v>
      </c>
      <c r="N596" s="1">
        <v>217288.12805635331</v>
      </c>
      <c r="O596" s="1">
        <v>181073.4400469611</v>
      </c>
      <c r="P596" s="1">
        <v>181073.4400469611</v>
      </c>
      <c r="Q596" s="1">
        <v>253502.81606574552</v>
      </c>
      <c r="R596" s="1">
        <v>253502.81606574552</v>
      </c>
      <c r="S596" s="1">
        <v>253502.81606574552</v>
      </c>
      <c r="T596" s="1">
        <v>253502.81606574552</v>
      </c>
      <c r="U596" s="1">
        <v>253502.81606574552</v>
      </c>
      <c r="V596" s="1">
        <v>253502.81606574552</v>
      </c>
      <c r="W596" s="4">
        <f t="shared" si="20"/>
        <v>2514488.4868610837</v>
      </c>
      <c r="X596" s="4">
        <f t="shared" si="20"/>
        <v>2514488.4868610837</v>
      </c>
      <c r="Y596" s="5">
        <f t="shared" si="19"/>
        <v>0.58150000000000002</v>
      </c>
    </row>
    <row r="597" spans="1:25" x14ac:dyDescent="0.25">
      <c r="A597" s="1" t="s">
        <v>106</v>
      </c>
      <c r="B597" s="1" t="s">
        <v>59</v>
      </c>
      <c r="C597" s="1" t="s">
        <v>26</v>
      </c>
      <c r="D597" s="1">
        <v>41227236</v>
      </c>
      <c r="E597" s="1">
        <v>3824332.6171153584</v>
      </c>
      <c r="F597" s="1">
        <v>3824332.6171153584</v>
      </c>
      <c r="G597" s="1">
        <v>4780415.7713941978</v>
      </c>
      <c r="H597" s="1">
        <v>4780415.7713941978</v>
      </c>
      <c r="I597" s="1">
        <v>4780415.7713941978</v>
      </c>
      <c r="J597" s="1">
        <v>4780415.7713941978</v>
      </c>
      <c r="K597" s="1">
        <v>4780415.7713941978</v>
      </c>
      <c r="L597" s="1">
        <v>4780415.7713941978</v>
      </c>
      <c r="M597" s="1">
        <v>2763196.6143029011</v>
      </c>
      <c r="N597" s="1">
        <v>2763196.6143029011</v>
      </c>
      <c r="O597" s="1">
        <v>2763196.6143029011</v>
      </c>
      <c r="P597" s="1">
        <v>2763196.6143029011</v>
      </c>
      <c r="Q597" s="1">
        <v>2763196.6143029011</v>
      </c>
      <c r="R597" s="1">
        <v>2763196.6143029011</v>
      </c>
      <c r="S597" s="1">
        <v>2763196.6143029011</v>
      </c>
      <c r="T597" s="1">
        <v>2763196.6143029011</v>
      </c>
      <c r="U597" s="1">
        <v>2763196.6143029011</v>
      </c>
      <c r="V597" s="1">
        <v>2763196.6143029011</v>
      </c>
      <c r="W597" s="4">
        <f t="shared" si="20"/>
        <v>31981563.002812456</v>
      </c>
      <c r="X597" s="4">
        <f t="shared" si="20"/>
        <v>31981563.002812456</v>
      </c>
      <c r="Y597" s="5">
        <f t="shared" si="19"/>
        <v>0.77573871318495513</v>
      </c>
    </row>
    <row r="598" spans="1:25" x14ac:dyDescent="0.25">
      <c r="A598" s="1" t="s">
        <v>106</v>
      </c>
      <c r="B598" s="1" t="s">
        <v>59</v>
      </c>
      <c r="C598" s="1" t="s">
        <v>26</v>
      </c>
      <c r="D598" s="1">
        <v>16717196.810000001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8358598.4050000003</v>
      </c>
      <c r="N598" s="1">
        <v>8358598.4050000003</v>
      </c>
      <c r="O598" s="1">
        <v>8358598.4050000003</v>
      </c>
      <c r="P598" s="1">
        <v>8358598.4050000003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4">
        <f t="shared" si="20"/>
        <v>16717196.810000001</v>
      </c>
      <c r="X598" s="4">
        <f t="shared" si="20"/>
        <v>16717196.810000001</v>
      </c>
      <c r="Y598" s="5">
        <f t="shared" si="19"/>
        <v>1</v>
      </c>
    </row>
    <row r="599" spans="1:25" x14ac:dyDescent="0.25">
      <c r="A599" s="1" t="s">
        <v>106</v>
      </c>
      <c r="B599" s="1" t="s">
        <v>33</v>
      </c>
      <c r="C599" s="1" t="s">
        <v>34</v>
      </c>
      <c r="D599" s="1">
        <v>84000000</v>
      </c>
      <c r="E599" s="1">
        <v>0</v>
      </c>
      <c r="F599" s="1">
        <v>0</v>
      </c>
      <c r="G599" s="1">
        <v>16800000</v>
      </c>
      <c r="H599" s="1">
        <v>16800000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25200000</v>
      </c>
      <c r="P599" s="1">
        <v>25200000</v>
      </c>
      <c r="Q599" s="1">
        <v>0</v>
      </c>
      <c r="R599" s="1">
        <v>0</v>
      </c>
      <c r="S599" s="1">
        <v>25200000</v>
      </c>
      <c r="T599" s="1">
        <v>25200000</v>
      </c>
      <c r="U599" s="1">
        <v>16800000</v>
      </c>
      <c r="V599" s="1">
        <v>16800000</v>
      </c>
      <c r="W599" s="4">
        <f t="shared" si="20"/>
        <v>84000000</v>
      </c>
      <c r="X599" s="4">
        <f t="shared" si="20"/>
        <v>84000000</v>
      </c>
      <c r="Y599" s="5">
        <f t="shared" si="19"/>
        <v>1</v>
      </c>
    </row>
    <row r="600" spans="1:25" x14ac:dyDescent="0.25">
      <c r="A600" s="1" t="s">
        <v>106</v>
      </c>
      <c r="B600" s="1" t="s">
        <v>35</v>
      </c>
      <c r="C600" s="1" t="s">
        <v>34</v>
      </c>
      <c r="D600" s="1">
        <v>209999999.99999997</v>
      </c>
      <c r="E600" s="1">
        <v>0</v>
      </c>
      <c r="F600" s="1">
        <v>0</v>
      </c>
      <c r="G600" s="1">
        <v>57750000</v>
      </c>
      <c r="H600" s="1">
        <v>57750000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50749999.999999993</v>
      </c>
      <c r="P600" s="1">
        <v>50749999.999999993</v>
      </c>
      <c r="Q600" s="1">
        <v>0</v>
      </c>
      <c r="R600" s="1">
        <v>0</v>
      </c>
      <c r="S600" s="1">
        <v>50749999.999999993</v>
      </c>
      <c r="T600" s="1">
        <v>50749999.999999993</v>
      </c>
      <c r="U600" s="1">
        <v>50749999.999999993</v>
      </c>
      <c r="V600" s="1">
        <v>50749999.999999993</v>
      </c>
      <c r="W600" s="4">
        <f t="shared" si="20"/>
        <v>209999999.99999997</v>
      </c>
      <c r="X600" s="4">
        <f t="shared" si="20"/>
        <v>209999999.99999997</v>
      </c>
      <c r="Y600" s="5">
        <f t="shared" si="19"/>
        <v>1</v>
      </c>
    </row>
    <row r="601" spans="1:25" x14ac:dyDescent="0.25">
      <c r="A601" s="1" t="s">
        <v>106</v>
      </c>
      <c r="B601" s="1" t="s">
        <v>38</v>
      </c>
      <c r="C601" s="1" t="s">
        <v>39</v>
      </c>
      <c r="D601" s="1">
        <v>7721052.9970139032</v>
      </c>
      <c r="E601" s="1">
        <v>509589.49780291767</v>
      </c>
      <c r="F601" s="1">
        <v>509589.49780291767</v>
      </c>
      <c r="G601" s="1">
        <v>636986.87225364707</v>
      </c>
      <c r="H601" s="1">
        <v>636986.87225364707</v>
      </c>
      <c r="I601" s="1">
        <v>636986.87225364707</v>
      </c>
      <c r="J601" s="1">
        <v>636986.87225364707</v>
      </c>
      <c r="K601" s="1">
        <v>636986.87225364707</v>
      </c>
      <c r="L601" s="1">
        <v>636986.87225364707</v>
      </c>
      <c r="M601" s="1">
        <v>387982.91309994861</v>
      </c>
      <c r="N601" s="1">
        <v>387982.91309994861</v>
      </c>
      <c r="O601" s="1">
        <v>323319.09424995718</v>
      </c>
      <c r="P601" s="1">
        <v>323319.09424995718</v>
      </c>
      <c r="Q601" s="1">
        <v>452646.73194994003</v>
      </c>
      <c r="R601" s="1">
        <v>452646.73194994003</v>
      </c>
      <c r="S601" s="1">
        <v>452646.73194994003</v>
      </c>
      <c r="T601" s="1">
        <v>452646.73194994003</v>
      </c>
      <c r="U601" s="1">
        <v>452646.73194994003</v>
      </c>
      <c r="V601" s="1">
        <v>452646.73194994003</v>
      </c>
      <c r="W601" s="4">
        <f t="shared" si="20"/>
        <v>4489792.3177635847</v>
      </c>
      <c r="X601" s="4">
        <f t="shared" si="20"/>
        <v>4489792.3177635847</v>
      </c>
      <c r="Y601" s="5">
        <f t="shared" si="19"/>
        <v>0.58150000000000002</v>
      </c>
    </row>
    <row r="602" spans="1:25" x14ac:dyDescent="0.25">
      <c r="A602" s="1" t="s">
        <v>106</v>
      </c>
      <c r="B602" s="1" t="s">
        <v>61</v>
      </c>
      <c r="C602" s="1" t="s">
        <v>34</v>
      </c>
      <c r="D602" s="1">
        <v>110389930</v>
      </c>
      <c r="E602" s="1">
        <v>0</v>
      </c>
      <c r="F602" s="1">
        <v>0</v>
      </c>
      <c r="G602" s="1">
        <v>8831194.3989941087</v>
      </c>
      <c r="H602" s="1">
        <v>8831194.3989941087</v>
      </c>
      <c r="I602" s="1">
        <v>0</v>
      </c>
      <c r="J602" s="1">
        <v>0</v>
      </c>
      <c r="K602" s="1">
        <v>0</v>
      </c>
      <c r="L602" s="1">
        <v>0</v>
      </c>
      <c r="M602" s="1">
        <v>25389683.900251474</v>
      </c>
      <c r="N602" s="1">
        <v>25389683.900251474</v>
      </c>
      <c r="O602" s="1">
        <v>0</v>
      </c>
      <c r="P602" s="1">
        <v>0</v>
      </c>
      <c r="Q602" s="1">
        <v>0</v>
      </c>
      <c r="R602" s="1">
        <v>0</v>
      </c>
      <c r="S602" s="1">
        <v>38084525.850377209</v>
      </c>
      <c r="T602" s="1">
        <v>38084525.850377209</v>
      </c>
      <c r="U602" s="1">
        <v>0</v>
      </c>
      <c r="V602" s="1">
        <v>0</v>
      </c>
      <c r="W602" s="4">
        <f t="shared" si="20"/>
        <v>72305404.149622783</v>
      </c>
      <c r="X602" s="4">
        <f t="shared" si="20"/>
        <v>72305404.149622783</v>
      </c>
      <c r="Y602" s="5">
        <f t="shared" si="19"/>
        <v>0.65499999999658287</v>
      </c>
    </row>
    <row r="603" spans="1:25" x14ac:dyDescent="0.25">
      <c r="A603" s="1" t="s">
        <v>106</v>
      </c>
      <c r="B603" s="1" t="s">
        <v>62</v>
      </c>
      <c r="C603" s="1" t="s">
        <v>63</v>
      </c>
      <c r="D603" s="1">
        <v>48142857</v>
      </c>
      <c r="E603" s="1">
        <v>20679999.999120001</v>
      </c>
      <c r="F603" s="1">
        <v>20679999.999120001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1671964.2857967855</v>
      </c>
      <c r="N603" s="1">
        <v>1671964.2857967855</v>
      </c>
      <c r="O603" s="1">
        <v>1393303.5714973214</v>
      </c>
      <c r="P603" s="1">
        <v>1393303.5714973214</v>
      </c>
      <c r="Q603" s="1">
        <v>1950625.0000962499</v>
      </c>
      <c r="R603" s="1">
        <v>1950625.0000962499</v>
      </c>
      <c r="S603" s="1">
        <v>1950625.0000962499</v>
      </c>
      <c r="T603" s="1">
        <v>1950625.0000962499</v>
      </c>
      <c r="U603" s="1">
        <v>1950625.0000962499</v>
      </c>
      <c r="V603" s="1">
        <v>1950625.0000962499</v>
      </c>
      <c r="W603" s="4">
        <f t="shared" si="20"/>
        <v>29597142.856702857</v>
      </c>
      <c r="X603" s="4">
        <f t="shared" si="20"/>
        <v>29597142.856702857</v>
      </c>
      <c r="Y603" s="5">
        <f t="shared" si="19"/>
        <v>0.61477744988634253</v>
      </c>
    </row>
    <row r="604" spans="1:25" x14ac:dyDescent="0.25">
      <c r="A604" s="1" t="s">
        <v>106</v>
      </c>
      <c r="B604" s="1" t="s">
        <v>40</v>
      </c>
      <c r="C604" s="1" t="s">
        <v>27</v>
      </c>
      <c r="D604" s="1">
        <v>136737692.85370299</v>
      </c>
      <c r="E604" s="1">
        <v>19964375.292004298</v>
      </c>
      <c r="F604" s="1">
        <v>19964375.292004298</v>
      </c>
      <c r="G604" s="1">
        <v>19631403.947446153</v>
      </c>
      <c r="H604" s="1">
        <v>19631403.947446153</v>
      </c>
      <c r="I604" s="1">
        <v>10313112.883534437</v>
      </c>
      <c r="J604" s="1">
        <v>10313112.883534437</v>
      </c>
      <c r="K604" s="1">
        <v>14378437.024613272</v>
      </c>
      <c r="L604" s="1">
        <v>14378437.024613272</v>
      </c>
      <c r="M604" s="1">
        <v>0</v>
      </c>
      <c r="N604" s="1">
        <v>0</v>
      </c>
      <c r="O604" s="1">
        <v>15509225.041307034</v>
      </c>
      <c r="P604" s="1">
        <v>15509225.041307034</v>
      </c>
      <c r="Q604" s="1">
        <v>10181956.177633135</v>
      </c>
      <c r="R604" s="1">
        <v>10181956.177633135</v>
      </c>
      <c r="S604" s="1">
        <v>14240180.848201392</v>
      </c>
      <c r="T604" s="1">
        <v>14240180.848201392</v>
      </c>
      <c r="U604" s="1">
        <v>11371080.378943011</v>
      </c>
      <c r="V604" s="1">
        <v>11371080.378943011</v>
      </c>
      <c r="W604" s="4">
        <f t="shared" si="20"/>
        <v>115589771.59368274</v>
      </c>
      <c r="X604" s="4">
        <f t="shared" si="20"/>
        <v>115589771.59368274</v>
      </c>
      <c r="Y604" s="5">
        <f t="shared" si="19"/>
        <v>0.84533949038728751</v>
      </c>
    </row>
    <row r="605" spans="1:25" x14ac:dyDescent="0.25">
      <c r="A605" s="1" t="s">
        <v>106</v>
      </c>
      <c r="B605" s="1" t="s">
        <v>40</v>
      </c>
      <c r="C605" s="1" t="s">
        <v>27</v>
      </c>
      <c r="D605" s="1">
        <v>217836239.99999955</v>
      </c>
      <c r="E605" s="1">
        <v>2171200</v>
      </c>
      <c r="F605" s="1">
        <v>2171200</v>
      </c>
      <c r="G605" s="1">
        <v>50313649.023134947</v>
      </c>
      <c r="H605" s="1">
        <v>50313649.023134947</v>
      </c>
      <c r="I605" s="1">
        <v>0</v>
      </c>
      <c r="J605" s="1">
        <v>0</v>
      </c>
      <c r="K605" s="1">
        <v>2222175</v>
      </c>
      <c r="L605" s="1">
        <v>2222175</v>
      </c>
      <c r="M605" s="1">
        <v>53185140.366324231</v>
      </c>
      <c r="N605" s="1">
        <v>53185140.366324231</v>
      </c>
      <c r="O605" s="1">
        <v>54536760.244216152</v>
      </c>
      <c r="P605" s="1">
        <v>54536760.244216152</v>
      </c>
      <c r="Q605" s="1">
        <v>53185140.366324231</v>
      </c>
      <c r="R605" s="1">
        <v>53185140.366324231</v>
      </c>
      <c r="S605" s="1">
        <v>2222175</v>
      </c>
      <c r="T605" s="1">
        <v>2222175</v>
      </c>
      <c r="U605" s="1">
        <v>0</v>
      </c>
      <c r="V605" s="1">
        <v>0</v>
      </c>
      <c r="W605" s="4">
        <f t="shared" si="20"/>
        <v>217836239.99999958</v>
      </c>
      <c r="X605" s="4">
        <f t="shared" si="20"/>
        <v>217836239.99999958</v>
      </c>
      <c r="Y605" s="5">
        <f t="shared" si="19"/>
        <v>1.0000000000000002</v>
      </c>
    </row>
    <row r="606" spans="1:25" x14ac:dyDescent="0.25">
      <c r="A606" s="1" t="s">
        <v>106</v>
      </c>
      <c r="B606" s="1" t="s">
        <v>40</v>
      </c>
      <c r="C606" s="1" t="s">
        <v>27</v>
      </c>
      <c r="D606" s="1">
        <v>41813499.999999948</v>
      </c>
      <c r="E606" s="1">
        <v>0</v>
      </c>
      <c r="F606" s="1">
        <v>0</v>
      </c>
      <c r="G606" s="1">
        <v>0</v>
      </c>
      <c r="H606" s="1">
        <v>0</v>
      </c>
      <c r="I606" s="1">
        <v>11813499.999999899</v>
      </c>
      <c r="J606" s="1">
        <v>11813499.999999899</v>
      </c>
      <c r="K606" s="1">
        <v>0</v>
      </c>
      <c r="L606" s="1">
        <v>0</v>
      </c>
      <c r="M606" s="1">
        <v>11250000.000000019</v>
      </c>
      <c r="N606" s="1">
        <v>11250000.000000019</v>
      </c>
      <c r="O606" s="1">
        <v>7500000.0000000121</v>
      </c>
      <c r="P606" s="1">
        <v>7500000.0000000121</v>
      </c>
      <c r="Q606" s="1">
        <v>11250000.000000019</v>
      </c>
      <c r="R606" s="1">
        <v>11250000.000000019</v>
      </c>
      <c r="S606" s="1">
        <v>0</v>
      </c>
      <c r="T606" s="1">
        <v>0</v>
      </c>
      <c r="U606" s="1">
        <v>0</v>
      </c>
      <c r="V606" s="1">
        <v>0</v>
      </c>
      <c r="W606" s="4">
        <f t="shared" si="20"/>
        <v>41813499.999999948</v>
      </c>
      <c r="X606" s="4">
        <f t="shared" si="20"/>
        <v>41813499.999999948</v>
      </c>
      <c r="Y606" s="5">
        <f t="shared" si="19"/>
        <v>1</v>
      </c>
    </row>
    <row r="607" spans="1:25" x14ac:dyDescent="0.25">
      <c r="A607" s="1" t="s">
        <v>106</v>
      </c>
      <c r="B607" s="1" t="s">
        <v>43</v>
      </c>
      <c r="C607" s="1" t="s">
        <v>31</v>
      </c>
      <c r="D607" s="1">
        <v>5114056</v>
      </c>
      <c r="E607" s="1">
        <v>297067.3159730364</v>
      </c>
      <c r="F607" s="1">
        <v>297067.3159730364</v>
      </c>
      <c r="G607" s="1">
        <v>371334.14496629545</v>
      </c>
      <c r="H607" s="1">
        <v>371334.14496629545</v>
      </c>
      <c r="I607" s="1">
        <v>371334.14496629545</v>
      </c>
      <c r="J607" s="1">
        <v>371334.14496629545</v>
      </c>
      <c r="K607" s="1">
        <v>371334.14496629545</v>
      </c>
      <c r="L607" s="1">
        <v>371334.14496629545</v>
      </c>
      <c r="M607" s="1">
        <v>276114.62870882323</v>
      </c>
      <c r="N607" s="1">
        <v>276114.62870882323</v>
      </c>
      <c r="O607" s="1">
        <v>230095.52392401936</v>
      </c>
      <c r="P607" s="1">
        <v>230095.52392401936</v>
      </c>
      <c r="Q607" s="1">
        <v>285167.45963898295</v>
      </c>
      <c r="R607" s="1">
        <v>285167.45963898295</v>
      </c>
      <c r="S607" s="1">
        <v>322133.73349362711</v>
      </c>
      <c r="T607" s="1">
        <v>322133.73349362711</v>
      </c>
      <c r="U607" s="1">
        <v>322133.73349362711</v>
      </c>
      <c r="V607" s="1">
        <v>322133.73349362711</v>
      </c>
      <c r="W607" s="4">
        <f t="shared" si="20"/>
        <v>2846714.8301310027</v>
      </c>
      <c r="X607" s="4">
        <f t="shared" si="20"/>
        <v>2846714.8301310027</v>
      </c>
      <c r="Y607" s="5">
        <f t="shared" si="19"/>
        <v>0.55664522057071775</v>
      </c>
    </row>
    <row r="608" spans="1:25" x14ac:dyDescent="0.25">
      <c r="A608" s="1" t="s">
        <v>106</v>
      </c>
      <c r="B608" s="1" t="s">
        <v>64</v>
      </c>
      <c r="C608" s="1" t="s">
        <v>23</v>
      </c>
      <c r="D608" s="1">
        <v>4592257.8389874231</v>
      </c>
      <c r="E608" s="1">
        <v>303089.01737316995</v>
      </c>
      <c r="F608" s="1">
        <v>303089.01737316995</v>
      </c>
      <c r="G608" s="1">
        <v>378861.27171646245</v>
      </c>
      <c r="H608" s="1">
        <v>378861.27171646245</v>
      </c>
      <c r="I608" s="1">
        <v>378861.27171646245</v>
      </c>
      <c r="J608" s="1">
        <v>378861.27171646245</v>
      </c>
      <c r="K608" s="1">
        <v>378861.27171646245</v>
      </c>
      <c r="L608" s="1">
        <v>378861.27171646245</v>
      </c>
      <c r="M608" s="1">
        <v>230760.95640911799</v>
      </c>
      <c r="N608" s="1">
        <v>230760.95640911799</v>
      </c>
      <c r="O608" s="1">
        <v>192300.79700759833</v>
      </c>
      <c r="P608" s="1">
        <v>192300.79700759833</v>
      </c>
      <c r="Q608" s="1">
        <v>269221.11581063765</v>
      </c>
      <c r="R608" s="1">
        <v>269221.11581063765</v>
      </c>
      <c r="S608" s="1">
        <v>269221.11581063765</v>
      </c>
      <c r="T608" s="1">
        <v>269221.11581063765</v>
      </c>
      <c r="U608" s="1">
        <v>269221.11581063765</v>
      </c>
      <c r="V608" s="1">
        <v>269221.11581063765</v>
      </c>
      <c r="W608" s="4">
        <f t="shared" si="20"/>
        <v>2670397.9333711863</v>
      </c>
      <c r="X608" s="4">
        <f t="shared" si="20"/>
        <v>2670397.9333711863</v>
      </c>
      <c r="Y608" s="5">
        <f t="shared" si="19"/>
        <v>0.58149999999999991</v>
      </c>
    </row>
    <row r="609" spans="1:25" x14ac:dyDescent="0.25">
      <c r="A609" s="1" t="s">
        <v>106</v>
      </c>
      <c r="B609" s="1" t="s">
        <v>65</v>
      </c>
      <c r="C609" s="1" t="s">
        <v>31</v>
      </c>
      <c r="D609" s="1">
        <v>7347302.5334744686</v>
      </c>
      <c r="E609" s="1">
        <v>484921.96720931493</v>
      </c>
      <c r="F609" s="1">
        <v>484921.96720931493</v>
      </c>
      <c r="G609" s="1">
        <v>606152.45901164366</v>
      </c>
      <c r="H609" s="1">
        <v>606152.45901164366</v>
      </c>
      <c r="I609" s="1">
        <v>606152.45901164366</v>
      </c>
      <c r="J609" s="1">
        <v>606152.45901164366</v>
      </c>
      <c r="K609" s="1">
        <v>606152.45901164366</v>
      </c>
      <c r="L609" s="1">
        <v>606152.45901164366</v>
      </c>
      <c r="M609" s="1">
        <v>369201.95230709203</v>
      </c>
      <c r="N609" s="1">
        <v>369201.95230709203</v>
      </c>
      <c r="O609" s="1">
        <v>307668.29358924337</v>
      </c>
      <c r="P609" s="1">
        <v>307668.29358924337</v>
      </c>
      <c r="Q609" s="1">
        <v>430735.61102494068</v>
      </c>
      <c r="R609" s="1">
        <v>430735.61102494068</v>
      </c>
      <c r="S609" s="1">
        <v>430735.61102494068</v>
      </c>
      <c r="T609" s="1">
        <v>430735.61102494068</v>
      </c>
      <c r="U609" s="1">
        <v>430735.61102494068</v>
      </c>
      <c r="V609" s="1">
        <v>430735.61102494068</v>
      </c>
      <c r="W609" s="4">
        <f t="shared" si="20"/>
        <v>4272456.4232154032</v>
      </c>
      <c r="X609" s="4">
        <f t="shared" si="20"/>
        <v>4272456.4232154032</v>
      </c>
      <c r="Y609" s="5">
        <f t="shared" si="19"/>
        <v>0.58149999999999991</v>
      </c>
    </row>
    <row r="610" spans="1:25" x14ac:dyDescent="0.25">
      <c r="A610" s="1" t="s">
        <v>106</v>
      </c>
      <c r="B610" s="1" t="s">
        <v>44</v>
      </c>
      <c r="C610" s="1" t="s">
        <v>45</v>
      </c>
      <c r="D610" s="1">
        <v>7721052.9970139032</v>
      </c>
      <c r="E610" s="1">
        <v>509589.49780291767</v>
      </c>
      <c r="F610" s="1">
        <v>509589.49780291767</v>
      </c>
      <c r="G610" s="1">
        <v>636986.87225364707</v>
      </c>
      <c r="H610" s="1">
        <v>636986.87225364707</v>
      </c>
      <c r="I610" s="1">
        <v>636986.87225364707</v>
      </c>
      <c r="J610" s="1">
        <v>636986.87225364707</v>
      </c>
      <c r="K610" s="1">
        <v>636986.87225364707</v>
      </c>
      <c r="L610" s="1">
        <v>636986.87225364707</v>
      </c>
      <c r="M610" s="1">
        <v>387982.91309994861</v>
      </c>
      <c r="N610" s="1">
        <v>387982.91309994861</v>
      </c>
      <c r="O610" s="1">
        <v>323319.09424995718</v>
      </c>
      <c r="P610" s="1">
        <v>323319.09424995718</v>
      </c>
      <c r="Q610" s="1">
        <v>452646.73194994003</v>
      </c>
      <c r="R610" s="1">
        <v>452646.73194994003</v>
      </c>
      <c r="S610" s="1">
        <v>452646.73194994003</v>
      </c>
      <c r="T610" s="1">
        <v>452646.73194994003</v>
      </c>
      <c r="U610" s="1">
        <v>452646.73194994003</v>
      </c>
      <c r="V610" s="1">
        <v>452646.73194994003</v>
      </c>
      <c r="W610" s="4">
        <f t="shared" si="20"/>
        <v>4489792.3177635847</v>
      </c>
      <c r="X610" s="4">
        <f t="shared" si="20"/>
        <v>4489792.3177635847</v>
      </c>
      <c r="Y610" s="5">
        <f t="shared" si="19"/>
        <v>0.58150000000000002</v>
      </c>
    </row>
    <row r="611" spans="1:25" x14ac:dyDescent="0.25">
      <c r="A611" s="1" t="s">
        <v>106</v>
      </c>
      <c r="B611" s="1" t="s">
        <v>46</v>
      </c>
      <c r="C611" s="1" t="s">
        <v>22</v>
      </c>
      <c r="D611" s="1">
        <v>99097767.77037932</v>
      </c>
      <c r="E611" s="1">
        <v>6546579.2939750319</v>
      </c>
      <c r="F611" s="1">
        <v>6546579.2939750319</v>
      </c>
      <c r="G611" s="1">
        <v>8183224.1174687892</v>
      </c>
      <c r="H611" s="1">
        <v>8183224.1174687892</v>
      </c>
      <c r="I611" s="1">
        <v>8183224.1174687892</v>
      </c>
      <c r="J611" s="1">
        <v>8183224.1174687892</v>
      </c>
      <c r="K611" s="1">
        <v>8183224.1174687892</v>
      </c>
      <c r="L611" s="1">
        <v>8183224.1174687892</v>
      </c>
      <c r="M611" s="1">
        <v>5134704.0819717227</v>
      </c>
      <c r="N611" s="1">
        <v>5134704.0819717227</v>
      </c>
      <c r="O611" s="1">
        <v>4175487.4181510718</v>
      </c>
      <c r="P611" s="1">
        <v>4175487.4181510718</v>
      </c>
      <c r="Q611" s="1">
        <v>5780703.1249092575</v>
      </c>
      <c r="R611" s="1">
        <v>5780703.1249092575</v>
      </c>
      <c r="S611" s="1">
        <v>5780703.1249092575</v>
      </c>
      <c r="T611" s="1">
        <v>5780703.1249092575</v>
      </c>
      <c r="U611" s="1">
        <v>5780703.1249092575</v>
      </c>
      <c r="V611" s="1">
        <v>5780703.1249092575</v>
      </c>
      <c r="W611" s="4">
        <f t="shared" si="20"/>
        <v>57748552.521231972</v>
      </c>
      <c r="X611" s="4">
        <f t="shared" si="20"/>
        <v>57748552.521231972</v>
      </c>
      <c r="Y611" s="5">
        <f t="shared" si="19"/>
        <v>0.58274322238056731</v>
      </c>
    </row>
    <row r="612" spans="1:25" x14ac:dyDescent="0.25">
      <c r="A612" s="1" t="s">
        <v>106</v>
      </c>
      <c r="B612" s="1" t="s">
        <v>66</v>
      </c>
      <c r="C612" s="1" t="s">
        <v>24</v>
      </c>
      <c r="D612" s="1">
        <v>339025836.66059417</v>
      </c>
      <c r="E612" s="1">
        <v>27969631.524499021</v>
      </c>
      <c r="F612" s="1">
        <v>27969631.524499021</v>
      </c>
      <c r="G612" s="1">
        <v>27969631.524499021</v>
      </c>
      <c r="H612" s="1">
        <v>27969631.524499021</v>
      </c>
      <c r="I612" s="1">
        <v>27969631.524499021</v>
      </c>
      <c r="J612" s="1">
        <v>27969631.524499021</v>
      </c>
      <c r="K612" s="1">
        <v>27969631.524499021</v>
      </c>
      <c r="L612" s="1">
        <v>27969631.524499021</v>
      </c>
      <c r="M612" s="1">
        <v>30121473.902003914</v>
      </c>
      <c r="N612" s="1">
        <v>30121473.902003914</v>
      </c>
      <c r="O612" s="1">
        <v>30000000</v>
      </c>
      <c r="P612" s="1">
        <v>30000000</v>
      </c>
      <c r="Q612" s="1">
        <v>32000000</v>
      </c>
      <c r="R612" s="1">
        <v>32000000</v>
      </c>
      <c r="S612" s="1">
        <v>30345789</v>
      </c>
      <c r="T612" s="1">
        <v>30345789</v>
      </c>
      <c r="U612" s="1">
        <v>29705602.750000045</v>
      </c>
      <c r="V612" s="1">
        <v>29705602.750000045</v>
      </c>
      <c r="W612" s="4">
        <f t="shared" si="20"/>
        <v>264051391.75000006</v>
      </c>
      <c r="X612" s="4">
        <f t="shared" si="20"/>
        <v>264051391.75000006</v>
      </c>
      <c r="Y612" s="5">
        <f t="shared" si="19"/>
        <v>0.7788533002407938</v>
      </c>
    </row>
    <row r="613" spans="1:25" x14ac:dyDescent="0.25">
      <c r="A613" s="1" t="s">
        <v>106</v>
      </c>
      <c r="B613" s="1" t="s">
        <v>67</v>
      </c>
      <c r="C613" s="1" t="s">
        <v>68</v>
      </c>
      <c r="D613" s="1">
        <v>5916750.6585043678</v>
      </c>
      <c r="E613" s="1">
        <v>390505.54346128833</v>
      </c>
      <c r="F613" s="1">
        <v>390505.54346128833</v>
      </c>
      <c r="G613" s="1">
        <v>488131.92932661035</v>
      </c>
      <c r="H613" s="1">
        <v>488131.92932661035</v>
      </c>
      <c r="I613" s="1">
        <v>488131.92932661035</v>
      </c>
      <c r="J613" s="1">
        <v>488131.92932661035</v>
      </c>
      <c r="K613" s="1">
        <v>488131.92932661035</v>
      </c>
      <c r="L613" s="1">
        <v>488131.92932661035</v>
      </c>
      <c r="M613" s="1">
        <v>307671.03424222715</v>
      </c>
      <c r="N613" s="1">
        <v>307671.03424222715</v>
      </c>
      <c r="O613" s="1">
        <v>246531.277437682</v>
      </c>
      <c r="P613" s="1">
        <v>246531.277437682</v>
      </c>
      <c r="Q613" s="1">
        <v>345143.78841275477</v>
      </c>
      <c r="R613" s="1">
        <v>345143.78841275477</v>
      </c>
      <c r="S613" s="1">
        <v>345143.78841275477</v>
      </c>
      <c r="T613" s="1">
        <v>345143.78841275477</v>
      </c>
      <c r="U613" s="1">
        <v>345143.78841275477</v>
      </c>
      <c r="V613" s="1">
        <v>345143.78841275477</v>
      </c>
      <c r="W613" s="4">
        <f t="shared" si="20"/>
        <v>3444535.0083592925</v>
      </c>
      <c r="X613" s="4">
        <f t="shared" si="20"/>
        <v>3444535.0083592925</v>
      </c>
      <c r="Y613" s="5">
        <f t="shared" si="19"/>
        <v>0.58216666666666661</v>
      </c>
    </row>
    <row r="614" spans="1:25" x14ac:dyDescent="0.25">
      <c r="A614" s="1" t="s">
        <v>106</v>
      </c>
      <c r="B614" s="1" t="s">
        <v>69</v>
      </c>
      <c r="C614" s="1" t="s">
        <v>28</v>
      </c>
      <c r="D614" s="1">
        <v>8413085.4776615854</v>
      </c>
      <c r="E614" s="1">
        <v>555263.64152566472</v>
      </c>
      <c r="F614" s="1">
        <v>555263.64152566472</v>
      </c>
      <c r="G614" s="1">
        <v>694079.55190708081</v>
      </c>
      <c r="H614" s="1">
        <v>694079.55190708081</v>
      </c>
      <c r="I614" s="1">
        <v>694079.55190708081</v>
      </c>
      <c r="J614" s="1">
        <v>694079.55190708081</v>
      </c>
      <c r="K614" s="1">
        <v>694079.55190708081</v>
      </c>
      <c r="L614" s="1">
        <v>694079.55190708081</v>
      </c>
      <c r="M614" s="1">
        <v>422757.54525249469</v>
      </c>
      <c r="N614" s="1">
        <v>422757.54525249469</v>
      </c>
      <c r="O614" s="1">
        <v>352297.95437707892</v>
      </c>
      <c r="P614" s="1">
        <v>352297.95437707892</v>
      </c>
      <c r="Q614" s="1">
        <v>493217.13612791046</v>
      </c>
      <c r="R614" s="1">
        <v>493217.13612791046</v>
      </c>
      <c r="S614" s="1">
        <v>493217.13612791046</v>
      </c>
      <c r="T614" s="1">
        <v>493217.13612791046</v>
      </c>
      <c r="U614" s="1">
        <v>493217.13612791046</v>
      </c>
      <c r="V614" s="1">
        <v>493217.13612791046</v>
      </c>
      <c r="W614" s="4">
        <f t="shared" si="20"/>
        <v>4892209.2052602116</v>
      </c>
      <c r="X614" s="4">
        <f t="shared" si="20"/>
        <v>4892209.2052602116</v>
      </c>
      <c r="Y614" s="5">
        <f t="shared" si="19"/>
        <v>0.58149999999999991</v>
      </c>
    </row>
    <row r="615" spans="1:25" x14ac:dyDescent="0.25">
      <c r="A615" s="1" t="s">
        <v>106</v>
      </c>
      <c r="B615" s="1" t="s">
        <v>70</v>
      </c>
      <c r="C615" s="1" t="s">
        <v>23</v>
      </c>
      <c r="D615" s="1">
        <v>8268750.0182812503</v>
      </c>
      <c r="E615" s="1">
        <v>545737.50120656262</v>
      </c>
      <c r="F615" s="1">
        <v>545737.50120656262</v>
      </c>
      <c r="G615" s="1">
        <v>682171.87650820322</v>
      </c>
      <c r="H615" s="1">
        <v>682171.87650820322</v>
      </c>
      <c r="I615" s="1">
        <v>682171.87650820322</v>
      </c>
      <c r="J615" s="1">
        <v>682171.87650820322</v>
      </c>
      <c r="K615" s="1">
        <v>682171.87650820322</v>
      </c>
      <c r="L615" s="1">
        <v>682171.87650820322</v>
      </c>
      <c r="M615" s="1">
        <v>415504.68841863284</v>
      </c>
      <c r="N615" s="1">
        <v>415504.68841863284</v>
      </c>
      <c r="O615" s="1">
        <v>346253.90701552737</v>
      </c>
      <c r="P615" s="1">
        <v>346253.90701552737</v>
      </c>
      <c r="Q615" s="1">
        <v>484755.46982173825</v>
      </c>
      <c r="R615" s="1">
        <v>484755.46982173825</v>
      </c>
      <c r="S615" s="1">
        <v>484755.46982173825</v>
      </c>
      <c r="T615" s="1">
        <v>484755.46982173825</v>
      </c>
      <c r="U615" s="1">
        <v>484755.46982173825</v>
      </c>
      <c r="V615" s="1">
        <v>484755.46982173825</v>
      </c>
      <c r="W615" s="4">
        <f t="shared" si="20"/>
        <v>4808278.135630548</v>
      </c>
      <c r="X615" s="4">
        <f t="shared" si="20"/>
        <v>4808278.135630548</v>
      </c>
      <c r="Y615" s="5">
        <f t="shared" si="19"/>
        <v>0.58150000000000013</v>
      </c>
    </row>
    <row r="616" spans="1:25" x14ac:dyDescent="0.25">
      <c r="A616" s="1" t="s">
        <v>106</v>
      </c>
      <c r="B616" s="1" t="s">
        <v>71</v>
      </c>
      <c r="C616" s="1" t="s">
        <v>29</v>
      </c>
      <c r="D616" s="1">
        <v>6717723.660576975</v>
      </c>
      <c r="E616" s="1">
        <v>443369.7615980804</v>
      </c>
      <c r="F616" s="1">
        <v>443369.7615980804</v>
      </c>
      <c r="G616" s="1">
        <v>554212.2019976005</v>
      </c>
      <c r="H616" s="1">
        <v>554212.2019976005</v>
      </c>
      <c r="I616" s="1">
        <v>554212.2019976005</v>
      </c>
      <c r="J616" s="1">
        <v>554212.2019976005</v>
      </c>
      <c r="K616" s="1">
        <v>554212.2019976005</v>
      </c>
      <c r="L616" s="1">
        <v>554212.2019976005</v>
      </c>
      <c r="M616" s="1">
        <v>337565.61394399294</v>
      </c>
      <c r="N616" s="1">
        <v>337565.61394399294</v>
      </c>
      <c r="O616" s="1">
        <v>281304.67828666081</v>
      </c>
      <c r="P616" s="1">
        <v>281304.67828666081</v>
      </c>
      <c r="Q616" s="1">
        <v>393826.54960132512</v>
      </c>
      <c r="R616" s="1">
        <v>393826.54960132512</v>
      </c>
      <c r="S616" s="1">
        <v>393826.54960132512</v>
      </c>
      <c r="T616" s="1">
        <v>393826.54960132512</v>
      </c>
      <c r="U616" s="1">
        <v>393826.54960132512</v>
      </c>
      <c r="V616" s="1">
        <v>393826.54960132512</v>
      </c>
      <c r="W616" s="4">
        <f t="shared" si="20"/>
        <v>3906356.3086255109</v>
      </c>
      <c r="X616" s="4">
        <f t="shared" si="20"/>
        <v>3906356.3086255109</v>
      </c>
      <c r="Y616" s="5">
        <f t="shared" si="19"/>
        <v>0.58150000000000002</v>
      </c>
    </row>
    <row r="617" spans="1:25" x14ac:dyDescent="0.25">
      <c r="A617" s="1" t="s">
        <v>106</v>
      </c>
      <c r="B617" s="1" t="s">
        <v>72</v>
      </c>
      <c r="C617" s="1" t="s">
        <v>73</v>
      </c>
      <c r="D617" s="1">
        <v>8217862.5207234146</v>
      </c>
      <c r="E617" s="1">
        <v>542378.92636774539</v>
      </c>
      <c r="F617" s="1">
        <v>542378.92636774539</v>
      </c>
      <c r="G617" s="1">
        <v>677973.6579596817</v>
      </c>
      <c r="H617" s="1">
        <v>677973.6579596817</v>
      </c>
      <c r="I617" s="1">
        <v>677973.6579596817</v>
      </c>
      <c r="J617" s="1">
        <v>677973.6579596817</v>
      </c>
      <c r="K617" s="1">
        <v>677973.6579596817</v>
      </c>
      <c r="L617" s="1">
        <v>677973.6579596817</v>
      </c>
      <c r="M617" s="1">
        <v>412947.5916663516</v>
      </c>
      <c r="N617" s="1">
        <v>412947.5916663516</v>
      </c>
      <c r="O617" s="1">
        <v>344122.99305529299</v>
      </c>
      <c r="P617" s="1">
        <v>344122.99305529299</v>
      </c>
      <c r="Q617" s="1">
        <v>481772.19027741015</v>
      </c>
      <c r="R617" s="1">
        <v>481772.19027741015</v>
      </c>
      <c r="S617" s="1">
        <v>481772.19027741015</v>
      </c>
      <c r="T617" s="1">
        <v>481772.19027741015</v>
      </c>
      <c r="U617" s="1">
        <v>481772.19027741015</v>
      </c>
      <c r="V617" s="1">
        <v>481772.19027741015</v>
      </c>
      <c r="W617" s="4">
        <f t="shared" si="20"/>
        <v>4778687.0558006661</v>
      </c>
      <c r="X617" s="4">
        <f t="shared" si="20"/>
        <v>4778687.0558006661</v>
      </c>
      <c r="Y617" s="5">
        <f t="shared" si="19"/>
        <v>0.58150000000000002</v>
      </c>
    </row>
    <row r="618" spans="1:25" x14ac:dyDescent="0.25">
      <c r="A618" s="1" t="s">
        <v>106</v>
      </c>
      <c r="B618" s="1" t="s">
        <v>48</v>
      </c>
      <c r="C618" s="1" t="s">
        <v>49</v>
      </c>
      <c r="D618" s="1">
        <v>5548813.0199553948</v>
      </c>
      <c r="E618" s="1">
        <v>366221.65931705612</v>
      </c>
      <c r="F618" s="1">
        <v>366221.65931705612</v>
      </c>
      <c r="G618" s="1">
        <v>457777.07414632011</v>
      </c>
      <c r="H618" s="1">
        <v>457777.07414632011</v>
      </c>
      <c r="I618" s="1">
        <v>457777.07414632011</v>
      </c>
      <c r="J618" s="1">
        <v>457777.07414632011</v>
      </c>
      <c r="K618" s="1">
        <v>457777.07414632011</v>
      </c>
      <c r="L618" s="1">
        <v>457777.07414632011</v>
      </c>
      <c r="M618" s="1">
        <v>278827.85425275855</v>
      </c>
      <c r="N618" s="1">
        <v>278827.85425275855</v>
      </c>
      <c r="O618" s="1">
        <v>232356.54521063215</v>
      </c>
      <c r="P618" s="1">
        <v>232356.54521063215</v>
      </c>
      <c r="Q618" s="1">
        <v>325299.16329488496</v>
      </c>
      <c r="R618" s="1">
        <v>325299.16329488496</v>
      </c>
      <c r="S618" s="1">
        <v>325299.16329488496</v>
      </c>
      <c r="T618" s="1">
        <v>325299.16329488496</v>
      </c>
      <c r="U618" s="1">
        <v>325299.16329488496</v>
      </c>
      <c r="V618" s="1">
        <v>325299.16329488496</v>
      </c>
      <c r="W618" s="4">
        <f t="shared" si="20"/>
        <v>3226634.771104062</v>
      </c>
      <c r="X618" s="4">
        <f t="shared" si="20"/>
        <v>3226634.771104062</v>
      </c>
      <c r="Y618" s="5">
        <f t="shared" si="19"/>
        <v>0.58150000000000002</v>
      </c>
    </row>
    <row r="619" spans="1:25" x14ac:dyDescent="0.25">
      <c r="A619" s="1" t="s">
        <v>106</v>
      </c>
      <c r="B619" s="1" t="s">
        <v>53</v>
      </c>
      <c r="C619" s="1" t="s">
        <v>30</v>
      </c>
      <c r="D619" s="1">
        <v>9688786.1158917695</v>
      </c>
      <c r="E619" s="1">
        <v>639459.88364885689</v>
      </c>
      <c r="F619" s="1">
        <v>639459.88364885689</v>
      </c>
      <c r="G619" s="1">
        <v>799324.85456107103</v>
      </c>
      <c r="H619" s="1">
        <v>799324.85456107103</v>
      </c>
      <c r="I619" s="1">
        <v>799324.85456107103</v>
      </c>
      <c r="J619" s="1">
        <v>799324.85456107103</v>
      </c>
      <c r="K619" s="1">
        <v>799324.85456107103</v>
      </c>
      <c r="L619" s="1">
        <v>799324.85456107103</v>
      </c>
      <c r="M619" s="1">
        <v>486861.50232356141</v>
      </c>
      <c r="N619" s="1">
        <v>486861.50232356141</v>
      </c>
      <c r="O619" s="1">
        <v>405717.91860296787</v>
      </c>
      <c r="P619" s="1">
        <v>405717.91860296787</v>
      </c>
      <c r="Q619" s="1">
        <v>568005.08604415494</v>
      </c>
      <c r="R619" s="1">
        <v>568005.08604415494</v>
      </c>
      <c r="S619" s="1">
        <v>568005.08604415494</v>
      </c>
      <c r="T619" s="1">
        <v>568005.08604415494</v>
      </c>
      <c r="U619" s="1">
        <v>568005.08604415494</v>
      </c>
      <c r="V619" s="1">
        <v>568005.08604415494</v>
      </c>
      <c r="W619" s="4">
        <f t="shared" si="20"/>
        <v>5634029.1263910634</v>
      </c>
      <c r="X619" s="4">
        <f t="shared" si="20"/>
        <v>5634029.1263910634</v>
      </c>
      <c r="Y619" s="5">
        <f t="shared" si="19"/>
        <v>0.58149999999999991</v>
      </c>
    </row>
    <row r="620" spans="1:25" x14ac:dyDescent="0.25">
      <c r="A620" s="1" t="s">
        <v>106</v>
      </c>
      <c r="B620" s="1" t="s">
        <v>74</v>
      </c>
      <c r="C620" s="1" t="s">
        <v>75</v>
      </c>
      <c r="D620" s="1">
        <v>5940324.165516614</v>
      </c>
      <c r="E620" s="1">
        <v>392061.39492409653</v>
      </c>
      <c r="F620" s="1">
        <v>392061.39492409653</v>
      </c>
      <c r="G620" s="1">
        <v>490076.74365512066</v>
      </c>
      <c r="H620" s="1">
        <v>490076.74365512066</v>
      </c>
      <c r="I620" s="1">
        <v>490076.74365512066</v>
      </c>
      <c r="J620" s="1">
        <v>490076.74365512066</v>
      </c>
      <c r="K620" s="1">
        <v>490076.74365512066</v>
      </c>
      <c r="L620" s="1">
        <v>490076.74365512066</v>
      </c>
      <c r="M620" s="1">
        <v>298501.2893172098</v>
      </c>
      <c r="N620" s="1">
        <v>298501.2893172098</v>
      </c>
      <c r="O620" s="1">
        <v>248751.07443100819</v>
      </c>
      <c r="P620" s="1">
        <v>248751.07443100819</v>
      </c>
      <c r="Q620" s="1">
        <v>348251.50420341146</v>
      </c>
      <c r="R620" s="1">
        <v>348251.50420341146</v>
      </c>
      <c r="S620" s="1">
        <v>348251.50420341146</v>
      </c>
      <c r="T620" s="1">
        <v>348251.50420341146</v>
      </c>
      <c r="U620" s="1">
        <v>348251.50420341146</v>
      </c>
      <c r="V620" s="1">
        <v>348251.50420341146</v>
      </c>
      <c r="W620" s="4">
        <f t="shared" si="20"/>
        <v>3454298.5022479109</v>
      </c>
      <c r="X620" s="4">
        <f t="shared" si="20"/>
        <v>3454298.5022479109</v>
      </c>
      <c r="Y620" s="5">
        <f t="shared" si="19"/>
        <v>0.58150000000000002</v>
      </c>
    </row>
    <row r="621" spans="1:25" x14ac:dyDescent="0.25">
      <c r="A621" s="1" t="s">
        <v>106</v>
      </c>
      <c r="B621" s="1" t="s">
        <v>50</v>
      </c>
      <c r="C621" s="1" t="s">
        <v>25</v>
      </c>
      <c r="D621" s="1">
        <v>5826253.6709531629</v>
      </c>
      <c r="E621" s="1">
        <v>384532.74228290882</v>
      </c>
      <c r="F621" s="1">
        <v>384532.74228290882</v>
      </c>
      <c r="G621" s="1">
        <v>480665.92785363598</v>
      </c>
      <c r="H621" s="1">
        <v>480665.92785363598</v>
      </c>
      <c r="I621" s="1">
        <v>480665.92785363598</v>
      </c>
      <c r="J621" s="1">
        <v>480665.92785363598</v>
      </c>
      <c r="K621" s="1">
        <v>480665.92785363598</v>
      </c>
      <c r="L621" s="1">
        <v>480665.92785363598</v>
      </c>
      <c r="M621" s="1">
        <v>292769.24696539639</v>
      </c>
      <c r="N621" s="1">
        <v>292769.24696539639</v>
      </c>
      <c r="O621" s="1">
        <v>243974.37247116369</v>
      </c>
      <c r="P621" s="1">
        <v>243974.37247116369</v>
      </c>
      <c r="Q621" s="1">
        <v>341564.12145962915</v>
      </c>
      <c r="R621" s="1">
        <v>341564.12145962915</v>
      </c>
      <c r="S621" s="1">
        <v>341564.12145962915</v>
      </c>
      <c r="T621" s="1">
        <v>341564.12145962915</v>
      </c>
      <c r="U621" s="1">
        <v>341564.12145962915</v>
      </c>
      <c r="V621" s="1">
        <v>341564.12145962915</v>
      </c>
      <c r="W621" s="4">
        <f t="shared" si="20"/>
        <v>3387966.5096592642</v>
      </c>
      <c r="X621" s="4">
        <f t="shared" si="20"/>
        <v>3387966.5096592642</v>
      </c>
      <c r="Y621" s="5">
        <f t="shared" si="19"/>
        <v>0.58150000000000002</v>
      </c>
    </row>
    <row r="622" spans="1:25" x14ac:dyDescent="0.25">
      <c r="A622" s="1" t="s">
        <v>107</v>
      </c>
      <c r="B622" s="1" t="s">
        <v>59</v>
      </c>
      <c r="C622" s="1" t="s">
        <v>26</v>
      </c>
      <c r="D622" s="1">
        <v>43687966</v>
      </c>
      <c r="E622" s="1">
        <v>3550797.8596301856</v>
      </c>
      <c r="F622" s="1">
        <v>3550797.8596301856</v>
      </c>
      <c r="G622" s="1">
        <v>4438497.3245377317</v>
      </c>
      <c r="H622" s="1">
        <v>4438497.3245377317</v>
      </c>
      <c r="I622" s="1">
        <v>4438497.3245377317</v>
      </c>
      <c r="J622" s="1">
        <v>4438497.3245377317</v>
      </c>
      <c r="K622" s="1">
        <v>4438497.3245377317</v>
      </c>
      <c r="L622" s="1">
        <v>4438497.3245377317</v>
      </c>
      <c r="M622" s="1">
        <v>3241747.0877311341</v>
      </c>
      <c r="N622" s="1">
        <v>3241747.0877311341</v>
      </c>
      <c r="O622" s="1">
        <v>3241747.0877311341</v>
      </c>
      <c r="P622" s="1">
        <v>3241747.0877311341</v>
      </c>
      <c r="Q622" s="1">
        <v>3241747.0877311341</v>
      </c>
      <c r="R622" s="1">
        <v>3241747.0877311341</v>
      </c>
      <c r="S622" s="1">
        <v>3241747.0877311341</v>
      </c>
      <c r="T622" s="1">
        <v>3241747.0877311341</v>
      </c>
      <c r="U622" s="1">
        <v>3241747.0877311341</v>
      </c>
      <c r="V622" s="1">
        <v>3241747.0877311341</v>
      </c>
      <c r="W622" s="4">
        <f t="shared" si="20"/>
        <v>33075025.271899052</v>
      </c>
      <c r="X622" s="4">
        <f t="shared" si="20"/>
        <v>33075025.271899052</v>
      </c>
      <c r="Y622" s="5">
        <f t="shared" si="19"/>
        <v>0.75707404807765721</v>
      </c>
    </row>
    <row r="623" spans="1:25" x14ac:dyDescent="0.25">
      <c r="A623" s="1" t="s">
        <v>107</v>
      </c>
      <c r="B623" s="1" t="s">
        <v>59</v>
      </c>
      <c r="C623" s="1" t="s">
        <v>108</v>
      </c>
      <c r="D623" s="1">
        <v>10112002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5056001</v>
      </c>
      <c r="N623" s="1">
        <v>5056001</v>
      </c>
      <c r="O623" s="1">
        <v>5056001</v>
      </c>
      <c r="P623" s="1">
        <v>5056001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4">
        <f t="shared" si="20"/>
        <v>10112002</v>
      </c>
      <c r="X623" s="4">
        <f t="shared" si="20"/>
        <v>10112002</v>
      </c>
      <c r="Y623" s="5">
        <f t="shared" si="19"/>
        <v>1</v>
      </c>
    </row>
    <row r="624" spans="1:25" x14ac:dyDescent="0.25">
      <c r="A624" s="1" t="s">
        <v>107</v>
      </c>
      <c r="B624" s="1" t="s">
        <v>33</v>
      </c>
      <c r="C624" s="1" t="s">
        <v>34</v>
      </c>
      <c r="D624" s="1">
        <v>48000000</v>
      </c>
      <c r="E624" s="1">
        <v>0</v>
      </c>
      <c r="F624" s="1">
        <v>0</v>
      </c>
      <c r="G624" s="1">
        <v>9600000</v>
      </c>
      <c r="H624" s="1">
        <v>9600000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14400000</v>
      </c>
      <c r="P624" s="1">
        <v>14400000</v>
      </c>
      <c r="Q624" s="1">
        <v>0</v>
      </c>
      <c r="R624" s="1">
        <v>0</v>
      </c>
      <c r="S624" s="1">
        <v>14400000</v>
      </c>
      <c r="T624" s="1">
        <v>14400000</v>
      </c>
      <c r="U624" s="1">
        <v>9600000</v>
      </c>
      <c r="V624" s="1">
        <v>9600000</v>
      </c>
      <c r="W624" s="4">
        <f t="shared" si="20"/>
        <v>48000000</v>
      </c>
      <c r="X624" s="4">
        <f t="shared" si="20"/>
        <v>48000000</v>
      </c>
      <c r="Y624" s="5">
        <f t="shared" si="19"/>
        <v>1</v>
      </c>
    </row>
    <row r="625" spans="1:25" x14ac:dyDescent="0.25">
      <c r="A625" s="1" t="s">
        <v>107</v>
      </c>
      <c r="B625" s="1" t="s">
        <v>35</v>
      </c>
      <c r="C625" s="1" t="s">
        <v>34</v>
      </c>
      <c r="D625" s="1">
        <v>120000000</v>
      </c>
      <c r="E625" s="1">
        <v>0</v>
      </c>
      <c r="F625" s="1">
        <v>0</v>
      </c>
      <c r="G625" s="1">
        <v>33000000</v>
      </c>
      <c r="H625" s="1">
        <v>33000000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29000000</v>
      </c>
      <c r="P625" s="1">
        <v>29000000</v>
      </c>
      <c r="Q625" s="1">
        <v>0</v>
      </c>
      <c r="R625" s="1">
        <v>0</v>
      </c>
      <c r="S625" s="1">
        <v>29000000</v>
      </c>
      <c r="T625" s="1">
        <v>29000000</v>
      </c>
      <c r="U625" s="1">
        <v>29000000</v>
      </c>
      <c r="V625" s="1">
        <v>29000000</v>
      </c>
      <c r="W625" s="4">
        <f t="shared" si="20"/>
        <v>120000000</v>
      </c>
      <c r="X625" s="4">
        <f t="shared" si="20"/>
        <v>120000000</v>
      </c>
      <c r="Y625" s="5">
        <f t="shared" si="19"/>
        <v>1</v>
      </c>
    </row>
    <row r="626" spans="1:25" x14ac:dyDescent="0.25">
      <c r="A626" s="1" t="s">
        <v>107</v>
      </c>
      <c r="B626" s="1" t="s">
        <v>38</v>
      </c>
      <c r="C626" s="1" t="s">
        <v>39</v>
      </c>
      <c r="D626" s="1">
        <v>8003302.2955128867</v>
      </c>
      <c r="E626" s="1">
        <v>528217.95150385052</v>
      </c>
      <c r="F626" s="1">
        <v>528217.95150385052</v>
      </c>
      <c r="G626" s="1">
        <v>660272.43937981315</v>
      </c>
      <c r="H626" s="1">
        <v>660272.43937981315</v>
      </c>
      <c r="I626" s="1">
        <v>660272.43937981315</v>
      </c>
      <c r="J626" s="1">
        <v>660272.43937981315</v>
      </c>
      <c r="K626" s="1">
        <v>660272.43937981315</v>
      </c>
      <c r="L626" s="1">
        <v>660272.43937981315</v>
      </c>
      <c r="M626" s="1">
        <v>402165.94034952257</v>
      </c>
      <c r="N626" s="1">
        <v>402165.94034952257</v>
      </c>
      <c r="O626" s="1">
        <v>335138.28362460213</v>
      </c>
      <c r="P626" s="1">
        <v>335138.28362460213</v>
      </c>
      <c r="Q626" s="1">
        <v>469193.59707444295</v>
      </c>
      <c r="R626" s="1">
        <v>469193.59707444295</v>
      </c>
      <c r="S626" s="1">
        <v>469193.59707444295</v>
      </c>
      <c r="T626" s="1">
        <v>469193.59707444295</v>
      </c>
      <c r="U626" s="1">
        <v>469193.59707444295</v>
      </c>
      <c r="V626" s="1">
        <v>469193.59707444295</v>
      </c>
      <c r="W626" s="4">
        <f t="shared" si="20"/>
        <v>4653920.284840744</v>
      </c>
      <c r="X626" s="4">
        <f t="shared" si="20"/>
        <v>4653920.284840744</v>
      </c>
      <c r="Y626" s="5">
        <f t="shared" si="19"/>
        <v>0.58150000000000002</v>
      </c>
    </row>
    <row r="627" spans="1:25" x14ac:dyDescent="0.25">
      <c r="A627" s="1" t="s">
        <v>107</v>
      </c>
      <c r="B627" s="1" t="s">
        <v>61</v>
      </c>
      <c r="C627" s="1" t="s">
        <v>34</v>
      </c>
      <c r="D627" s="1">
        <v>79813136.320780203</v>
      </c>
      <c r="E627" s="1">
        <v>0</v>
      </c>
      <c r="F627" s="1">
        <v>0</v>
      </c>
      <c r="G627" s="1">
        <v>6385050.9049351458</v>
      </c>
      <c r="H627" s="1">
        <v>6385050.9049351458</v>
      </c>
      <c r="I627" s="1">
        <v>0</v>
      </c>
      <c r="J627" s="1">
        <v>0</v>
      </c>
      <c r="K627" s="1">
        <v>0</v>
      </c>
      <c r="L627" s="1">
        <v>0</v>
      </c>
      <c r="M627" s="1">
        <v>18357021.353961263</v>
      </c>
      <c r="N627" s="1">
        <v>18357021.353961263</v>
      </c>
      <c r="O627" s="1">
        <v>0</v>
      </c>
      <c r="P627" s="1">
        <v>0</v>
      </c>
      <c r="Q627" s="1">
        <v>0</v>
      </c>
      <c r="R627" s="1">
        <v>0</v>
      </c>
      <c r="S627" s="1">
        <v>27535532.030941896</v>
      </c>
      <c r="T627" s="1">
        <v>27535532.030941896</v>
      </c>
      <c r="U627" s="1">
        <v>0</v>
      </c>
      <c r="V627" s="1">
        <v>0</v>
      </c>
      <c r="W627" s="4">
        <f t="shared" si="20"/>
        <v>52277604.289838307</v>
      </c>
      <c r="X627" s="4">
        <f t="shared" si="20"/>
        <v>52277604.289838307</v>
      </c>
      <c r="Y627" s="5">
        <f t="shared" si="19"/>
        <v>0.65499999999658298</v>
      </c>
    </row>
    <row r="628" spans="1:25" x14ac:dyDescent="0.25">
      <c r="A628" s="1" t="s">
        <v>107</v>
      </c>
      <c r="B628" s="1" t="s">
        <v>62</v>
      </c>
      <c r="C628" s="1" t="s">
        <v>63</v>
      </c>
      <c r="D628" s="1">
        <v>17642857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1323214.2857142857</v>
      </c>
      <c r="N628" s="1">
        <v>1323214.2857142857</v>
      </c>
      <c r="O628" s="1">
        <v>1102678.5714285714</v>
      </c>
      <c r="P628" s="1">
        <v>1102678.5714285714</v>
      </c>
      <c r="Q628" s="1">
        <v>1543749.9999999998</v>
      </c>
      <c r="R628" s="1">
        <v>1543749.9999999998</v>
      </c>
      <c r="S628" s="1">
        <v>1543749.9999999998</v>
      </c>
      <c r="T628" s="1">
        <v>1543749.9999999998</v>
      </c>
      <c r="U628" s="1">
        <v>1543749.9999999998</v>
      </c>
      <c r="V628" s="1">
        <v>1543749.9999999998</v>
      </c>
      <c r="W628" s="4">
        <f t="shared" si="20"/>
        <v>7057142.8571428563</v>
      </c>
      <c r="X628" s="4">
        <f t="shared" si="20"/>
        <v>7057142.8571428563</v>
      </c>
      <c r="Y628" s="5">
        <f t="shared" si="19"/>
        <v>0.40000000323886636</v>
      </c>
    </row>
    <row r="629" spans="1:25" x14ac:dyDescent="0.25">
      <c r="A629" s="1" t="s">
        <v>107</v>
      </c>
      <c r="B629" s="1" t="s">
        <v>40</v>
      </c>
      <c r="C629" s="1" t="s">
        <v>27</v>
      </c>
      <c r="D629" s="1">
        <v>99491151</v>
      </c>
      <c r="E629" s="1">
        <v>11416382</v>
      </c>
      <c r="F629" s="1">
        <v>11416382</v>
      </c>
      <c r="G629" s="1">
        <v>18819204</v>
      </c>
      <c r="H629" s="1">
        <v>18819204</v>
      </c>
      <c r="I629" s="1">
        <v>7791952</v>
      </c>
      <c r="J629" s="1">
        <v>7791952</v>
      </c>
      <c r="K629" s="1">
        <v>10602867</v>
      </c>
      <c r="L629" s="1">
        <v>10602867</v>
      </c>
      <c r="M629" s="1">
        <v>0</v>
      </c>
      <c r="N629" s="1">
        <v>0</v>
      </c>
      <c r="O629" s="1">
        <v>14879371</v>
      </c>
      <c r="P629" s="1">
        <v>14879371</v>
      </c>
      <c r="Q629" s="1">
        <v>10672829</v>
      </c>
      <c r="R629" s="1">
        <v>10672829</v>
      </c>
      <c r="S629" s="1">
        <v>6738594</v>
      </c>
      <c r="T629" s="1">
        <v>6738594</v>
      </c>
      <c r="U629" s="1">
        <v>4980711</v>
      </c>
      <c r="V629" s="1">
        <v>4980711</v>
      </c>
      <c r="W629" s="4">
        <f t="shared" si="20"/>
        <v>85901910</v>
      </c>
      <c r="X629" s="4">
        <f t="shared" si="20"/>
        <v>85901910</v>
      </c>
      <c r="Y629" s="5">
        <f t="shared" si="19"/>
        <v>0.86341256620902895</v>
      </c>
    </row>
    <row r="630" spans="1:25" x14ac:dyDescent="0.25">
      <c r="A630" s="1" t="s">
        <v>107</v>
      </c>
      <c r="B630" s="1" t="s">
        <v>40</v>
      </c>
      <c r="C630" s="1" t="s">
        <v>27</v>
      </c>
      <c r="D630" s="1">
        <v>120000000</v>
      </c>
      <c r="E630" s="1">
        <v>0</v>
      </c>
      <c r="F630" s="1">
        <v>0</v>
      </c>
      <c r="G630" s="1">
        <v>7500000</v>
      </c>
      <c r="H630" s="1">
        <v>7500000</v>
      </c>
      <c r="I630" s="1">
        <v>0</v>
      </c>
      <c r="J630" s="1">
        <v>0</v>
      </c>
      <c r="K630" s="1">
        <v>7500000</v>
      </c>
      <c r="L630" s="1">
        <v>7500000</v>
      </c>
      <c r="M630" s="1">
        <v>25500000</v>
      </c>
      <c r="N630" s="1">
        <v>25500000</v>
      </c>
      <c r="O630" s="1">
        <v>54000000</v>
      </c>
      <c r="P630" s="1">
        <v>54000000</v>
      </c>
      <c r="Q630" s="1">
        <v>25500000</v>
      </c>
      <c r="R630" s="1">
        <v>25500000</v>
      </c>
      <c r="S630" s="1">
        <v>0</v>
      </c>
      <c r="T630" s="1">
        <v>0</v>
      </c>
      <c r="U630" s="1">
        <v>0</v>
      </c>
      <c r="V630" s="1">
        <v>0</v>
      </c>
      <c r="W630" s="4">
        <f t="shared" si="20"/>
        <v>120000000</v>
      </c>
      <c r="X630" s="4">
        <f t="shared" si="20"/>
        <v>120000000</v>
      </c>
      <c r="Y630" s="5">
        <f t="shared" si="19"/>
        <v>1</v>
      </c>
    </row>
    <row r="631" spans="1:25" x14ac:dyDescent="0.25">
      <c r="A631" s="1" t="s">
        <v>107</v>
      </c>
      <c r="B631" s="1" t="s">
        <v>40</v>
      </c>
      <c r="C631" s="1" t="s">
        <v>27</v>
      </c>
      <c r="D631" s="1">
        <v>23512952</v>
      </c>
      <c r="E631" s="1">
        <v>0</v>
      </c>
      <c r="F631" s="1">
        <v>0</v>
      </c>
      <c r="G631" s="1">
        <v>14000000</v>
      </c>
      <c r="H631" s="1">
        <v>14000000</v>
      </c>
      <c r="I631" s="1">
        <v>0</v>
      </c>
      <c r="J631" s="1">
        <v>0</v>
      </c>
      <c r="K631" s="1">
        <v>2560949.045188576</v>
      </c>
      <c r="L631" s="1">
        <v>2560949.045188576</v>
      </c>
      <c r="M631" s="1">
        <v>2607001.108054284</v>
      </c>
      <c r="N631" s="1">
        <v>2607001.108054284</v>
      </c>
      <c r="O631" s="1">
        <v>1738000.738702856</v>
      </c>
      <c r="P631" s="1">
        <v>1738000.738702856</v>
      </c>
      <c r="Q631" s="1">
        <v>2607001.108054284</v>
      </c>
      <c r="R631" s="1">
        <v>2607001.108054284</v>
      </c>
      <c r="S631" s="1">
        <v>0</v>
      </c>
      <c r="T631" s="1">
        <v>0</v>
      </c>
      <c r="U631" s="1">
        <v>0</v>
      </c>
      <c r="V631" s="1">
        <v>0</v>
      </c>
      <c r="W631" s="4">
        <f t="shared" si="20"/>
        <v>23512952</v>
      </c>
      <c r="X631" s="4">
        <f t="shared" si="20"/>
        <v>23512952</v>
      </c>
      <c r="Y631" s="5">
        <f t="shared" si="19"/>
        <v>1</v>
      </c>
    </row>
    <row r="632" spans="1:25" x14ac:dyDescent="0.25">
      <c r="A632" s="1" t="s">
        <v>107</v>
      </c>
      <c r="B632" s="1" t="s">
        <v>43</v>
      </c>
      <c r="C632" s="1" t="s">
        <v>31</v>
      </c>
      <c r="D632" s="1">
        <v>3740314</v>
      </c>
      <c r="E632" s="1">
        <v>217268.86852234707</v>
      </c>
      <c r="F632" s="1">
        <v>217268.86852234707</v>
      </c>
      <c r="G632" s="1">
        <v>271586.08565293381</v>
      </c>
      <c r="H632" s="1">
        <v>271586.08565293381</v>
      </c>
      <c r="I632" s="1">
        <v>271586.08565293381</v>
      </c>
      <c r="J632" s="1">
        <v>271586.08565293381</v>
      </c>
      <c r="K632" s="1">
        <v>271586.08565293381</v>
      </c>
      <c r="L632" s="1">
        <v>271586.08565293381</v>
      </c>
      <c r="M632" s="1">
        <v>201944.50798309685</v>
      </c>
      <c r="N632" s="1">
        <v>201944.50798309685</v>
      </c>
      <c r="O632" s="1">
        <v>168287.08998591403</v>
      </c>
      <c r="P632" s="1">
        <v>168287.08998591403</v>
      </c>
      <c r="Q632" s="1">
        <v>208565.27830982747</v>
      </c>
      <c r="R632" s="1">
        <v>208565.27830982747</v>
      </c>
      <c r="S632" s="1">
        <v>235601.92598027963</v>
      </c>
      <c r="T632" s="1">
        <v>235601.92598027963</v>
      </c>
      <c r="U632" s="1">
        <v>235601.92598027963</v>
      </c>
      <c r="V632" s="1">
        <v>235601.92598027963</v>
      </c>
      <c r="W632" s="4">
        <f t="shared" si="20"/>
        <v>2082027.8537205462</v>
      </c>
      <c r="X632" s="4">
        <f t="shared" si="20"/>
        <v>2082027.8537205462</v>
      </c>
      <c r="Y632" s="5">
        <f t="shared" si="19"/>
        <v>0.55664520511394133</v>
      </c>
    </row>
    <row r="633" spans="1:25" x14ac:dyDescent="0.25">
      <c r="A633" s="1" t="s">
        <v>107</v>
      </c>
      <c r="B633" s="1" t="s">
        <v>64</v>
      </c>
      <c r="C633" s="1" t="s">
        <v>23</v>
      </c>
      <c r="D633" s="1">
        <v>4787026.0432022549</v>
      </c>
      <c r="E633" s="1">
        <v>315943.71885134885</v>
      </c>
      <c r="F633" s="1">
        <v>315943.71885134885</v>
      </c>
      <c r="G633" s="1">
        <v>394929.64856418606</v>
      </c>
      <c r="H633" s="1">
        <v>394929.64856418606</v>
      </c>
      <c r="I633" s="1">
        <v>394929.64856418606</v>
      </c>
      <c r="J633" s="1">
        <v>394929.64856418606</v>
      </c>
      <c r="K633" s="1">
        <v>394929.64856418606</v>
      </c>
      <c r="L633" s="1">
        <v>394929.64856418606</v>
      </c>
      <c r="M633" s="1">
        <v>240548.05867091328</v>
      </c>
      <c r="N633" s="1">
        <v>240548.05867091328</v>
      </c>
      <c r="O633" s="1">
        <v>200456.71555909442</v>
      </c>
      <c r="P633" s="1">
        <v>200456.71555909442</v>
      </c>
      <c r="Q633" s="1">
        <v>280639.40178273217</v>
      </c>
      <c r="R633" s="1">
        <v>280639.40178273217</v>
      </c>
      <c r="S633" s="1">
        <v>280639.40178273217</v>
      </c>
      <c r="T633" s="1">
        <v>280639.40178273217</v>
      </c>
      <c r="U633" s="1">
        <v>280639.40178273217</v>
      </c>
      <c r="V633" s="1">
        <v>280639.40178273217</v>
      </c>
      <c r="W633" s="4">
        <f t="shared" si="20"/>
        <v>2783655.6441221111</v>
      </c>
      <c r="X633" s="4">
        <f t="shared" si="20"/>
        <v>2783655.6441221111</v>
      </c>
      <c r="Y633" s="5">
        <f t="shared" si="19"/>
        <v>0.58150000000000002</v>
      </c>
    </row>
    <row r="634" spans="1:25" x14ac:dyDescent="0.25">
      <c r="A634" s="1" t="s">
        <v>107</v>
      </c>
      <c r="B634" s="1" t="s">
        <v>65</v>
      </c>
      <c r="C634" s="1" t="s">
        <v>31</v>
      </c>
      <c r="D634" s="1">
        <v>7163071.0302392039</v>
      </c>
      <c r="E634" s="1">
        <v>472762.68799578754</v>
      </c>
      <c r="F634" s="1">
        <v>472762.68799578754</v>
      </c>
      <c r="G634" s="1">
        <v>590953.3599947344</v>
      </c>
      <c r="H634" s="1">
        <v>590953.3599947344</v>
      </c>
      <c r="I634" s="1">
        <v>590953.3599947344</v>
      </c>
      <c r="J634" s="1">
        <v>590953.3599947344</v>
      </c>
      <c r="K634" s="1">
        <v>590953.3599947344</v>
      </c>
      <c r="L634" s="1">
        <v>590953.3599947344</v>
      </c>
      <c r="M634" s="1">
        <v>359944.31926951994</v>
      </c>
      <c r="N634" s="1">
        <v>359944.31926951994</v>
      </c>
      <c r="O634" s="1">
        <v>299953.59939126665</v>
      </c>
      <c r="P634" s="1">
        <v>299953.59939126665</v>
      </c>
      <c r="Q634" s="1">
        <v>419935.03914777329</v>
      </c>
      <c r="R634" s="1">
        <v>419935.03914777329</v>
      </c>
      <c r="S634" s="1">
        <v>419935.03914777329</v>
      </c>
      <c r="T634" s="1">
        <v>419935.03914777329</v>
      </c>
      <c r="U634" s="1">
        <v>419935.03914777329</v>
      </c>
      <c r="V634" s="1">
        <v>419935.03914777329</v>
      </c>
      <c r="W634" s="4">
        <f t="shared" si="20"/>
        <v>4165325.804084098</v>
      </c>
      <c r="X634" s="4">
        <f t="shared" si="20"/>
        <v>4165325.804084098</v>
      </c>
      <c r="Y634" s="5">
        <f t="shared" si="19"/>
        <v>0.58150000000000013</v>
      </c>
    </row>
    <row r="635" spans="1:25" x14ac:dyDescent="0.25">
      <c r="A635" s="1" t="s">
        <v>107</v>
      </c>
      <c r="B635" s="1" t="s">
        <v>44</v>
      </c>
      <c r="C635" s="1" t="s">
        <v>45</v>
      </c>
      <c r="D635" s="1">
        <v>8003302.2955128867</v>
      </c>
      <c r="E635" s="1">
        <v>528217.95150385052</v>
      </c>
      <c r="F635" s="1">
        <v>528217.95150385052</v>
      </c>
      <c r="G635" s="1">
        <v>660272.43937981315</v>
      </c>
      <c r="H635" s="1">
        <v>660272.43937981315</v>
      </c>
      <c r="I635" s="1">
        <v>660272.43937981315</v>
      </c>
      <c r="J635" s="1">
        <v>660272.43937981315</v>
      </c>
      <c r="K635" s="1">
        <v>660272.43937981315</v>
      </c>
      <c r="L635" s="1">
        <v>660272.43937981315</v>
      </c>
      <c r="M635" s="1">
        <v>402165.94034952257</v>
      </c>
      <c r="N635" s="1">
        <v>402165.94034952257</v>
      </c>
      <c r="O635" s="1">
        <v>335138.28362460213</v>
      </c>
      <c r="P635" s="1">
        <v>335138.28362460213</v>
      </c>
      <c r="Q635" s="1">
        <v>469193.59707444295</v>
      </c>
      <c r="R635" s="1">
        <v>469193.59707444295</v>
      </c>
      <c r="S635" s="1">
        <v>469193.59707444295</v>
      </c>
      <c r="T635" s="1">
        <v>469193.59707444295</v>
      </c>
      <c r="U635" s="1">
        <v>469193.59707444295</v>
      </c>
      <c r="V635" s="1">
        <v>469193.59707444295</v>
      </c>
      <c r="W635" s="4">
        <f t="shared" si="20"/>
        <v>4653920.284840744</v>
      </c>
      <c r="X635" s="4">
        <f t="shared" si="20"/>
        <v>4653920.284840744</v>
      </c>
      <c r="Y635" s="5">
        <f t="shared" si="19"/>
        <v>0.58150000000000002</v>
      </c>
    </row>
    <row r="636" spans="1:25" x14ac:dyDescent="0.25">
      <c r="A636" s="1" t="s">
        <v>107</v>
      </c>
      <c r="B636" s="1" t="s">
        <v>46</v>
      </c>
      <c r="C636" s="1" t="s">
        <v>22</v>
      </c>
      <c r="D636" s="1">
        <v>55575110.116710328</v>
      </c>
      <c r="E636" s="1">
        <v>3671393.1437231349</v>
      </c>
      <c r="F636" s="1">
        <v>3671393.1437231349</v>
      </c>
      <c r="G636" s="1">
        <v>4589241.4296539184</v>
      </c>
      <c r="H636" s="1">
        <v>4589241.4296539184</v>
      </c>
      <c r="I636" s="1">
        <v>4589241.4296539184</v>
      </c>
      <c r="J636" s="1">
        <v>4589241.4296539184</v>
      </c>
      <c r="K636" s="1">
        <v>4589241.4296539184</v>
      </c>
      <c r="L636" s="1">
        <v>4589241.4296539184</v>
      </c>
      <c r="M636" s="1">
        <v>2879598.1099545662</v>
      </c>
      <c r="N636" s="1">
        <v>2879598.1099545662</v>
      </c>
      <c r="O636" s="1">
        <v>2341658.9321404011</v>
      </c>
      <c r="P636" s="1">
        <v>2341658.9321404011</v>
      </c>
      <c r="Q636" s="1">
        <v>3241881.4262622595</v>
      </c>
      <c r="R636" s="1">
        <v>13241881.426262259</v>
      </c>
      <c r="S636" s="1">
        <v>1241881.4262622599</v>
      </c>
      <c r="T636" s="1">
        <v>1241881.4262622599</v>
      </c>
      <c r="U636" s="1">
        <v>1241881.4262622599</v>
      </c>
      <c r="V636" s="1">
        <v>1241881.4262622599</v>
      </c>
      <c r="W636" s="4">
        <f t="shared" si="20"/>
        <v>28386018.753566634</v>
      </c>
      <c r="X636" s="4">
        <f t="shared" si="20"/>
        <v>38386018.753566645</v>
      </c>
      <c r="Y636" s="5">
        <f t="shared" si="19"/>
        <v>0.69070522168924564</v>
      </c>
    </row>
    <row r="637" spans="1:25" x14ac:dyDescent="0.25">
      <c r="A637" s="1" t="s">
        <v>107</v>
      </c>
      <c r="B637" s="1" t="s">
        <v>66</v>
      </c>
      <c r="C637" s="1" t="s">
        <v>24</v>
      </c>
      <c r="D637" s="1">
        <v>186557307.11479989</v>
      </c>
      <c r="E637" s="1">
        <v>15390977.836970991</v>
      </c>
      <c r="F637" s="1">
        <v>15390977.836970991</v>
      </c>
      <c r="G637" s="1">
        <v>15390977.836970991</v>
      </c>
      <c r="H637" s="1">
        <v>15390977.836970991</v>
      </c>
      <c r="I637" s="1">
        <v>15390977.836970991</v>
      </c>
      <c r="J637" s="1">
        <v>15390977.836970991</v>
      </c>
      <c r="K637" s="1">
        <v>15390977.836970991</v>
      </c>
      <c r="L637" s="1">
        <v>15390977.836970991</v>
      </c>
      <c r="M637" s="1">
        <v>15508088.652116038</v>
      </c>
      <c r="N637" s="1">
        <v>15508088.652116038</v>
      </c>
      <c r="O637" s="1">
        <v>15810307</v>
      </c>
      <c r="P637" s="1">
        <v>15810307</v>
      </c>
      <c r="Q637" s="1">
        <v>16254000</v>
      </c>
      <c r="R637" s="1">
        <v>16254000</v>
      </c>
      <c r="S637" s="1">
        <v>15653000</v>
      </c>
      <c r="T637" s="1">
        <v>15653000</v>
      </c>
      <c r="U637" s="1">
        <v>15393000</v>
      </c>
      <c r="V637" s="1">
        <v>15393000</v>
      </c>
      <c r="W637" s="4">
        <f t="shared" si="20"/>
        <v>140182306.99999997</v>
      </c>
      <c r="X637" s="4">
        <f t="shared" si="20"/>
        <v>140182306.99999997</v>
      </c>
      <c r="Y637" s="5">
        <f t="shared" si="19"/>
        <v>0.75141686577699907</v>
      </c>
    </row>
    <row r="638" spans="1:25" x14ac:dyDescent="0.25">
      <c r="A638" s="1" t="s">
        <v>107</v>
      </c>
      <c r="B638" s="1" t="s">
        <v>67</v>
      </c>
      <c r="C638" s="1" t="s">
        <v>68</v>
      </c>
      <c r="D638" s="1">
        <v>5916750.6585043678</v>
      </c>
      <c r="E638" s="1">
        <v>390505.54346128833</v>
      </c>
      <c r="F638" s="1">
        <v>390505.54346128833</v>
      </c>
      <c r="G638" s="1">
        <v>488131.92932661035</v>
      </c>
      <c r="H638" s="1">
        <v>488131.92932661035</v>
      </c>
      <c r="I638" s="1">
        <v>488131.92932661035</v>
      </c>
      <c r="J638" s="1">
        <v>488131.92932661035</v>
      </c>
      <c r="K638" s="1">
        <v>488131.92932661035</v>
      </c>
      <c r="L638" s="1">
        <v>488131.92932661035</v>
      </c>
      <c r="M638" s="1">
        <v>307671.03424222715</v>
      </c>
      <c r="N638" s="1">
        <v>307671.03424222715</v>
      </c>
      <c r="O638" s="1">
        <v>246531.277437682</v>
      </c>
      <c r="P638" s="1">
        <v>246531.277437682</v>
      </c>
      <c r="Q638" s="1">
        <v>345143.78841275477</v>
      </c>
      <c r="R638" s="1">
        <v>345143.78841275477</v>
      </c>
      <c r="S638" s="1">
        <v>345143.78841275477</v>
      </c>
      <c r="T638" s="1">
        <v>345143.78841275477</v>
      </c>
      <c r="U638" s="1">
        <v>345143.78841275477</v>
      </c>
      <c r="V638" s="1">
        <v>345143.78841275477</v>
      </c>
      <c r="W638" s="4">
        <f t="shared" si="20"/>
        <v>3444535.0083592925</v>
      </c>
      <c r="X638" s="4">
        <f t="shared" si="20"/>
        <v>3444535.0083592925</v>
      </c>
      <c r="Y638" s="5">
        <f t="shared" si="19"/>
        <v>0.58216666666666661</v>
      </c>
    </row>
    <row r="639" spans="1:25" x14ac:dyDescent="0.25">
      <c r="A639" s="1" t="s">
        <v>107</v>
      </c>
      <c r="B639" s="1" t="s">
        <v>69</v>
      </c>
      <c r="C639" s="1" t="s">
        <v>28</v>
      </c>
      <c r="D639" s="1">
        <v>4883786.1306784712</v>
      </c>
      <c r="E639" s="1">
        <v>322329.88462477917</v>
      </c>
      <c r="F639" s="1">
        <v>322329.88462477917</v>
      </c>
      <c r="G639" s="1">
        <v>402912.35578097391</v>
      </c>
      <c r="H639" s="1">
        <v>402912.35578097391</v>
      </c>
      <c r="I639" s="1">
        <v>402912.35578097391</v>
      </c>
      <c r="J639" s="1">
        <v>402912.35578097391</v>
      </c>
      <c r="K639" s="1">
        <v>402912.35578097391</v>
      </c>
      <c r="L639" s="1">
        <v>402912.35578097391</v>
      </c>
      <c r="M639" s="1">
        <v>245410.25306659314</v>
      </c>
      <c r="N639" s="1">
        <v>245410.25306659314</v>
      </c>
      <c r="O639" s="1">
        <v>204508.54422216097</v>
      </c>
      <c r="P639" s="1">
        <v>204508.54422216097</v>
      </c>
      <c r="Q639" s="1">
        <v>286311.96191102534</v>
      </c>
      <c r="R639" s="1">
        <v>286311.96191102534</v>
      </c>
      <c r="S639" s="1">
        <v>286311.96191102534</v>
      </c>
      <c r="T639" s="1">
        <v>286311.96191102534</v>
      </c>
      <c r="U639" s="1">
        <v>286311.96191102534</v>
      </c>
      <c r="V639" s="1">
        <v>286311.96191102534</v>
      </c>
      <c r="W639" s="4">
        <f t="shared" si="20"/>
        <v>2839921.6349895312</v>
      </c>
      <c r="X639" s="4">
        <f t="shared" si="20"/>
        <v>2839921.6349895312</v>
      </c>
      <c r="Y639" s="5">
        <f t="shared" si="19"/>
        <v>0.58150000000000002</v>
      </c>
    </row>
    <row r="640" spans="1:25" x14ac:dyDescent="0.25">
      <c r="A640" s="1" t="s">
        <v>107</v>
      </c>
      <c r="B640" s="1" t="s">
        <v>70</v>
      </c>
      <c r="C640" s="1" t="s">
        <v>23</v>
      </c>
      <c r="D640" s="1">
        <v>9646875.0213281233</v>
      </c>
      <c r="E640" s="1">
        <v>636693.75140765624</v>
      </c>
      <c r="F640" s="1">
        <v>636693.75140765624</v>
      </c>
      <c r="G640" s="1">
        <v>795867.18925957021</v>
      </c>
      <c r="H640" s="1">
        <v>795867.18925957021</v>
      </c>
      <c r="I640" s="1">
        <v>795867.18925957021</v>
      </c>
      <c r="J640" s="1">
        <v>795867.18925957021</v>
      </c>
      <c r="K640" s="1">
        <v>795867.18925957021</v>
      </c>
      <c r="L640" s="1">
        <v>795867.18925957021</v>
      </c>
      <c r="M640" s="1">
        <v>484755.4698217382</v>
      </c>
      <c r="N640" s="1">
        <v>484755.4698217382</v>
      </c>
      <c r="O640" s="1">
        <v>403962.89151811518</v>
      </c>
      <c r="P640" s="1">
        <v>403962.89151811518</v>
      </c>
      <c r="Q640" s="1">
        <v>565548.04812536121</v>
      </c>
      <c r="R640" s="1">
        <v>565548.04812536121</v>
      </c>
      <c r="S640" s="1">
        <v>565548.04812536121</v>
      </c>
      <c r="T640" s="1">
        <v>565548.04812536121</v>
      </c>
      <c r="U640" s="1">
        <v>565548.04812536121</v>
      </c>
      <c r="V640" s="1">
        <v>565548.04812536121</v>
      </c>
      <c r="W640" s="4">
        <f t="shared" si="20"/>
        <v>5609657.8249023035</v>
      </c>
      <c r="X640" s="4">
        <f t="shared" si="20"/>
        <v>5609657.8249023035</v>
      </c>
      <c r="Y640" s="5">
        <f t="shared" si="19"/>
        <v>0.58150000000000002</v>
      </c>
    </row>
    <row r="641" spans="1:25" x14ac:dyDescent="0.25">
      <c r="A641" s="1" t="s">
        <v>107</v>
      </c>
      <c r="B641" s="1" t="s">
        <v>71</v>
      </c>
      <c r="C641" s="1" t="s">
        <v>29</v>
      </c>
      <c r="D641" s="1">
        <v>7187638.6211538427</v>
      </c>
      <c r="E641" s="1">
        <v>474384.14899615367</v>
      </c>
      <c r="F641" s="1">
        <v>474384.14899615367</v>
      </c>
      <c r="G641" s="1">
        <v>592980.18624519208</v>
      </c>
      <c r="H641" s="1">
        <v>592980.18624519208</v>
      </c>
      <c r="I641" s="1">
        <v>592980.18624519208</v>
      </c>
      <c r="J641" s="1">
        <v>592980.18624519208</v>
      </c>
      <c r="K641" s="1">
        <v>592980.18624519208</v>
      </c>
      <c r="L641" s="1">
        <v>592980.18624519208</v>
      </c>
      <c r="M641" s="1">
        <v>361178.84071298054</v>
      </c>
      <c r="N641" s="1">
        <v>361178.84071298054</v>
      </c>
      <c r="O641" s="1">
        <v>300982.36726081715</v>
      </c>
      <c r="P641" s="1">
        <v>300982.36726081715</v>
      </c>
      <c r="Q641" s="1">
        <v>421375.31416514399</v>
      </c>
      <c r="R641" s="1">
        <v>421375.31416514399</v>
      </c>
      <c r="S641" s="1">
        <v>421375.31416514399</v>
      </c>
      <c r="T641" s="1">
        <v>421375.31416514399</v>
      </c>
      <c r="U641" s="1">
        <v>421375.31416514399</v>
      </c>
      <c r="V641" s="1">
        <v>421375.31416514399</v>
      </c>
      <c r="W641" s="4">
        <f t="shared" si="20"/>
        <v>4179611.8582009599</v>
      </c>
      <c r="X641" s="4">
        <f t="shared" si="20"/>
        <v>4179611.8582009599</v>
      </c>
      <c r="Y641" s="5">
        <f t="shared" si="19"/>
        <v>0.58150000000000002</v>
      </c>
    </row>
    <row r="642" spans="1:25" x14ac:dyDescent="0.25">
      <c r="A642" s="1" t="s">
        <v>107</v>
      </c>
      <c r="B642" s="1" t="s">
        <v>72</v>
      </c>
      <c r="C642" s="1" t="s">
        <v>73</v>
      </c>
      <c r="D642" s="1">
        <v>4873368.9574125158</v>
      </c>
      <c r="E642" s="1">
        <v>321642.35118922609</v>
      </c>
      <c r="F642" s="1">
        <v>321642.35118922609</v>
      </c>
      <c r="G642" s="1">
        <v>402052.93898653256</v>
      </c>
      <c r="H642" s="1">
        <v>402052.93898653256</v>
      </c>
      <c r="I642" s="1">
        <v>402052.93898653256</v>
      </c>
      <c r="J642" s="1">
        <v>402052.93898653256</v>
      </c>
      <c r="K642" s="1">
        <v>402052.93898653256</v>
      </c>
      <c r="L642" s="1">
        <v>402052.93898653256</v>
      </c>
      <c r="M642" s="1">
        <v>244886.79010997887</v>
      </c>
      <c r="N642" s="1">
        <v>244886.79010997887</v>
      </c>
      <c r="O642" s="1">
        <v>204072.32509164908</v>
      </c>
      <c r="P642" s="1">
        <v>204072.32509164908</v>
      </c>
      <c r="Q642" s="1">
        <v>285701.25512830867</v>
      </c>
      <c r="R642" s="1">
        <v>285701.25512830867</v>
      </c>
      <c r="S642" s="1">
        <v>285701.25512830867</v>
      </c>
      <c r="T642" s="1">
        <v>285701.25512830867</v>
      </c>
      <c r="U642" s="1">
        <v>285701.25512830867</v>
      </c>
      <c r="V642" s="1">
        <v>285701.25512830867</v>
      </c>
      <c r="W642" s="4">
        <f t="shared" si="20"/>
        <v>2833864.0487353774</v>
      </c>
      <c r="X642" s="4">
        <f t="shared" si="20"/>
        <v>2833864.0487353774</v>
      </c>
      <c r="Y642" s="5">
        <f t="shared" si="19"/>
        <v>0.58149999999999991</v>
      </c>
    </row>
    <row r="643" spans="1:25" x14ac:dyDescent="0.25">
      <c r="A643" s="1" t="s">
        <v>107</v>
      </c>
      <c r="B643" s="1" t="s">
        <v>48</v>
      </c>
      <c r="C643" s="1" t="s">
        <v>49</v>
      </c>
      <c r="D643" s="1">
        <v>4001633.3956418978</v>
      </c>
      <c r="E643" s="1">
        <v>264107.80411236529</v>
      </c>
      <c r="F643" s="1">
        <v>264107.80411236529</v>
      </c>
      <c r="G643" s="1">
        <v>330134.7551404566</v>
      </c>
      <c r="H643" s="1">
        <v>330134.7551404566</v>
      </c>
      <c r="I643" s="1">
        <v>330134.7551404566</v>
      </c>
      <c r="J643" s="1">
        <v>330134.7551404566</v>
      </c>
      <c r="K643" s="1">
        <v>330134.7551404566</v>
      </c>
      <c r="L643" s="1">
        <v>330134.7551404566</v>
      </c>
      <c r="M643" s="1">
        <v>201082.07813100543</v>
      </c>
      <c r="N643" s="1">
        <v>201082.07813100543</v>
      </c>
      <c r="O643" s="1">
        <v>167568.39844250452</v>
      </c>
      <c r="P643" s="1">
        <v>167568.39844250452</v>
      </c>
      <c r="Q643" s="1">
        <v>234595.75781950631</v>
      </c>
      <c r="R643" s="1">
        <v>234595.75781950631</v>
      </c>
      <c r="S643" s="1">
        <v>234595.75781950631</v>
      </c>
      <c r="T643" s="1">
        <v>234595.75781950631</v>
      </c>
      <c r="U643" s="1">
        <v>234595.75781950631</v>
      </c>
      <c r="V643" s="1">
        <v>234595.75781950631</v>
      </c>
      <c r="W643" s="4">
        <f t="shared" si="20"/>
        <v>2326949.8195657642</v>
      </c>
      <c r="X643" s="4">
        <f t="shared" si="20"/>
        <v>2326949.8195657642</v>
      </c>
      <c r="Y643" s="5">
        <f t="shared" ref="Y643:Y706" si="21">X643/D643</f>
        <v>0.58150000000000013</v>
      </c>
    </row>
    <row r="644" spans="1:25" x14ac:dyDescent="0.25">
      <c r="A644" s="1" t="s">
        <v>107</v>
      </c>
      <c r="B644" s="1" t="s">
        <v>53</v>
      </c>
      <c r="C644" s="1" t="s">
        <v>30</v>
      </c>
      <c r="D644" s="1">
        <v>9688786.1158917695</v>
      </c>
      <c r="E644" s="1">
        <v>639459.88364885689</v>
      </c>
      <c r="F644" s="1">
        <v>639459.88364885689</v>
      </c>
      <c r="G644" s="1">
        <v>799324.85456107103</v>
      </c>
      <c r="H644" s="1">
        <v>799324.85456107103</v>
      </c>
      <c r="I644" s="1">
        <v>799324.85456107103</v>
      </c>
      <c r="J644" s="1">
        <v>799324.85456107103</v>
      </c>
      <c r="K644" s="1">
        <v>799324.85456107103</v>
      </c>
      <c r="L644" s="1">
        <v>799324.85456107103</v>
      </c>
      <c r="M644" s="1">
        <v>486861.50232356141</v>
      </c>
      <c r="N644" s="1">
        <v>486861.50232356141</v>
      </c>
      <c r="O644" s="1">
        <v>405717.91860296787</v>
      </c>
      <c r="P644" s="1">
        <v>405717.91860296787</v>
      </c>
      <c r="Q644" s="1">
        <v>568005.08604415494</v>
      </c>
      <c r="R644" s="1">
        <v>568005.08604415494</v>
      </c>
      <c r="S644" s="1">
        <v>568005.08604415494</v>
      </c>
      <c r="T644" s="1">
        <v>568005.08604415494</v>
      </c>
      <c r="U644" s="1">
        <v>568005.08604415494</v>
      </c>
      <c r="V644" s="1">
        <v>568005.08604415494</v>
      </c>
      <c r="W644" s="4">
        <f t="shared" si="20"/>
        <v>5634029.1263910634</v>
      </c>
      <c r="X644" s="4">
        <f t="shared" si="20"/>
        <v>5634029.1263910634</v>
      </c>
      <c r="Y644" s="5">
        <f t="shared" si="21"/>
        <v>0.58149999999999991</v>
      </c>
    </row>
    <row r="645" spans="1:25" x14ac:dyDescent="0.25">
      <c r="A645" s="1" t="s">
        <v>107</v>
      </c>
      <c r="B645" s="1" t="s">
        <v>74</v>
      </c>
      <c r="C645" s="1" t="s">
        <v>75</v>
      </c>
      <c r="D645" s="1">
        <v>5940301.0640891325</v>
      </c>
      <c r="E645" s="1">
        <v>392059.87022988277</v>
      </c>
      <c r="F645" s="1">
        <v>392059.87022988277</v>
      </c>
      <c r="G645" s="1">
        <v>490074.83778735343</v>
      </c>
      <c r="H645" s="1">
        <v>490074.83778735343</v>
      </c>
      <c r="I645" s="1">
        <v>490074.83778735343</v>
      </c>
      <c r="J645" s="1">
        <v>490074.83778735343</v>
      </c>
      <c r="K645" s="1">
        <v>490074.83778735343</v>
      </c>
      <c r="L645" s="1">
        <v>490074.83778735343</v>
      </c>
      <c r="M645" s="1">
        <v>298500.12847047887</v>
      </c>
      <c r="N645" s="1">
        <v>298500.12847047887</v>
      </c>
      <c r="O645" s="1">
        <v>248750.10705873242</v>
      </c>
      <c r="P645" s="1">
        <v>248750.10705873242</v>
      </c>
      <c r="Q645" s="1">
        <v>348250.14988222538</v>
      </c>
      <c r="R645" s="1">
        <v>348250.14988222538</v>
      </c>
      <c r="S645" s="1">
        <v>348250.14988222538</v>
      </c>
      <c r="T645" s="1">
        <v>348250.14988222538</v>
      </c>
      <c r="U645" s="1">
        <v>348250.14988222538</v>
      </c>
      <c r="V645" s="1">
        <v>348250.14988222538</v>
      </c>
      <c r="W645" s="4">
        <f t="shared" si="20"/>
        <v>3454285.0687678303</v>
      </c>
      <c r="X645" s="4">
        <f t="shared" si="20"/>
        <v>3454285.0687678303</v>
      </c>
      <c r="Y645" s="5">
        <f t="shared" si="21"/>
        <v>0.58149999999999991</v>
      </c>
    </row>
    <row r="646" spans="1:25" x14ac:dyDescent="0.25">
      <c r="A646" s="1" t="s">
        <v>107</v>
      </c>
      <c r="B646" s="1" t="s">
        <v>50</v>
      </c>
      <c r="C646" s="1" t="s">
        <v>25</v>
      </c>
      <c r="D646" s="1">
        <v>4201715.0654239915</v>
      </c>
      <c r="E646" s="1">
        <v>277313.19431798346</v>
      </c>
      <c r="F646" s="1">
        <v>277313.19431798346</v>
      </c>
      <c r="G646" s="1">
        <v>346641.49289747933</v>
      </c>
      <c r="H646" s="1">
        <v>346641.49289747933</v>
      </c>
      <c r="I646" s="1">
        <v>346641.49289747933</v>
      </c>
      <c r="J646" s="1">
        <v>346641.49289747933</v>
      </c>
      <c r="K646" s="1">
        <v>346641.49289747933</v>
      </c>
      <c r="L646" s="1">
        <v>346641.49289747933</v>
      </c>
      <c r="M646" s="1">
        <v>211136.18203755555</v>
      </c>
      <c r="N646" s="1">
        <v>211136.18203755555</v>
      </c>
      <c r="O646" s="1">
        <v>175946.81836462964</v>
      </c>
      <c r="P646" s="1">
        <v>175946.81836462964</v>
      </c>
      <c r="Q646" s="1">
        <v>246325.54571048147</v>
      </c>
      <c r="R646" s="1">
        <v>246325.54571048147</v>
      </c>
      <c r="S646" s="1">
        <v>246325.54571048147</v>
      </c>
      <c r="T646" s="1">
        <v>246325.54571048147</v>
      </c>
      <c r="U646" s="1">
        <v>246325.54571048147</v>
      </c>
      <c r="V646" s="1">
        <v>246325.54571048147</v>
      </c>
      <c r="W646" s="4">
        <f t="shared" si="20"/>
        <v>2443297.3105440512</v>
      </c>
      <c r="X646" s="4">
        <f t="shared" si="20"/>
        <v>2443297.3105440512</v>
      </c>
      <c r="Y646" s="5">
        <f t="shared" si="21"/>
        <v>0.58150000000000002</v>
      </c>
    </row>
    <row r="647" spans="1:25" x14ac:dyDescent="0.25">
      <c r="A647" s="1" t="s">
        <v>109</v>
      </c>
      <c r="B647" s="1" t="s">
        <v>59</v>
      </c>
      <c r="C647" s="1" t="s">
        <v>26</v>
      </c>
      <c r="D647" s="1">
        <v>34153496</v>
      </c>
      <c r="E647" s="1">
        <v>3282351.3952758084</v>
      </c>
      <c r="F647" s="1">
        <v>3282351.3952758084</v>
      </c>
      <c r="G647" s="1">
        <v>4102939.2440947602</v>
      </c>
      <c r="H647" s="1">
        <v>4102939.2440947602</v>
      </c>
      <c r="I647" s="1">
        <v>4102939.2440947602</v>
      </c>
      <c r="J647" s="1">
        <v>4102939.2440947602</v>
      </c>
      <c r="K647" s="1">
        <v>4102939.2440947602</v>
      </c>
      <c r="L647" s="1">
        <v>4102939.2440947602</v>
      </c>
      <c r="M647" s="1">
        <v>2217717.3779526204</v>
      </c>
      <c r="N647" s="1">
        <v>2217717.3779526204</v>
      </c>
      <c r="O647" s="1">
        <v>2217717.3779526204</v>
      </c>
      <c r="P647" s="1">
        <v>2217717.3779526204</v>
      </c>
      <c r="Q647" s="1">
        <v>2217717.3779526204</v>
      </c>
      <c r="R647" s="1">
        <v>2217717.3779526204</v>
      </c>
      <c r="S647" s="1">
        <v>2217717.3779526204</v>
      </c>
      <c r="T647" s="1">
        <v>2217717.3779526204</v>
      </c>
      <c r="U647" s="1">
        <v>2217717.3779526204</v>
      </c>
      <c r="V647" s="1">
        <v>2217717.3779526204</v>
      </c>
      <c r="W647" s="4">
        <f t="shared" si="20"/>
        <v>26679756.017323188</v>
      </c>
      <c r="X647" s="4">
        <f t="shared" si="20"/>
        <v>26679756.017323188</v>
      </c>
      <c r="Y647" s="5">
        <f t="shared" si="21"/>
        <v>0.78117203630700616</v>
      </c>
    </row>
    <row r="648" spans="1:25" x14ac:dyDescent="0.25">
      <c r="A648" s="1" t="s">
        <v>109</v>
      </c>
      <c r="B648" s="1" t="s">
        <v>59</v>
      </c>
      <c r="C648" s="1" t="s">
        <v>26</v>
      </c>
      <c r="D648" s="1">
        <v>15579101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7789550.5</v>
      </c>
      <c r="N648" s="1">
        <v>7789550.5</v>
      </c>
      <c r="O648" s="1">
        <v>7789550.5</v>
      </c>
      <c r="P648" s="1">
        <v>7789550.5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4">
        <f t="shared" si="20"/>
        <v>15579101</v>
      </c>
      <c r="X648" s="4">
        <f t="shared" si="20"/>
        <v>15579101</v>
      </c>
      <c r="Y648" s="5">
        <f t="shared" si="21"/>
        <v>1</v>
      </c>
    </row>
    <row r="649" spans="1:25" x14ac:dyDescent="0.25">
      <c r="A649" s="1" t="s">
        <v>109</v>
      </c>
      <c r="B649" s="1" t="s">
        <v>33</v>
      </c>
      <c r="C649" s="1" t="s">
        <v>34</v>
      </c>
      <c r="D649" s="1">
        <v>60000000</v>
      </c>
      <c r="E649" s="1">
        <v>0</v>
      </c>
      <c r="F649" s="1">
        <v>0</v>
      </c>
      <c r="G649" s="1">
        <v>12000000</v>
      </c>
      <c r="H649" s="1">
        <v>12000000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18000000</v>
      </c>
      <c r="P649" s="1">
        <v>18000000</v>
      </c>
      <c r="Q649" s="1">
        <v>0</v>
      </c>
      <c r="R649" s="1">
        <v>0</v>
      </c>
      <c r="S649" s="1">
        <v>18000000</v>
      </c>
      <c r="T649" s="1">
        <v>18000000</v>
      </c>
      <c r="U649" s="1">
        <v>12000000</v>
      </c>
      <c r="V649" s="1">
        <v>12000000</v>
      </c>
      <c r="W649" s="4">
        <f t="shared" si="20"/>
        <v>60000000</v>
      </c>
      <c r="X649" s="4">
        <f t="shared" si="20"/>
        <v>60000000</v>
      </c>
      <c r="Y649" s="5">
        <f t="shared" si="21"/>
        <v>1</v>
      </c>
    </row>
    <row r="650" spans="1:25" x14ac:dyDescent="0.25">
      <c r="A650" s="1" t="s">
        <v>109</v>
      </c>
      <c r="B650" s="1" t="s">
        <v>35</v>
      </c>
      <c r="C650" s="1" t="s">
        <v>34</v>
      </c>
      <c r="D650" s="1">
        <v>150000000</v>
      </c>
      <c r="E650" s="1">
        <v>0</v>
      </c>
      <c r="F650" s="1">
        <v>0</v>
      </c>
      <c r="G650" s="1">
        <v>41250000</v>
      </c>
      <c r="H650" s="1">
        <v>41250000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36250000</v>
      </c>
      <c r="P650" s="1">
        <v>36250000</v>
      </c>
      <c r="Q650" s="1">
        <v>0</v>
      </c>
      <c r="R650" s="1">
        <v>0</v>
      </c>
      <c r="S650" s="1">
        <v>36250000</v>
      </c>
      <c r="T650" s="1">
        <v>36250000</v>
      </c>
      <c r="U650" s="1">
        <v>36250000</v>
      </c>
      <c r="V650" s="1">
        <v>36250000</v>
      </c>
      <c r="W650" s="4">
        <f t="shared" si="20"/>
        <v>150000000</v>
      </c>
      <c r="X650" s="4">
        <f t="shared" si="20"/>
        <v>150000000</v>
      </c>
      <c r="Y650" s="5">
        <f t="shared" si="21"/>
        <v>1</v>
      </c>
    </row>
    <row r="651" spans="1:25" x14ac:dyDescent="0.25">
      <c r="A651" s="1" t="s">
        <v>109</v>
      </c>
      <c r="B651" s="1" t="s">
        <v>38</v>
      </c>
      <c r="C651" s="1" t="s">
        <v>39</v>
      </c>
      <c r="D651" s="1">
        <v>8088907.9214600986</v>
      </c>
      <c r="E651" s="1">
        <v>533867.92281636654</v>
      </c>
      <c r="F651" s="1">
        <v>533867.92281636654</v>
      </c>
      <c r="G651" s="1">
        <v>667334.90352045815</v>
      </c>
      <c r="H651" s="1">
        <v>667334.90352045815</v>
      </c>
      <c r="I651" s="1">
        <v>667334.90352045815</v>
      </c>
      <c r="J651" s="1">
        <v>667334.90352045815</v>
      </c>
      <c r="K651" s="1">
        <v>667334.90352045815</v>
      </c>
      <c r="L651" s="1">
        <v>667334.90352045815</v>
      </c>
      <c r="M651" s="1">
        <v>406467.62305336987</v>
      </c>
      <c r="N651" s="1">
        <v>406467.62305336987</v>
      </c>
      <c r="O651" s="1">
        <v>338723.01921114157</v>
      </c>
      <c r="P651" s="1">
        <v>338723.01921114157</v>
      </c>
      <c r="Q651" s="1">
        <v>474212.22689559817</v>
      </c>
      <c r="R651" s="1">
        <v>474212.22689559817</v>
      </c>
      <c r="S651" s="1">
        <v>474212.22689559817</v>
      </c>
      <c r="T651" s="1">
        <v>474212.22689559817</v>
      </c>
      <c r="U651" s="1">
        <v>474212.22689559817</v>
      </c>
      <c r="V651" s="1">
        <v>474212.22689559817</v>
      </c>
      <c r="W651" s="4">
        <f t="shared" si="20"/>
        <v>4703699.9563290477</v>
      </c>
      <c r="X651" s="4">
        <f t="shared" si="20"/>
        <v>4703699.9563290477</v>
      </c>
      <c r="Y651" s="5">
        <f t="shared" si="21"/>
        <v>0.58150000000000002</v>
      </c>
    </row>
    <row r="652" spans="1:25" x14ac:dyDescent="0.25">
      <c r="A652" s="1" t="s">
        <v>109</v>
      </c>
      <c r="B652" s="1" t="s">
        <v>61</v>
      </c>
      <c r="C652" s="1" t="s">
        <v>34</v>
      </c>
      <c r="D652" s="1">
        <v>110344825.020943</v>
      </c>
      <c r="E652" s="1">
        <v>0</v>
      </c>
      <c r="F652" s="1">
        <v>0</v>
      </c>
      <c r="G652" s="1">
        <v>8827586.0006699581</v>
      </c>
      <c r="H652" s="1">
        <v>8827586.0006699581</v>
      </c>
      <c r="I652" s="1">
        <v>0</v>
      </c>
      <c r="J652" s="1">
        <v>0</v>
      </c>
      <c r="K652" s="1">
        <v>0</v>
      </c>
      <c r="L652" s="1">
        <v>0</v>
      </c>
      <c r="M652" s="1">
        <v>25379309.755068261</v>
      </c>
      <c r="N652" s="1">
        <v>25379309.755068261</v>
      </c>
      <c r="O652" s="1">
        <v>0</v>
      </c>
      <c r="P652" s="1">
        <v>0</v>
      </c>
      <c r="Q652" s="1">
        <v>0</v>
      </c>
      <c r="R652" s="1">
        <v>0</v>
      </c>
      <c r="S652" s="1">
        <v>38068964.632602394</v>
      </c>
      <c r="T652" s="1">
        <v>38068964.632602394</v>
      </c>
      <c r="U652" s="1">
        <v>0</v>
      </c>
      <c r="V652" s="1">
        <v>0</v>
      </c>
      <c r="W652" s="4">
        <f t="shared" si="20"/>
        <v>72275860.388340607</v>
      </c>
      <c r="X652" s="4">
        <f t="shared" si="20"/>
        <v>72275860.388340607</v>
      </c>
      <c r="Y652" s="5">
        <f t="shared" si="21"/>
        <v>0.65499999999658287</v>
      </c>
    </row>
    <row r="653" spans="1:25" x14ac:dyDescent="0.25">
      <c r="A653" s="1" t="s">
        <v>109</v>
      </c>
      <c r="B653" s="1" t="s">
        <v>62</v>
      </c>
      <c r="C653" s="1" t="s">
        <v>63</v>
      </c>
      <c r="D653" s="1">
        <v>46142857</v>
      </c>
      <c r="E653" s="1">
        <v>15399999.999120001</v>
      </c>
      <c r="F653" s="1">
        <v>15399999.999120001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2016964.2857967855</v>
      </c>
      <c r="N653" s="1">
        <v>2016964.2857967855</v>
      </c>
      <c r="O653" s="1">
        <v>1680803.5714973214</v>
      </c>
      <c r="P653" s="1">
        <v>1680803.5714973214</v>
      </c>
      <c r="Q653" s="1">
        <v>2353125.0000962499</v>
      </c>
      <c r="R653" s="1">
        <v>2353125.0000962499</v>
      </c>
      <c r="S653" s="1">
        <v>2353125.0000962499</v>
      </c>
      <c r="T653" s="1">
        <v>2353125.0000962499</v>
      </c>
      <c r="U653" s="1">
        <v>2353125.0000962499</v>
      </c>
      <c r="V653" s="1">
        <v>2353125.0000962499</v>
      </c>
      <c r="W653" s="4">
        <f t="shared" si="20"/>
        <v>26157142.856702857</v>
      </c>
      <c r="X653" s="4">
        <f t="shared" si="20"/>
        <v>26157142.856702857</v>
      </c>
      <c r="Y653" s="5">
        <f t="shared" si="21"/>
        <v>0.56687306676096927</v>
      </c>
    </row>
    <row r="654" spans="1:25" x14ac:dyDescent="0.25">
      <c r="A654" s="1" t="s">
        <v>109</v>
      </c>
      <c r="B654" s="1" t="s">
        <v>40</v>
      </c>
      <c r="C654" s="1" t="s">
        <v>27</v>
      </c>
      <c r="D654" s="1">
        <v>81633199</v>
      </c>
      <c r="E654" s="1">
        <v>4982806</v>
      </c>
      <c r="F654" s="1">
        <v>4982806</v>
      </c>
      <c r="G654" s="1">
        <v>11356354.993642032</v>
      </c>
      <c r="H654" s="1">
        <v>11356354.993642032</v>
      </c>
      <c r="I654" s="1">
        <v>8626323</v>
      </c>
      <c r="J654" s="1">
        <v>8626323</v>
      </c>
      <c r="K654" s="1">
        <v>7873897</v>
      </c>
      <c r="L654" s="1">
        <v>7873897</v>
      </c>
      <c r="M654" s="1">
        <v>0</v>
      </c>
      <c r="N654" s="1">
        <v>0</v>
      </c>
      <c r="O654" s="1">
        <v>7715548.0063579679</v>
      </c>
      <c r="P654" s="1">
        <v>7715548.0063579679</v>
      </c>
      <c r="Q654" s="1">
        <v>11752540</v>
      </c>
      <c r="R654" s="1">
        <v>11752540</v>
      </c>
      <c r="S654" s="1">
        <v>10121947</v>
      </c>
      <c r="T654" s="1">
        <v>10121947</v>
      </c>
      <c r="U654" s="1">
        <v>4646869</v>
      </c>
      <c r="V654" s="1">
        <v>4646869</v>
      </c>
      <c r="W654" s="4">
        <f t="shared" si="20"/>
        <v>67076285</v>
      </c>
      <c r="X654" s="4">
        <f t="shared" si="20"/>
        <v>67076285</v>
      </c>
      <c r="Y654" s="5">
        <f t="shared" si="21"/>
        <v>0.82167899606629402</v>
      </c>
    </row>
    <row r="655" spans="1:25" x14ac:dyDescent="0.25">
      <c r="A655" s="1" t="s">
        <v>109</v>
      </c>
      <c r="B655" s="1" t="s">
        <v>40</v>
      </c>
      <c r="C655" s="1" t="s">
        <v>27</v>
      </c>
      <c r="D655" s="1">
        <v>95481573</v>
      </c>
      <c r="E655" s="1">
        <v>1750000</v>
      </c>
      <c r="F655" s="1">
        <v>1750000</v>
      </c>
      <c r="G655" s="1">
        <v>0</v>
      </c>
      <c r="H655" s="1">
        <v>0</v>
      </c>
      <c r="I655" s="1">
        <v>0</v>
      </c>
      <c r="J655" s="1">
        <v>0</v>
      </c>
      <c r="K655" s="1">
        <v>5450000</v>
      </c>
      <c r="L655" s="1">
        <v>5450000</v>
      </c>
      <c r="M655" s="1">
        <v>0</v>
      </c>
      <c r="N655" s="1">
        <v>0</v>
      </c>
      <c r="O655" s="1">
        <v>11180000</v>
      </c>
      <c r="P655" s="1">
        <v>11180000</v>
      </c>
      <c r="Q655" s="1">
        <v>38550787</v>
      </c>
      <c r="R655" s="1">
        <v>38550787</v>
      </c>
      <c r="S655" s="1">
        <v>38550786</v>
      </c>
      <c r="T655" s="1">
        <v>38550786</v>
      </c>
      <c r="U655" s="1">
        <v>0</v>
      </c>
      <c r="V655" s="1">
        <v>0</v>
      </c>
      <c r="W655" s="4">
        <f t="shared" si="20"/>
        <v>95481573</v>
      </c>
      <c r="X655" s="4">
        <f t="shared" si="20"/>
        <v>95481573</v>
      </c>
      <c r="Y655" s="5">
        <f t="shared" si="21"/>
        <v>1</v>
      </c>
    </row>
    <row r="656" spans="1:25" x14ac:dyDescent="0.25">
      <c r="A656" s="1" t="s">
        <v>109</v>
      </c>
      <c r="B656" s="1" t="s">
        <v>40</v>
      </c>
      <c r="C656" s="1" t="s">
        <v>27</v>
      </c>
      <c r="D656" s="1">
        <v>27475364</v>
      </c>
      <c r="E656" s="1">
        <v>0</v>
      </c>
      <c r="F656" s="1">
        <v>0</v>
      </c>
      <c r="G656" s="1">
        <v>13737682</v>
      </c>
      <c r="H656" s="1">
        <v>13737682</v>
      </c>
      <c r="I656" s="1">
        <v>0</v>
      </c>
      <c r="J656" s="1">
        <v>0</v>
      </c>
      <c r="K656" s="1">
        <v>13737682</v>
      </c>
      <c r="L656" s="1">
        <v>13737682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4">
        <f t="shared" si="20"/>
        <v>27475364</v>
      </c>
      <c r="X656" s="4">
        <f t="shared" si="20"/>
        <v>27475364</v>
      </c>
      <c r="Y656" s="5">
        <f t="shared" si="21"/>
        <v>1</v>
      </c>
    </row>
    <row r="657" spans="1:25" x14ac:dyDescent="0.25">
      <c r="A657" s="1" t="s">
        <v>109</v>
      </c>
      <c r="B657" s="1" t="s">
        <v>43</v>
      </c>
      <c r="C657" s="1" t="s">
        <v>31</v>
      </c>
      <c r="D657" s="1">
        <v>4764123</v>
      </c>
      <c r="E657" s="1">
        <v>276740.27070511685</v>
      </c>
      <c r="F657" s="1">
        <v>276740.27070511685</v>
      </c>
      <c r="G657" s="1">
        <v>345925.33838139608</v>
      </c>
      <c r="H657" s="1">
        <v>345925.33838139608</v>
      </c>
      <c r="I657" s="1">
        <v>345925.33838139608</v>
      </c>
      <c r="J657" s="1">
        <v>345925.33838139608</v>
      </c>
      <c r="K657" s="1">
        <v>345925.33838139608</v>
      </c>
      <c r="L657" s="1">
        <v>345925.33838139608</v>
      </c>
      <c r="M657" s="1">
        <v>257221.28617292322</v>
      </c>
      <c r="N657" s="1">
        <v>257221.28617292322</v>
      </c>
      <c r="O657" s="1">
        <v>214351.07181076935</v>
      </c>
      <c r="P657" s="1">
        <v>214351.07181076935</v>
      </c>
      <c r="Q657" s="1">
        <v>265654.64878655144</v>
      </c>
      <c r="R657" s="1">
        <v>265654.64878655144</v>
      </c>
      <c r="S657" s="1">
        <v>300091.50053507707</v>
      </c>
      <c r="T657" s="1">
        <v>300091.50053507707</v>
      </c>
      <c r="U657" s="1">
        <v>300091.50053507707</v>
      </c>
      <c r="V657" s="1">
        <v>300091.50053507707</v>
      </c>
      <c r="W657" s="4">
        <f t="shared" si="20"/>
        <v>2651926.2936897031</v>
      </c>
      <c r="X657" s="4">
        <f t="shared" si="20"/>
        <v>2651926.2936897031</v>
      </c>
      <c r="Y657" s="5">
        <f t="shared" si="21"/>
        <v>0.55664521963217639</v>
      </c>
    </row>
    <row r="658" spans="1:25" x14ac:dyDescent="0.25">
      <c r="A658" s="1" t="s">
        <v>109</v>
      </c>
      <c r="B658" s="1" t="s">
        <v>64</v>
      </c>
      <c r="C658" s="1" t="s">
        <v>23</v>
      </c>
      <c r="D658" s="1">
        <v>3782816.9144317373</v>
      </c>
      <c r="E658" s="1">
        <v>249665.91635249468</v>
      </c>
      <c r="F658" s="1">
        <v>249665.91635249468</v>
      </c>
      <c r="G658" s="1">
        <v>312082.39544061833</v>
      </c>
      <c r="H658" s="1">
        <v>312082.39544061833</v>
      </c>
      <c r="I658" s="1">
        <v>312082.39544061833</v>
      </c>
      <c r="J658" s="1">
        <v>312082.39544061833</v>
      </c>
      <c r="K658" s="1">
        <v>312082.39544061833</v>
      </c>
      <c r="L658" s="1">
        <v>312082.39544061833</v>
      </c>
      <c r="M658" s="1">
        <v>190086.54995019478</v>
      </c>
      <c r="N658" s="1">
        <v>190086.54995019478</v>
      </c>
      <c r="O658" s="1">
        <v>158405.45829182898</v>
      </c>
      <c r="P658" s="1">
        <v>158405.45829182898</v>
      </c>
      <c r="Q658" s="1">
        <v>221767.64160856057</v>
      </c>
      <c r="R658" s="1">
        <v>221767.64160856057</v>
      </c>
      <c r="S658" s="1">
        <v>221767.64160856057</v>
      </c>
      <c r="T658" s="1">
        <v>221767.64160856057</v>
      </c>
      <c r="U658" s="1">
        <v>221767.64160856057</v>
      </c>
      <c r="V658" s="1">
        <v>221767.64160856057</v>
      </c>
      <c r="W658" s="4">
        <f t="shared" ref="W658:X721" si="22">U658+S658+Q658+O658+M658+K658+I658+G658+E658</f>
        <v>2199708.0357420552</v>
      </c>
      <c r="X658" s="4">
        <f t="shared" si="22"/>
        <v>2199708.0357420552</v>
      </c>
      <c r="Y658" s="5">
        <f t="shared" si="21"/>
        <v>0.58150000000000002</v>
      </c>
    </row>
    <row r="659" spans="1:25" x14ac:dyDescent="0.25">
      <c r="A659" s="1" t="s">
        <v>109</v>
      </c>
      <c r="B659" s="1" t="s">
        <v>65</v>
      </c>
      <c r="C659" s="1" t="s">
        <v>31</v>
      </c>
      <c r="D659" s="1">
        <v>3631185.8266109037</v>
      </c>
      <c r="E659" s="1">
        <v>239658.26455631966</v>
      </c>
      <c r="F659" s="1">
        <v>239658.26455631966</v>
      </c>
      <c r="G659" s="1">
        <v>299572.83069539955</v>
      </c>
      <c r="H659" s="1">
        <v>299572.83069539955</v>
      </c>
      <c r="I659" s="1">
        <v>299572.83069539955</v>
      </c>
      <c r="J659" s="1">
        <v>299572.83069539955</v>
      </c>
      <c r="K659" s="1">
        <v>299572.83069539955</v>
      </c>
      <c r="L659" s="1">
        <v>299572.83069539955</v>
      </c>
      <c r="M659" s="1">
        <v>182467.0877871979</v>
      </c>
      <c r="N659" s="1">
        <v>182467.0877871979</v>
      </c>
      <c r="O659" s="1">
        <v>152055.9064893316</v>
      </c>
      <c r="P659" s="1">
        <v>152055.9064893316</v>
      </c>
      <c r="Q659" s="1">
        <v>212878.26908506421</v>
      </c>
      <c r="R659" s="1">
        <v>212878.26908506421</v>
      </c>
      <c r="S659" s="1">
        <v>212878.26908506421</v>
      </c>
      <c r="T659" s="1">
        <v>212878.26908506421</v>
      </c>
      <c r="U659" s="1">
        <v>212878.26908506421</v>
      </c>
      <c r="V659" s="1">
        <v>212878.26908506421</v>
      </c>
      <c r="W659" s="4">
        <f t="shared" si="22"/>
        <v>2111534.5581742404</v>
      </c>
      <c r="X659" s="4">
        <f t="shared" si="22"/>
        <v>2111534.5581742404</v>
      </c>
      <c r="Y659" s="5">
        <f t="shared" si="21"/>
        <v>0.58150000000000002</v>
      </c>
    </row>
    <row r="660" spans="1:25" x14ac:dyDescent="0.25">
      <c r="A660" s="1" t="s">
        <v>109</v>
      </c>
      <c r="B660" s="1" t="s">
        <v>44</v>
      </c>
      <c r="C660" s="1" t="s">
        <v>45</v>
      </c>
      <c r="D660" s="1">
        <v>8088907.9214600986</v>
      </c>
      <c r="E660" s="1">
        <v>533867.92281636654</v>
      </c>
      <c r="F660" s="1">
        <v>533867.92281636654</v>
      </c>
      <c r="G660" s="1">
        <v>667334.90352045815</v>
      </c>
      <c r="H660" s="1">
        <v>667334.90352045815</v>
      </c>
      <c r="I660" s="1">
        <v>667334.90352045815</v>
      </c>
      <c r="J660" s="1">
        <v>667334.90352045815</v>
      </c>
      <c r="K660" s="1">
        <v>667334.90352045815</v>
      </c>
      <c r="L660" s="1">
        <v>667334.90352045815</v>
      </c>
      <c r="M660" s="1">
        <v>406467.62305336987</v>
      </c>
      <c r="N660" s="1">
        <v>406467.62305336987</v>
      </c>
      <c r="O660" s="1">
        <v>338723.01921114157</v>
      </c>
      <c r="P660" s="1">
        <v>338723.01921114157</v>
      </c>
      <c r="Q660" s="1">
        <v>474212.22689559817</v>
      </c>
      <c r="R660" s="1">
        <v>474212.22689559817</v>
      </c>
      <c r="S660" s="1">
        <v>474212.22689559817</v>
      </c>
      <c r="T660" s="1">
        <v>474212.22689559817</v>
      </c>
      <c r="U660" s="1">
        <v>474212.22689559817</v>
      </c>
      <c r="V660" s="1">
        <v>474212.22689559817</v>
      </c>
      <c r="W660" s="4">
        <f t="shared" si="22"/>
        <v>4703699.9563290477</v>
      </c>
      <c r="X660" s="4">
        <f t="shared" si="22"/>
        <v>4703699.9563290477</v>
      </c>
      <c r="Y660" s="5">
        <f t="shared" si="21"/>
        <v>0.58150000000000002</v>
      </c>
    </row>
    <row r="661" spans="1:25" x14ac:dyDescent="0.25">
      <c r="A661" s="1" t="s">
        <v>109</v>
      </c>
      <c r="B661" s="1" t="s">
        <v>46</v>
      </c>
      <c r="C661" s="1" t="s">
        <v>22</v>
      </c>
      <c r="D661" s="1">
        <v>71398492.503422812</v>
      </c>
      <c r="E661" s="1">
        <v>4716714.6461562533</v>
      </c>
      <c r="F661" s="1">
        <v>4716714.6461562533</v>
      </c>
      <c r="G661" s="1">
        <v>5895893.3076953162</v>
      </c>
      <c r="H661" s="1">
        <v>5895893.3076953162</v>
      </c>
      <c r="I661" s="1">
        <v>5895893.3076953162</v>
      </c>
      <c r="J661" s="1">
        <v>5895893.3076953162</v>
      </c>
      <c r="K661" s="1">
        <v>5895893.3076953162</v>
      </c>
      <c r="L661" s="1">
        <v>5895893.3076953162</v>
      </c>
      <c r="M661" s="1">
        <v>3699479.2027347116</v>
      </c>
      <c r="N661" s="1">
        <v>3699479.2027347116</v>
      </c>
      <c r="O661" s="1">
        <v>3008377.6237400286</v>
      </c>
      <c r="P661" s="1">
        <v>3008377.6237400286</v>
      </c>
      <c r="Q661" s="1">
        <v>4164912.0662808097</v>
      </c>
      <c r="R661" s="1">
        <v>4164912.0662808097</v>
      </c>
      <c r="S661" s="1">
        <v>4164912.0662808097</v>
      </c>
      <c r="T661" s="1">
        <v>4164912.0662808097</v>
      </c>
      <c r="U661" s="1">
        <v>4164912.0662808097</v>
      </c>
      <c r="V661" s="1">
        <v>4164912.0662808097</v>
      </c>
      <c r="W661" s="4">
        <f t="shared" si="22"/>
        <v>41606987.594559364</v>
      </c>
      <c r="X661" s="4">
        <f t="shared" si="22"/>
        <v>41606987.594559364</v>
      </c>
      <c r="Y661" s="5">
        <f t="shared" si="21"/>
        <v>0.58274322238056697</v>
      </c>
    </row>
    <row r="662" spans="1:25" x14ac:dyDescent="0.25">
      <c r="A662" s="1" t="s">
        <v>109</v>
      </c>
      <c r="B662" s="1" t="s">
        <v>66</v>
      </c>
      <c r="C662" s="1" t="s">
        <v>24</v>
      </c>
      <c r="D662" s="1">
        <v>228521059.54164469</v>
      </c>
      <c r="E662" s="1">
        <v>18852987.412185688</v>
      </c>
      <c r="F662" s="1">
        <v>18852987.412185688</v>
      </c>
      <c r="G662" s="1">
        <v>18852987.412185688</v>
      </c>
      <c r="H662" s="1">
        <v>18852987.412185688</v>
      </c>
      <c r="I662" s="1">
        <v>18852987.412185688</v>
      </c>
      <c r="J662" s="1">
        <v>18852987.412185688</v>
      </c>
      <c r="K662" s="1">
        <v>18852987.412185688</v>
      </c>
      <c r="L662" s="1">
        <v>18852987.412185688</v>
      </c>
      <c r="M662" s="1">
        <v>23995154.35125725</v>
      </c>
      <c r="N662" s="1">
        <v>23995154.35125725</v>
      </c>
      <c r="O662" s="1">
        <v>18455254</v>
      </c>
      <c r="P662" s="1">
        <v>18455254</v>
      </c>
      <c r="Q662" s="1">
        <v>20349033</v>
      </c>
      <c r="R662" s="1">
        <v>20349033</v>
      </c>
      <c r="S662" s="1">
        <v>17314205</v>
      </c>
      <c r="T662" s="1">
        <v>17314205</v>
      </c>
      <c r="U662" s="1">
        <v>19122787</v>
      </c>
      <c r="V662" s="1">
        <v>19122787</v>
      </c>
      <c r="W662" s="4">
        <f t="shared" si="22"/>
        <v>174648383.00000003</v>
      </c>
      <c r="X662" s="4">
        <f t="shared" si="22"/>
        <v>174648383.00000003</v>
      </c>
      <c r="Y662" s="5">
        <f t="shared" si="21"/>
        <v>0.76425509031990491</v>
      </c>
    </row>
    <row r="663" spans="1:25" x14ac:dyDescent="0.25">
      <c r="A663" s="1" t="s">
        <v>109</v>
      </c>
      <c r="B663" s="1" t="s">
        <v>67</v>
      </c>
      <c r="C663" s="1" t="s">
        <v>68</v>
      </c>
      <c r="D663" s="1">
        <v>1972248.5732405321</v>
      </c>
      <c r="E663" s="1">
        <v>130168.40583387513</v>
      </c>
      <c r="F663" s="1">
        <v>130168.40583387513</v>
      </c>
      <c r="G663" s="1">
        <v>162710.50729234391</v>
      </c>
      <c r="H663" s="1">
        <v>162710.50729234391</v>
      </c>
      <c r="I663" s="1">
        <v>162710.50729234391</v>
      </c>
      <c r="J663" s="1">
        <v>162710.50729234391</v>
      </c>
      <c r="K663" s="1">
        <v>162710.50729234391</v>
      </c>
      <c r="L663" s="1">
        <v>162710.50729234391</v>
      </c>
      <c r="M663" s="1">
        <v>102556.92580850759</v>
      </c>
      <c r="N663" s="1">
        <v>102556.92580850759</v>
      </c>
      <c r="O663" s="1">
        <v>82177.023885022165</v>
      </c>
      <c r="P663" s="1">
        <v>82177.023885022165</v>
      </c>
      <c r="Q663" s="1">
        <v>115047.83343903102</v>
      </c>
      <c r="R663" s="1">
        <v>115047.83343903102</v>
      </c>
      <c r="S663" s="1">
        <v>115047.83343903102</v>
      </c>
      <c r="T663" s="1">
        <v>115047.83343903102</v>
      </c>
      <c r="U663" s="1">
        <v>115047.83343903102</v>
      </c>
      <c r="V663" s="1">
        <v>115047.83343903102</v>
      </c>
      <c r="W663" s="4">
        <f t="shared" si="22"/>
        <v>1148177.3777215295</v>
      </c>
      <c r="X663" s="4">
        <f t="shared" si="22"/>
        <v>1148177.3777215295</v>
      </c>
      <c r="Y663" s="5">
        <f t="shared" si="21"/>
        <v>0.5821666666666665</v>
      </c>
    </row>
    <row r="664" spans="1:25" x14ac:dyDescent="0.25">
      <c r="A664" s="1" t="s">
        <v>109</v>
      </c>
      <c r="B664" s="1" t="s">
        <v>69</v>
      </c>
      <c r="C664" s="1" t="s">
        <v>28</v>
      </c>
      <c r="D664" s="1">
        <v>5256602.2323720725</v>
      </c>
      <c r="E664" s="1">
        <v>346935.74733655684</v>
      </c>
      <c r="F664" s="1">
        <v>346935.74733655684</v>
      </c>
      <c r="G664" s="1">
        <v>433669.68417069601</v>
      </c>
      <c r="H664" s="1">
        <v>433669.68417069601</v>
      </c>
      <c r="I664" s="1">
        <v>433669.68417069601</v>
      </c>
      <c r="J664" s="1">
        <v>433669.68417069601</v>
      </c>
      <c r="K664" s="1">
        <v>433669.68417069601</v>
      </c>
      <c r="L664" s="1">
        <v>433669.68417069601</v>
      </c>
      <c r="M664" s="1">
        <v>264144.26217669662</v>
      </c>
      <c r="N664" s="1">
        <v>264144.26217669662</v>
      </c>
      <c r="O664" s="1">
        <v>220120.21848058054</v>
      </c>
      <c r="P664" s="1">
        <v>220120.21848058054</v>
      </c>
      <c r="Q664" s="1">
        <v>308168.30587281275</v>
      </c>
      <c r="R664" s="1">
        <v>308168.30587281275</v>
      </c>
      <c r="S664" s="1">
        <v>308168.30587281275</v>
      </c>
      <c r="T664" s="1">
        <v>308168.30587281275</v>
      </c>
      <c r="U664" s="1">
        <v>308168.30587281275</v>
      </c>
      <c r="V664" s="1">
        <v>308168.30587281275</v>
      </c>
      <c r="W664" s="4">
        <f t="shared" si="22"/>
        <v>3056714.1981243603</v>
      </c>
      <c r="X664" s="4">
        <f t="shared" si="22"/>
        <v>3056714.1981243603</v>
      </c>
      <c r="Y664" s="5">
        <f t="shared" si="21"/>
        <v>0.58150000000000002</v>
      </c>
    </row>
    <row r="665" spans="1:25" x14ac:dyDescent="0.25">
      <c r="A665" s="1" t="s">
        <v>109</v>
      </c>
      <c r="B665" s="1" t="s">
        <v>70</v>
      </c>
      <c r="C665" s="1" t="s">
        <v>23</v>
      </c>
      <c r="D665" s="1">
        <v>6890625.0152343744</v>
      </c>
      <c r="E665" s="1">
        <v>454781.25100546872</v>
      </c>
      <c r="F665" s="1">
        <v>454781.25100546872</v>
      </c>
      <c r="G665" s="1">
        <v>568476.56375683588</v>
      </c>
      <c r="H665" s="1">
        <v>568476.56375683588</v>
      </c>
      <c r="I665" s="1">
        <v>568476.56375683588</v>
      </c>
      <c r="J665" s="1">
        <v>568476.56375683588</v>
      </c>
      <c r="K665" s="1">
        <v>568476.56375683588</v>
      </c>
      <c r="L665" s="1">
        <v>568476.56375683588</v>
      </c>
      <c r="M665" s="1">
        <v>346253.90701552731</v>
      </c>
      <c r="N665" s="1">
        <v>346253.90701552731</v>
      </c>
      <c r="O665" s="1">
        <v>288544.92251293943</v>
      </c>
      <c r="P665" s="1">
        <v>288544.92251293943</v>
      </c>
      <c r="Q665" s="1">
        <v>403962.89151811518</v>
      </c>
      <c r="R665" s="1">
        <v>403962.89151811518</v>
      </c>
      <c r="S665" s="1">
        <v>403962.89151811518</v>
      </c>
      <c r="T665" s="1">
        <v>403962.89151811518</v>
      </c>
      <c r="U665" s="1">
        <v>403962.89151811518</v>
      </c>
      <c r="V665" s="1">
        <v>403962.89151811518</v>
      </c>
      <c r="W665" s="4">
        <f t="shared" si="22"/>
        <v>4006898.4463587888</v>
      </c>
      <c r="X665" s="4">
        <f t="shared" si="22"/>
        <v>4006898.4463587888</v>
      </c>
      <c r="Y665" s="5">
        <f t="shared" si="21"/>
        <v>0.58150000000000002</v>
      </c>
    </row>
    <row r="666" spans="1:25" x14ac:dyDescent="0.25">
      <c r="A666" s="1" t="s">
        <v>109</v>
      </c>
      <c r="B666" s="1" t="s">
        <v>71</v>
      </c>
      <c r="C666" s="1" t="s">
        <v>29</v>
      </c>
      <c r="D666" s="1">
        <v>7072821.1211538427</v>
      </c>
      <c r="E666" s="1">
        <v>466806.19399615371</v>
      </c>
      <c r="F666" s="1">
        <v>466806.19399615371</v>
      </c>
      <c r="G666" s="1">
        <v>583507.7424951921</v>
      </c>
      <c r="H666" s="1">
        <v>583507.7424951921</v>
      </c>
      <c r="I666" s="1">
        <v>583507.7424951921</v>
      </c>
      <c r="J666" s="1">
        <v>583507.7424951921</v>
      </c>
      <c r="K666" s="1">
        <v>583507.7424951921</v>
      </c>
      <c r="L666" s="1">
        <v>583507.7424951921</v>
      </c>
      <c r="M666" s="1">
        <v>355409.26133798051</v>
      </c>
      <c r="N666" s="1">
        <v>355409.26133798051</v>
      </c>
      <c r="O666" s="1">
        <v>296174.38444831711</v>
      </c>
      <c r="P666" s="1">
        <v>296174.38444831711</v>
      </c>
      <c r="Q666" s="1">
        <v>414644.13822764391</v>
      </c>
      <c r="R666" s="1">
        <v>414644.13822764391</v>
      </c>
      <c r="S666" s="1">
        <v>414644.13822764391</v>
      </c>
      <c r="T666" s="1">
        <v>414644.13822764391</v>
      </c>
      <c r="U666" s="1">
        <v>414644.13822764391</v>
      </c>
      <c r="V666" s="1">
        <v>414644.13822764391</v>
      </c>
      <c r="W666" s="4">
        <f t="shared" si="22"/>
        <v>4112845.4819509597</v>
      </c>
      <c r="X666" s="4">
        <f t="shared" si="22"/>
        <v>4112845.4819509597</v>
      </c>
      <c r="Y666" s="5">
        <f t="shared" si="21"/>
        <v>0.58150000000000002</v>
      </c>
    </row>
    <row r="667" spans="1:25" x14ac:dyDescent="0.25">
      <c r="A667" s="1" t="s">
        <v>109</v>
      </c>
      <c r="B667" s="1" t="s">
        <v>72</v>
      </c>
      <c r="C667" s="1" t="s">
        <v>73</v>
      </c>
      <c r="D667" s="1">
        <v>6032264.6003415389</v>
      </c>
      <c r="E667" s="1">
        <v>398129.46362254163</v>
      </c>
      <c r="F667" s="1">
        <v>398129.46362254163</v>
      </c>
      <c r="G667" s="1">
        <v>497661.82952817698</v>
      </c>
      <c r="H667" s="1">
        <v>497661.82952817698</v>
      </c>
      <c r="I667" s="1">
        <v>497661.82952817698</v>
      </c>
      <c r="J667" s="1">
        <v>497661.82952817698</v>
      </c>
      <c r="K667" s="1">
        <v>497661.82952817698</v>
      </c>
      <c r="L667" s="1">
        <v>497661.82952817698</v>
      </c>
      <c r="M667" s="1">
        <v>303121.29616716231</v>
      </c>
      <c r="N667" s="1">
        <v>303121.29616716231</v>
      </c>
      <c r="O667" s="1">
        <v>252601.08013930195</v>
      </c>
      <c r="P667" s="1">
        <v>252601.08013930195</v>
      </c>
      <c r="Q667" s="1">
        <v>353641.51219502272</v>
      </c>
      <c r="R667" s="1">
        <v>353641.51219502272</v>
      </c>
      <c r="S667" s="1">
        <v>353641.51219502272</v>
      </c>
      <c r="T667" s="1">
        <v>353641.51219502272</v>
      </c>
      <c r="U667" s="1">
        <v>353641.51219502272</v>
      </c>
      <c r="V667" s="1">
        <v>353641.51219502272</v>
      </c>
      <c r="W667" s="4">
        <f t="shared" si="22"/>
        <v>3507761.8650986054</v>
      </c>
      <c r="X667" s="4">
        <f t="shared" si="22"/>
        <v>3507761.8650986054</v>
      </c>
      <c r="Y667" s="5">
        <f t="shared" si="21"/>
        <v>0.58150000000000013</v>
      </c>
    </row>
    <row r="668" spans="1:25" x14ac:dyDescent="0.25">
      <c r="A668" s="1" t="s">
        <v>109</v>
      </c>
      <c r="B668" s="1" t="s">
        <v>48</v>
      </c>
      <c r="C668" s="1" t="s">
        <v>49</v>
      </c>
      <c r="D668" s="1">
        <v>4398674.9260647492</v>
      </c>
      <c r="E668" s="1">
        <v>290312.54512027348</v>
      </c>
      <c r="F668" s="1">
        <v>290312.54512027348</v>
      </c>
      <c r="G668" s="1">
        <v>362890.68140034185</v>
      </c>
      <c r="H668" s="1">
        <v>362890.68140034185</v>
      </c>
      <c r="I668" s="1">
        <v>362890.68140034185</v>
      </c>
      <c r="J668" s="1">
        <v>362890.68140034185</v>
      </c>
      <c r="K668" s="1">
        <v>362890.68140034185</v>
      </c>
      <c r="L668" s="1">
        <v>362890.68140034185</v>
      </c>
      <c r="M668" s="1">
        <v>221033.41503475362</v>
      </c>
      <c r="N668" s="1">
        <v>221033.41503475362</v>
      </c>
      <c r="O668" s="1">
        <v>184194.51252896135</v>
      </c>
      <c r="P668" s="1">
        <v>184194.51252896135</v>
      </c>
      <c r="Q668" s="1">
        <v>257872.31754054586</v>
      </c>
      <c r="R668" s="1">
        <v>257872.31754054586</v>
      </c>
      <c r="S668" s="1">
        <v>257872.31754054586</v>
      </c>
      <c r="T668" s="1">
        <v>257872.31754054586</v>
      </c>
      <c r="U668" s="1">
        <v>257872.31754054586</v>
      </c>
      <c r="V668" s="1">
        <v>257872.31754054586</v>
      </c>
      <c r="W668" s="4">
        <f t="shared" si="22"/>
        <v>2557829.4695066521</v>
      </c>
      <c r="X668" s="4">
        <f t="shared" si="22"/>
        <v>2557829.4695066521</v>
      </c>
      <c r="Y668" s="5">
        <f t="shared" si="21"/>
        <v>0.58150000000000013</v>
      </c>
    </row>
    <row r="669" spans="1:25" x14ac:dyDescent="0.25">
      <c r="A669" s="1" t="s">
        <v>109</v>
      </c>
      <c r="B669" s="1" t="s">
        <v>53</v>
      </c>
      <c r="C669" s="1" t="s">
        <v>30</v>
      </c>
      <c r="D669" s="1">
        <v>3286014.9262045384</v>
      </c>
      <c r="E669" s="1">
        <v>216876.98512949955</v>
      </c>
      <c r="F669" s="1">
        <v>216876.98512949955</v>
      </c>
      <c r="G669" s="1">
        <v>271096.23141187441</v>
      </c>
      <c r="H669" s="1">
        <v>271096.23141187441</v>
      </c>
      <c r="I669" s="1">
        <v>271096.23141187441</v>
      </c>
      <c r="J669" s="1">
        <v>271096.23141187441</v>
      </c>
      <c r="K669" s="1">
        <v>271096.23141187441</v>
      </c>
      <c r="L669" s="1">
        <v>271096.23141187441</v>
      </c>
      <c r="M669" s="1">
        <v>165122.25004177805</v>
      </c>
      <c r="N669" s="1">
        <v>165122.25004177805</v>
      </c>
      <c r="O669" s="1">
        <v>137601.87503481505</v>
      </c>
      <c r="P669" s="1">
        <v>137601.87503481505</v>
      </c>
      <c r="Q669" s="1">
        <v>192642.62504874106</v>
      </c>
      <c r="R669" s="1">
        <v>192642.62504874106</v>
      </c>
      <c r="S669" s="1">
        <v>192642.62504874106</v>
      </c>
      <c r="T669" s="1">
        <v>192642.62504874106</v>
      </c>
      <c r="U669" s="1">
        <v>192642.62504874106</v>
      </c>
      <c r="V669" s="1">
        <v>192642.62504874106</v>
      </c>
      <c r="W669" s="4">
        <f t="shared" si="22"/>
        <v>1910817.6795879391</v>
      </c>
      <c r="X669" s="4">
        <f t="shared" si="22"/>
        <v>1910817.6795879391</v>
      </c>
      <c r="Y669" s="5">
        <f t="shared" si="21"/>
        <v>0.58150000000000002</v>
      </c>
    </row>
    <row r="670" spans="1:25" x14ac:dyDescent="0.25">
      <c r="A670" s="1" t="s">
        <v>109</v>
      </c>
      <c r="B670" s="1" t="s">
        <v>74</v>
      </c>
      <c r="C670" s="1" t="s">
        <v>75</v>
      </c>
      <c r="D670" s="1">
        <v>7977315.6356384186</v>
      </c>
      <c r="E670" s="1">
        <v>526502.83195213566</v>
      </c>
      <c r="F670" s="1">
        <v>526502.83195213566</v>
      </c>
      <c r="G670" s="1">
        <v>658128.53994016955</v>
      </c>
      <c r="H670" s="1">
        <v>658128.53994016955</v>
      </c>
      <c r="I670" s="1">
        <v>658128.53994016955</v>
      </c>
      <c r="J670" s="1">
        <v>658128.53994016955</v>
      </c>
      <c r="K670" s="1">
        <v>658128.53994016955</v>
      </c>
      <c r="L670" s="1">
        <v>658128.53994016955</v>
      </c>
      <c r="M670" s="1">
        <v>400860.11069083051</v>
      </c>
      <c r="N670" s="1">
        <v>400860.11069083051</v>
      </c>
      <c r="O670" s="1">
        <v>334050.09224235878</v>
      </c>
      <c r="P670" s="1">
        <v>334050.09224235878</v>
      </c>
      <c r="Q670" s="1">
        <v>467670.12913930224</v>
      </c>
      <c r="R670" s="1">
        <v>467670.12913930224</v>
      </c>
      <c r="S670" s="1">
        <v>467670.12913930224</v>
      </c>
      <c r="T670" s="1">
        <v>467670.12913930224</v>
      </c>
      <c r="U670" s="1">
        <v>467670.12913930224</v>
      </c>
      <c r="V670" s="1">
        <v>467670.12913930224</v>
      </c>
      <c r="W670" s="4">
        <f t="shared" si="22"/>
        <v>4638809.0421237405</v>
      </c>
      <c r="X670" s="4">
        <f t="shared" si="22"/>
        <v>4638809.0421237405</v>
      </c>
      <c r="Y670" s="5">
        <f t="shared" si="21"/>
        <v>0.58150000000000002</v>
      </c>
    </row>
    <row r="671" spans="1:25" x14ac:dyDescent="0.25">
      <c r="A671" s="1" t="s">
        <v>109</v>
      </c>
      <c r="B671" s="1" t="s">
        <v>50</v>
      </c>
      <c r="C671" s="1" t="s">
        <v>25</v>
      </c>
      <c r="D671" s="1">
        <v>4618608.6723679854</v>
      </c>
      <c r="E671" s="1">
        <v>304828.17237628705</v>
      </c>
      <c r="F671" s="1">
        <v>304828.17237628705</v>
      </c>
      <c r="G671" s="1">
        <v>381035.21547035879</v>
      </c>
      <c r="H671" s="1">
        <v>381035.21547035879</v>
      </c>
      <c r="I671" s="1">
        <v>381035.21547035879</v>
      </c>
      <c r="J671" s="1">
        <v>381035.21547035879</v>
      </c>
      <c r="K671" s="1">
        <v>381035.21547035879</v>
      </c>
      <c r="L671" s="1">
        <v>381035.21547035879</v>
      </c>
      <c r="M671" s="1">
        <v>232085.08578649128</v>
      </c>
      <c r="N671" s="1">
        <v>232085.08578649128</v>
      </c>
      <c r="O671" s="1">
        <v>193404.2381554094</v>
      </c>
      <c r="P671" s="1">
        <v>193404.2381554094</v>
      </c>
      <c r="Q671" s="1">
        <v>270765.93341757316</v>
      </c>
      <c r="R671" s="1">
        <v>270765.93341757316</v>
      </c>
      <c r="S671" s="1">
        <v>270765.93341757316</v>
      </c>
      <c r="T671" s="1">
        <v>270765.93341757316</v>
      </c>
      <c r="U671" s="1">
        <v>270765.93341757316</v>
      </c>
      <c r="V671" s="1">
        <v>270765.93341757316</v>
      </c>
      <c r="W671" s="4">
        <f t="shared" si="22"/>
        <v>2685720.9429819835</v>
      </c>
      <c r="X671" s="4">
        <f t="shared" si="22"/>
        <v>2685720.9429819835</v>
      </c>
      <c r="Y671" s="5">
        <f t="shared" si="21"/>
        <v>0.58150000000000002</v>
      </c>
    </row>
    <row r="672" spans="1:25" x14ac:dyDescent="0.25">
      <c r="A672" s="1" t="s">
        <v>110</v>
      </c>
      <c r="B672" s="1" t="s">
        <v>59</v>
      </c>
      <c r="C672" s="1" t="s">
        <v>26</v>
      </c>
      <c r="D672" s="1">
        <v>37011249.700000003</v>
      </c>
      <c r="E672" s="1">
        <v>3463610.0460572988</v>
      </c>
      <c r="F672" s="1">
        <v>3463610.0460572988</v>
      </c>
      <c r="G672" s="1">
        <v>4329512.5575716235</v>
      </c>
      <c r="H672" s="1">
        <v>4329512.5575716235</v>
      </c>
      <c r="I672" s="1">
        <v>4329512.5575716235</v>
      </c>
      <c r="J672" s="1">
        <v>4329512.5575716235</v>
      </c>
      <c r="K672" s="1">
        <v>4329512.5575716235</v>
      </c>
      <c r="L672" s="1">
        <v>4329512.5575716235</v>
      </c>
      <c r="M672" s="1">
        <v>2461649.9337141886</v>
      </c>
      <c r="N672" s="1">
        <v>2461649.9337141886</v>
      </c>
      <c r="O672" s="1">
        <v>2461649.9337141886</v>
      </c>
      <c r="P672" s="1">
        <v>2461649.9337141886</v>
      </c>
      <c r="Q672" s="1">
        <v>2461649.9337141886</v>
      </c>
      <c r="R672" s="1">
        <v>2461649.9337141886</v>
      </c>
      <c r="S672" s="1">
        <v>2461649.9337141886</v>
      </c>
      <c r="T672" s="1">
        <v>2461649.9337141886</v>
      </c>
      <c r="U672" s="1">
        <v>2461649.9337141886</v>
      </c>
      <c r="V672" s="1">
        <v>2461649.9337141886</v>
      </c>
      <c r="W672" s="4">
        <f t="shared" si="22"/>
        <v>28760397.387343112</v>
      </c>
      <c r="X672" s="4">
        <f t="shared" si="22"/>
        <v>28760397.387343112</v>
      </c>
      <c r="Y672" s="5">
        <f t="shared" si="21"/>
        <v>0.77707177197378208</v>
      </c>
    </row>
    <row r="673" spans="1:25" x14ac:dyDescent="0.25">
      <c r="A673" s="1" t="s">
        <v>110</v>
      </c>
      <c r="B673" s="1" t="s">
        <v>59</v>
      </c>
      <c r="C673" s="1" t="s">
        <v>26</v>
      </c>
      <c r="D673" s="1">
        <v>15467690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7733845</v>
      </c>
      <c r="N673" s="1">
        <v>7733845</v>
      </c>
      <c r="O673" s="1">
        <v>7733845</v>
      </c>
      <c r="P673" s="1">
        <v>7733845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4">
        <f t="shared" si="22"/>
        <v>15467690</v>
      </c>
      <c r="X673" s="4">
        <f t="shared" si="22"/>
        <v>15467690</v>
      </c>
      <c r="Y673" s="5">
        <f t="shared" si="21"/>
        <v>1</v>
      </c>
    </row>
    <row r="674" spans="1:25" x14ac:dyDescent="0.25">
      <c r="A674" s="1" t="s">
        <v>110</v>
      </c>
      <c r="B674" s="1" t="s">
        <v>33</v>
      </c>
      <c r="C674" s="1" t="s">
        <v>34</v>
      </c>
      <c r="D674" s="1">
        <v>48000000</v>
      </c>
      <c r="E674" s="1">
        <v>0</v>
      </c>
      <c r="F674" s="1">
        <v>0</v>
      </c>
      <c r="G674" s="1">
        <v>9600000</v>
      </c>
      <c r="H674" s="1">
        <v>9600000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14400000</v>
      </c>
      <c r="P674" s="1">
        <v>14400000</v>
      </c>
      <c r="Q674" s="1">
        <v>0</v>
      </c>
      <c r="R674" s="1">
        <v>0</v>
      </c>
      <c r="S674" s="1">
        <v>14400000</v>
      </c>
      <c r="T674" s="1">
        <v>14400000</v>
      </c>
      <c r="U674" s="1">
        <v>9600000</v>
      </c>
      <c r="V674" s="1">
        <v>9600000</v>
      </c>
      <c r="W674" s="4">
        <f t="shared" si="22"/>
        <v>48000000</v>
      </c>
      <c r="X674" s="4">
        <f t="shared" si="22"/>
        <v>48000000</v>
      </c>
      <c r="Y674" s="5">
        <f t="shared" si="21"/>
        <v>1</v>
      </c>
    </row>
    <row r="675" spans="1:25" x14ac:dyDescent="0.25">
      <c r="A675" s="1" t="s">
        <v>110</v>
      </c>
      <c r="B675" s="1" t="s">
        <v>35</v>
      </c>
      <c r="C675" s="1" t="s">
        <v>34</v>
      </c>
      <c r="D675" s="1">
        <v>120000000</v>
      </c>
      <c r="E675" s="1">
        <v>0</v>
      </c>
      <c r="F675" s="1">
        <v>0</v>
      </c>
      <c r="G675" s="1">
        <v>33000000</v>
      </c>
      <c r="H675" s="1">
        <v>33000000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29000000</v>
      </c>
      <c r="P675" s="1">
        <v>29000000</v>
      </c>
      <c r="Q675" s="1">
        <v>0</v>
      </c>
      <c r="R675" s="1">
        <v>0</v>
      </c>
      <c r="S675" s="1">
        <v>29000000</v>
      </c>
      <c r="T675" s="1">
        <v>29000000</v>
      </c>
      <c r="U675" s="1">
        <v>29000000</v>
      </c>
      <c r="V675" s="1">
        <v>29000000</v>
      </c>
      <c r="W675" s="4">
        <f t="shared" si="22"/>
        <v>120000000</v>
      </c>
      <c r="X675" s="4">
        <f t="shared" si="22"/>
        <v>120000000</v>
      </c>
      <c r="Y675" s="5">
        <f t="shared" si="21"/>
        <v>1</v>
      </c>
    </row>
    <row r="676" spans="1:25" x14ac:dyDescent="0.25">
      <c r="A676" s="1" t="s">
        <v>110</v>
      </c>
      <c r="B676" s="1" t="s">
        <v>38</v>
      </c>
      <c r="C676" s="1" t="s">
        <v>39</v>
      </c>
      <c r="D676" s="1">
        <v>7491838.8451576922</v>
      </c>
      <c r="E676" s="1">
        <v>494461.3637804077</v>
      </c>
      <c r="F676" s="1">
        <v>494461.3637804077</v>
      </c>
      <c r="G676" s="1">
        <v>618076.70472550963</v>
      </c>
      <c r="H676" s="1">
        <v>618076.70472550963</v>
      </c>
      <c r="I676" s="1">
        <v>618076.70472550963</v>
      </c>
      <c r="J676" s="1">
        <v>618076.70472550963</v>
      </c>
      <c r="K676" s="1">
        <v>618076.70472550963</v>
      </c>
      <c r="L676" s="1">
        <v>618076.70472550963</v>
      </c>
      <c r="M676" s="1">
        <v>376464.90196917404</v>
      </c>
      <c r="N676" s="1">
        <v>376464.90196917404</v>
      </c>
      <c r="O676" s="1">
        <v>313720.75164097839</v>
      </c>
      <c r="P676" s="1">
        <v>313720.75164097839</v>
      </c>
      <c r="Q676" s="1">
        <v>439209.05229736969</v>
      </c>
      <c r="R676" s="1">
        <v>439209.05229736969</v>
      </c>
      <c r="S676" s="1">
        <v>439209.05229736969</v>
      </c>
      <c r="T676" s="1">
        <v>439209.05229736969</v>
      </c>
      <c r="U676" s="1">
        <v>439209.05229736969</v>
      </c>
      <c r="V676" s="1">
        <v>439209.05229736969</v>
      </c>
      <c r="W676" s="4">
        <f t="shared" si="22"/>
        <v>4356504.2884591976</v>
      </c>
      <c r="X676" s="4">
        <f t="shared" si="22"/>
        <v>4356504.2884591976</v>
      </c>
      <c r="Y676" s="5">
        <f t="shared" si="21"/>
        <v>0.58149999999999991</v>
      </c>
    </row>
    <row r="677" spans="1:25" x14ac:dyDescent="0.25">
      <c r="A677" s="1" t="s">
        <v>110</v>
      </c>
      <c r="B677" s="1" t="s">
        <v>61</v>
      </c>
      <c r="C677" s="1" t="s">
        <v>34</v>
      </c>
      <c r="D677" s="1">
        <v>73616622.485993803</v>
      </c>
      <c r="E677" s="1">
        <v>0</v>
      </c>
      <c r="F677" s="1">
        <v>0</v>
      </c>
      <c r="G677" s="1">
        <v>5889329.7982086968</v>
      </c>
      <c r="H677" s="1">
        <v>5889329.7982086968</v>
      </c>
      <c r="I677" s="1">
        <v>0</v>
      </c>
      <c r="J677" s="1">
        <v>0</v>
      </c>
      <c r="K677" s="1">
        <v>0</v>
      </c>
      <c r="L677" s="1">
        <v>0</v>
      </c>
      <c r="M677" s="1">
        <v>16931823.171946276</v>
      </c>
      <c r="N677" s="1">
        <v>16931823.171946276</v>
      </c>
      <c r="O677" s="1">
        <v>0</v>
      </c>
      <c r="P677" s="1">
        <v>0</v>
      </c>
      <c r="Q677" s="1">
        <v>0</v>
      </c>
      <c r="R677" s="1">
        <v>0</v>
      </c>
      <c r="S677" s="1">
        <v>25397734.757919416</v>
      </c>
      <c r="T677" s="1">
        <v>25397734.757919416</v>
      </c>
      <c r="U677" s="1">
        <v>0</v>
      </c>
      <c r="V677" s="1">
        <v>0</v>
      </c>
      <c r="W677" s="4">
        <f t="shared" si="22"/>
        <v>48218887.728074387</v>
      </c>
      <c r="X677" s="4">
        <f t="shared" si="22"/>
        <v>48218887.728074387</v>
      </c>
      <c r="Y677" s="5">
        <f t="shared" si="21"/>
        <v>0.65499999999658287</v>
      </c>
    </row>
    <row r="678" spans="1:25" x14ac:dyDescent="0.25">
      <c r="A678" s="1" t="s">
        <v>110</v>
      </c>
      <c r="B678" s="1" t="s">
        <v>62</v>
      </c>
      <c r="C678" s="1" t="s">
        <v>63</v>
      </c>
      <c r="D678" s="1">
        <v>29642857</v>
      </c>
      <c r="E678" s="1">
        <v>14079999.999120001</v>
      </c>
      <c r="F678" s="1">
        <v>14079999.999120001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903214.28579678561</v>
      </c>
      <c r="N678" s="1">
        <v>903214.28579678561</v>
      </c>
      <c r="O678" s="1">
        <v>752678.57149732136</v>
      </c>
      <c r="P678" s="1">
        <v>752678.57149732136</v>
      </c>
      <c r="Q678" s="1">
        <v>1053750.0000962499</v>
      </c>
      <c r="R678" s="1">
        <v>1053750.0000962499</v>
      </c>
      <c r="S678" s="1">
        <v>1053750.0000962499</v>
      </c>
      <c r="T678" s="1">
        <v>1053750.0000962499</v>
      </c>
      <c r="U678" s="1">
        <v>1053750.0000962499</v>
      </c>
      <c r="V678" s="1">
        <v>1053750.0000962499</v>
      </c>
      <c r="W678" s="4">
        <f t="shared" si="22"/>
        <v>18897142.856702857</v>
      </c>
      <c r="X678" s="4">
        <f t="shared" si="22"/>
        <v>18897142.856702857</v>
      </c>
      <c r="Y678" s="5">
        <f t="shared" si="21"/>
        <v>0.63749397896103122</v>
      </c>
    </row>
    <row r="679" spans="1:25" x14ac:dyDescent="0.25">
      <c r="A679" s="1" t="s">
        <v>110</v>
      </c>
      <c r="B679" s="1" t="s">
        <v>40</v>
      </c>
      <c r="C679" s="1" t="s">
        <v>27</v>
      </c>
      <c r="D679" s="1">
        <v>64979442</v>
      </c>
      <c r="E679" s="1">
        <v>4970916</v>
      </c>
      <c r="F679" s="1">
        <v>4970916</v>
      </c>
      <c r="G679" s="1">
        <v>7685740</v>
      </c>
      <c r="H679" s="1">
        <v>7685740</v>
      </c>
      <c r="I679" s="1">
        <v>13577841</v>
      </c>
      <c r="J679" s="1">
        <v>13577841</v>
      </c>
      <c r="K679" s="1">
        <v>5984689</v>
      </c>
      <c r="L679" s="1">
        <v>5984689</v>
      </c>
      <c r="M679" s="1">
        <v>0</v>
      </c>
      <c r="N679" s="1">
        <v>0</v>
      </c>
      <c r="O679" s="1">
        <v>8485162</v>
      </c>
      <c r="P679" s="1">
        <v>8485162</v>
      </c>
      <c r="Q679" s="1">
        <v>9180574</v>
      </c>
      <c r="R679" s="1">
        <v>9180574</v>
      </c>
      <c r="S679" s="1">
        <v>3320904</v>
      </c>
      <c r="T679" s="1">
        <v>3320904</v>
      </c>
      <c r="U679" s="1">
        <v>3820904</v>
      </c>
      <c r="V679" s="1">
        <v>3820904</v>
      </c>
      <c r="W679" s="4">
        <f t="shared" si="22"/>
        <v>57026730</v>
      </c>
      <c r="X679" s="4">
        <f t="shared" si="22"/>
        <v>57026730</v>
      </c>
      <c r="Y679" s="5">
        <f t="shared" si="21"/>
        <v>0.87761187607612878</v>
      </c>
    </row>
    <row r="680" spans="1:25" x14ac:dyDescent="0.25">
      <c r="A680" s="1" t="s">
        <v>110</v>
      </c>
      <c r="B680" s="1" t="s">
        <v>40</v>
      </c>
      <c r="C680" s="1" t="s">
        <v>27</v>
      </c>
      <c r="D680" s="1">
        <v>24149874</v>
      </c>
      <c r="E680" s="1">
        <v>0</v>
      </c>
      <c r="F680" s="1">
        <v>0</v>
      </c>
      <c r="G680" s="1">
        <v>24149874</v>
      </c>
      <c r="H680" s="1">
        <v>24149874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4">
        <f t="shared" si="22"/>
        <v>24149874</v>
      </c>
      <c r="X680" s="4">
        <f t="shared" si="22"/>
        <v>24149874</v>
      </c>
      <c r="Y680" s="5">
        <f t="shared" si="21"/>
        <v>1</v>
      </c>
    </row>
    <row r="681" spans="1:25" x14ac:dyDescent="0.25">
      <c r="A681" s="1" t="s">
        <v>110</v>
      </c>
      <c r="B681" s="1" t="s">
        <v>40</v>
      </c>
      <c r="C681" s="1" t="s">
        <v>27</v>
      </c>
      <c r="D681" s="1">
        <v>179600853</v>
      </c>
      <c r="E681" s="1">
        <v>0</v>
      </c>
      <c r="F681" s="1">
        <v>0</v>
      </c>
      <c r="G681" s="1">
        <v>32311895.32319203</v>
      </c>
      <c r="H681" s="1">
        <v>32311895.32319203</v>
      </c>
      <c r="I681" s="1">
        <v>0</v>
      </c>
      <c r="J681" s="1">
        <v>0</v>
      </c>
      <c r="K681" s="1">
        <v>0</v>
      </c>
      <c r="L681" s="1">
        <v>0</v>
      </c>
      <c r="M681" s="1">
        <v>55233359.128802985</v>
      </c>
      <c r="N681" s="1">
        <v>55233359.128802985</v>
      </c>
      <c r="O681" s="1">
        <v>36822239.419201992</v>
      </c>
      <c r="P681" s="1">
        <v>36822239.419201992</v>
      </c>
      <c r="Q681" s="1">
        <v>55233359.128802985</v>
      </c>
      <c r="R681" s="1">
        <v>55233359.128802985</v>
      </c>
      <c r="S681" s="1">
        <v>0</v>
      </c>
      <c r="T681" s="1">
        <v>0</v>
      </c>
      <c r="U681" s="1">
        <v>0</v>
      </c>
      <c r="V681" s="1">
        <v>0</v>
      </c>
      <c r="W681" s="4">
        <f t="shared" si="22"/>
        <v>179600853</v>
      </c>
      <c r="X681" s="4">
        <f t="shared" si="22"/>
        <v>179600853</v>
      </c>
      <c r="Y681" s="5">
        <f t="shared" si="21"/>
        <v>1</v>
      </c>
    </row>
    <row r="682" spans="1:25" x14ac:dyDescent="0.25">
      <c r="A682" s="1" t="s">
        <v>110</v>
      </c>
      <c r="B682" s="1" t="s">
        <v>43</v>
      </c>
      <c r="C682" s="1" t="s">
        <v>31</v>
      </c>
      <c r="D682" s="1">
        <v>9120481</v>
      </c>
      <c r="E682" s="1">
        <v>529794.18953641877</v>
      </c>
      <c r="F682" s="1">
        <v>529794.18953641877</v>
      </c>
      <c r="G682" s="1">
        <v>662242.73692052346</v>
      </c>
      <c r="H682" s="1">
        <v>662242.73692052346</v>
      </c>
      <c r="I682" s="1">
        <v>662242.73692052346</v>
      </c>
      <c r="J682" s="1">
        <v>662242.73692052346</v>
      </c>
      <c r="K682" s="1">
        <v>662242.73692052346</v>
      </c>
      <c r="L682" s="1">
        <v>662242.73692052346</v>
      </c>
      <c r="M682" s="1">
        <v>492426.86108631955</v>
      </c>
      <c r="N682" s="1">
        <v>492426.86108631955</v>
      </c>
      <c r="O682" s="1">
        <v>410355.717571933</v>
      </c>
      <c r="P682" s="1">
        <v>410355.717571933</v>
      </c>
      <c r="Q682" s="1">
        <v>508571.00441759027</v>
      </c>
      <c r="R682" s="1">
        <v>508571.00441759027</v>
      </c>
      <c r="S682" s="1">
        <v>574498.00460070616</v>
      </c>
      <c r="T682" s="1">
        <v>574498.00460070616</v>
      </c>
      <c r="U682" s="1">
        <v>574498.00460070616</v>
      </c>
      <c r="V682" s="1">
        <v>574498.00460070616</v>
      </c>
      <c r="W682" s="4">
        <f t="shared" si="22"/>
        <v>5076871.992575245</v>
      </c>
      <c r="X682" s="4">
        <f t="shared" si="22"/>
        <v>5076871.992575245</v>
      </c>
      <c r="Y682" s="5">
        <f t="shared" si="21"/>
        <v>0.5566452024378149</v>
      </c>
    </row>
    <row r="683" spans="1:25" x14ac:dyDescent="0.25">
      <c r="A683" s="1" t="s">
        <v>110</v>
      </c>
      <c r="B683" s="1" t="s">
        <v>64</v>
      </c>
      <c r="C683" s="1" t="s">
        <v>23</v>
      </c>
      <c r="D683" s="1">
        <v>3904511.5508832326</v>
      </c>
      <c r="E683" s="1">
        <v>257697.76235829337</v>
      </c>
      <c r="F683" s="1">
        <v>257697.76235829337</v>
      </c>
      <c r="G683" s="1">
        <v>322122.2029478667</v>
      </c>
      <c r="H683" s="1">
        <v>322122.2029478667</v>
      </c>
      <c r="I683" s="1">
        <v>322122.2029478667</v>
      </c>
      <c r="J683" s="1">
        <v>322122.2029478667</v>
      </c>
      <c r="K683" s="1">
        <v>322122.2029478667</v>
      </c>
      <c r="L683" s="1">
        <v>322122.2029478667</v>
      </c>
      <c r="M683" s="1">
        <v>196201.70543188244</v>
      </c>
      <c r="N683" s="1">
        <v>196201.70543188244</v>
      </c>
      <c r="O683" s="1">
        <v>163501.42119323538</v>
      </c>
      <c r="P683" s="1">
        <v>163501.42119323538</v>
      </c>
      <c r="Q683" s="1">
        <v>228901.98967052953</v>
      </c>
      <c r="R683" s="1">
        <v>228901.98967052953</v>
      </c>
      <c r="S683" s="1">
        <v>228901.98967052953</v>
      </c>
      <c r="T683" s="1">
        <v>228901.98967052953</v>
      </c>
      <c r="U683" s="1">
        <v>228901.98967052953</v>
      </c>
      <c r="V683" s="1">
        <v>228901.98967052953</v>
      </c>
      <c r="W683" s="4">
        <f t="shared" si="22"/>
        <v>2270473.4668385996</v>
      </c>
      <c r="X683" s="4">
        <f t="shared" si="22"/>
        <v>2270473.4668385996</v>
      </c>
      <c r="Y683" s="5">
        <f t="shared" si="21"/>
        <v>0.58150000000000002</v>
      </c>
    </row>
    <row r="684" spans="1:25" x14ac:dyDescent="0.25">
      <c r="A684" s="1" t="s">
        <v>110</v>
      </c>
      <c r="B684" s="1" t="s">
        <v>65</v>
      </c>
      <c r="C684" s="1" t="s">
        <v>31</v>
      </c>
      <c r="D684" s="1">
        <v>7579400.4163915413</v>
      </c>
      <c r="E684" s="1">
        <v>500240.42748184176</v>
      </c>
      <c r="F684" s="1">
        <v>500240.42748184176</v>
      </c>
      <c r="G684" s="1">
        <v>625300.5343523022</v>
      </c>
      <c r="H684" s="1">
        <v>625300.5343523022</v>
      </c>
      <c r="I684" s="1">
        <v>625300.5343523022</v>
      </c>
      <c r="J684" s="1">
        <v>625300.5343523022</v>
      </c>
      <c r="K684" s="1">
        <v>625300.5343523022</v>
      </c>
      <c r="L684" s="1">
        <v>625300.5343523022</v>
      </c>
      <c r="M684" s="1">
        <v>380864.8709236749</v>
      </c>
      <c r="N684" s="1">
        <v>380864.8709236749</v>
      </c>
      <c r="O684" s="1">
        <v>317387.39243639575</v>
      </c>
      <c r="P684" s="1">
        <v>317387.39243639575</v>
      </c>
      <c r="Q684" s="1">
        <v>444342.34941095405</v>
      </c>
      <c r="R684" s="1">
        <v>444342.34941095405</v>
      </c>
      <c r="S684" s="1">
        <v>444342.34941095405</v>
      </c>
      <c r="T684" s="1">
        <v>444342.34941095405</v>
      </c>
      <c r="U684" s="1">
        <v>444342.34941095405</v>
      </c>
      <c r="V684" s="1">
        <v>444342.34941095405</v>
      </c>
      <c r="W684" s="4">
        <f t="shared" si="22"/>
        <v>4407421.3421316817</v>
      </c>
      <c r="X684" s="4">
        <f t="shared" si="22"/>
        <v>4407421.3421316817</v>
      </c>
      <c r="Y684" s="5">
        <f t="shared" si="21"/>
        <v>0.58150000000000002</v>
      </c>
    </row>
    <row r="685" spans="1:25" x14ac:dyDescent="0.25">
      <c r="A685" s="1" t="s">
        <v>110</v>
      </c>
      <c r="B685" s="1" t="s">
        <v>44</v>
      </c>
      <c r="C685" s="1" t="s">
        <v>45</v>
      </c>
      <c r="D685" s="1">
        <v>7491838.8451576922</v>
      </c>
      <c r="E685" s="1">
        <v>494461.3637804077</v>
      </c>
      <c r="F685" s="1">
        <v>494461.3637804077</v>
      </c>
      <c r="G685" s="1">
        <v>618076.70472550963</v>
      </c>
      <c r="H685" s="1">
        <v>618076.70472550963</v>
      </c>
      <c r="I685" s="1">
        <v>618076.70472550963</v>
      </c>
      <c r="J685" s="1">
        <v>618076.70472550963</v>
      </c>
      <c r="K685" s="1">
        <v>618076.70472550963</v>
      </c>
      <c r="L685" s="1">
        <v>618076.70472550963</v>
      </c>
      <c r="M685" s="1">
        <v>376464.90196917404</v>
      </c>
      <c r="N685" s="1">
        <v>376464.90196917404</v>
      </c>
      <c r="O685" s="1">
        <v>313720.75164097839</v>
      </c>
      <c r="P685" s="1">
        <v>313720.75164097839</v>
      </c>
      <c r="Q685" s="1">
        <v>439209.05229736969</v>
      </c>
      <c r="R685" s="1">
        <v>439209.05229736969</v>
      </c>
      <c r="S685" s="1">
        <v>439209.05229736969</v>
      </c>
      <c r="T685" s="1">
        <v>439209.05229736969</v>
      </c>
      <c r="U685" s="1">
        <v>439209.05229736969</v>
      </c>
      <c r="V685" s="1">
        <v>439209.05229736969</v>
      </c>
      <c r="W685" s="4">
        <f t="shared" si="22"/>
        <v>4356504.2884591976</v>
      </c>
      <c r="X685" s="4">
        <f t="shared" si="22"/>
        <v>4356504.2884591976</v>
      </c>
      <c r="Y685" s="5">
        <f t="shared" si="21"/>
        <v>0.58149999999999991</v>
      </c>
    </row>
    <row r="686" spans="1:25" x14ac:dyDescent="0.25">
      <c r="A686" s="1" t="s">
        <v>110</v>
      </c>
      <c r="B686" s="1" t="s">
        <v>46</v>
      </c>
      <c r="C686" s="1" t="s">
        <v>22</v>
      </c>
      <c r="D686" s="1">
        <v>46349476.3068076</v>
      </c>
      <c r="E686" s="1">
        <v>3061930.9466164331</v>
      </c>
      <c r="F686" s="1">
        <v>3061930.9466164331</v>
      </c>
      <c r="G686" s="1">
        <v>3827413.683270541</v>
      </c>
      <c r="H686" s="1">
        <v>3827413.683270541</v>
      </c>
      <c r="I686" s="1">
        <v>3827413.683270541</v>
      </c>
      <c r="J686" s="1">
        <v>3827413.683270541</v>
      </c>
      <c r="K686" s="1">
        <v>3827413.683270541</v>
      </c>
      <c r="L686" s="1">
        <v>3827413.683270541</v>
      </c>
      <c r="M686" s="1">
        <v>2401576.2468158538</v>
      </c>
      <c r="N686" s="1">
        <v>2401576.2468158538</v>
      </c>
      <c r="O686" s="1">
        <v>1952936.5747712997</v>
      </c>
      <c r="P686" s="1">
        <v>1952936.5747712997</v>
      </c>
      <c r="Q686" s="1">
        <v>2703719.4535552021</v>
      </c>
      <c r="R686" s="1">
        <v>2703719.4535552021</v>
      </c>
      <c r="S686" s="1">
        <v>2703719.4535552021</v>
      </c>
      <c r="T686" s="1">
        <v>2703719.4535552021</v>
      </c>
      <c r="U686" s="1">
        <v>2703719.4535552021</v>
      </c>
      <c r="V686" s="1">
        <v>2703719.4535552021</v>
      </c>
      <c r="W686" s="4">
        <f t="shared" si="22"/>
        <v>27009843.178680815</v>
      </c>
      <c r="X686" s="4">
        <f t="shared" si="22"/>
        <v>27009843.178680815</v>
      </c>
      <c r="Y686" s="5">
        <f t="shared" si="21"/>
        <v>0.58274322238056731</v>
      </c>
    </row>
    <row r="687" spans="1:25" x14ac:dyDescent="0.25">
      <c r="A687" s="1" t="s">
        <v>110</v>
      </c>
      <c r="B687" s="1" t="s">
        <v>66</v>
      </c>
      <c r="C687" s="1" t="s">
        <v>24</v>
      </c>
      <c r="D687" s="1">
        <v>193821417.92563578</v>
      </c>
      <c r="E687" s="1">
        <v>15990266.978864953</v>
      </c>
      <c r="F687" s="1">
        <v>15990266.978864953</v>
      </c>
      <c r="G687" s="1">
        <v>15990266.978864953</v>
      </c>
      <c r="H687" s="1">
        <v>15990266.978864953</v>
      </c>
      <c r="I687" s="1">
        <v>15990266.978864953</v>
      </c>
      <c r="J687" s="1">
        <v>15990266.978864953</v>
      </c>
      <c r="K687" s="1">
        <v>15990266.978864953</v>
      </c>
      <c r="L687" s="1">
        <v>15990266.978864953</v>
      </c>
      <c r="M687" s="1">
        <v>18735223.984540179</v>
      </c>
      <c r="N687" s="1">
        <v>18735223.984540179</v>
      </c>
      <c r="O687" s="1">
        <v>14962425.58</v>
      </c>
      <c r="P687" s="1">
        <v>14962425.58</v>
      </c>
      <c r="Q687" s="1">
        <v>18154507.579999998</v>
      </c>
      <c r="R687" s="1">
        <v>18154507.579999998</v>
      </c>
      <c r="S687" s="1">
        <v>14962425.58</v>
      </c>
      <c r="T687" s="1">
        <v>14962425.58</v>
      </c>
      <c r="U687" s="1">
        <v>14963425.58</v>
      </c>
      <c r="V687" s="1">
        <v>14963425.58</v>
      </c>
      <c r="W687" s="4">
        <f t="shared" si="22"/>
        <v>145739076.21999997</v>
      </c>
      <c r="X687" s="4">
        <f t="shared" si="22"/>
        <v>145739076.21999997</v>
      </c>
      <c r="Y687" s="5">
        <f t="shared" si="21"/>
        <v>0.75192451783587844</v>
      </c>
    </row>
    <row r="688" spans="1:25" x14ac:dyDescent="0.25">
      <c r="A688" s="1" t="s">
        <v>110</v>
      </c>
      <c r="B688" s="1" t="s">
        <v>67</v>
      </c>
      <c r="C688" s="1" t="s">
        <v>68</v>
      </c>
      <c r="D688" s="1">
        <v>5916750.6585043678</v>
      </c>
      <c r="E688" s="1">
        <v>390505.54346128833</v>
      </c>
      <c r="F688" s="1">
        <v>390505.54346128833</v>
      </c>
      <c r="G688" s="1">
        <v>488131.92932661035</v>
      </c>
      <c r="H688" s="1">
        <v>488131.92932661035</v>
      </c>
      <c r="I688" s="1">
        <v>488131.92932661035</v>
      </c>
      <c r="J688" s="1">
        <v>488131.92932661035</v>
      </c>
      <c r="K688" s="1">
        <v>488131.92932661035</v>
      </c>
      <c r="L688" s="1">
        <v>488131.92932661035</v>
      </c>
      <c r="M688" s="1">
        <v>307671.03424222715</v>
      </c>
      <c r="N688" s="1">
        <v>307671.03424222715</v>
      </c>
      <c r="O688" s="1">
        <v>246531.277437682</v>
      </c>
      <c r="P688" s="1">
        <v>246531.277437682</v>
      </c>
      <c r="Q688" s="1">
        <v>345143.78841275477</v>
      </c>
      <c r="R688" s="1">
        <v>345143.78841275477</v>
      </c>
      <c r="S688" s="1">
        <v>345143.78841275477</v>
      </c>
      <c r="T688" s="1">
        <v>345143.78841275477</v>
      </c>
      <c r="U688" s="1">
        <v>345143.78841275477</v>
      </c>
      <c r="V688" s="1">
        <v>345143.78841275477</v>
      </c>
      <c r="W688" s="4">
        <f t="shared" si="22"/>
        <v>3444535.0083592925</v>
      </c>
      <c r="X688" s="4">
        <f t="shared" si="22"/>
        <v>3444535.0083592925</v>
      </c>
      <c r="Y688" s="5">
        <f t="shared" si="21"/>
        <v>0.58216666666666661</v>
      </c>
    </row>
    <row r="689" spans="1:25" x14ac:dyDescent="0.25">
      <c r="A689" s="1" t="s">
        <v>110</v>
      </c>
      <c r="B689" s="1" t="s">
        <v>69</v>
      </c>
      <c r="C689" s="1" t="s">
        <v>28</v>
      </c>
      <c r="D689" s="1">
        <v>7583036.5232253047</v>
      </c>
      <c r="E689" s="1">
        <v>500480.41053287016</v>
      </c>
      <c r="F689" s="1">
        <v>500480.41053287016</v>
      </c>
      <c r="G689" s="1">
        <v>625600.51316608768</v>
      </c>
      <c r="H689" s="1">
        <v>625600.51316608768</v>
      </c>
      <c r="I689" s="1">
        <v>625600.51316608768</v>
      </c>
      <c r="J689" s="1">
        <v>625600.51316608768</v>
      </c>
      <c r="K689" s="1">
        <v>625600.51316608768</v>
      </c>
      <c r="L689" s="1">
        <v>625600.51316608768</v>
      </c>
      <c r="M689" s="1">
        <v>381047.58529207151</v>
      </c>
      <c r="N689" s="1">
        <v>381047.58529207151</v>
      </c>
      <c r="O689" s="1">
        <v>317539.65441005962</v>
      </c>
      <c r="P689" s="1">
        <v>317539.65441005962</v>
      </c>
      <c r="Q689" s="1">
        <v>444555.51617408346</v>
      </c>
      <c r="R689" s="1">
        <v>444555.51617408346</v>
      </c>
      <c r="S689" s="1">
        <v>444555.51617408346</v>
      </c>
      <c r="T689" s="1">
        <v>444555.51617408346</v>
      </c>
      <c r="U689" s="1">
        <v>444555.51617408346</v>
      </c>
      <c r="V689" s="1">
        <v>444555.51617408346</v>
      </c>
      <c r="W689" s="4">
        <f t="shared" si="22"/>
        <v>4409535.7382555148</v>
      </c>
      <c r="X689" s="4">
        <f t="shared" si="22"/>
        <v>4409535.7382555148</v>
      </c>
      <c r="Y689" s="5">
        <f t="shared" si="21"/>
        <v>0.58150000000000002</v>
      </c>
    </row>
    <row r="690" spans="1:25" x14ac:dyDescent="0.25">
      <c r="A690" s="1" t="s">
        <v>110</v>
      </c>
      <c r="B690" s="1" t="s">
        <v>70</v>
      </c>
      <c r="C690" s="1" t="s">
        <v>23</v>
      </c>
      <c r="D690" s="1">
        <v>8268750.0182812503</v>
      </c>
      <c r="E690" s="1">
        <v>545737.50120656262</v>
      </c>
      <c r="F690" s="1">
        <v>545737.50120656262</v>
      </c>
      <c r="G690" s="1">
        <v>682171.87650820322</v>
      </c>
      <c r="H690" s="1">
        <v>682171.87650820322</v>
      </c>
      <c r="I690" s="1">
        <v>682171.87650820322</v>
      </c>
      <c r="J690" s="1">
        <v>682171.87650820322</v>
      </c>
      <c r="K690" s="1">
        <v>682171.87650820322</v>
      </c>
      <c r="L690" s="1">
        <v>682171.87650820322</v>
      </c>
      <c r="M690" s="1">
        <v>415504.68841863284</v>
      </c>
      <c r="N690" s="1">
        <v>415504.68841863284</v>
      </c>
      <c r="O690" s="1">
        <v>346253.90701552737</v>
      </c>
      <c r="P690" s="1">
        <v>346253.90701552737</v>
      </c>
      <c r="Q690" s="1">
        <v>484755.46982173825</v>
      </c>
      <c r="R690" s="1">
        <v>484755.46982173825</v>
      </c>
      <c r="S690" s="1">
        <v>484755.46982173825</v>
      </c>
      <c r="T690" s="1">
        <v>484755.46982173825</v>
      </c>
      <c r="U690" s="1">
        <v>484755.46982173825</v>
      </c>
      <c r="V690" s="1">
        <v>484755.46982173825</v>
      </c>
      <c r="W690" s="4">
        <f t="shared" si="22"/>
        <v>4808278.135630548</v>
      </c>
      <c r="X690" s="4">
        <f t="shared" si="22"/>
        <v>4808278.135630548</v>
      </c>
      <c r="Y690" s="5">
        <f t="shared" si="21"/>
        <v>0.58150000000000013</v>
      </c>
    </row>
    <row r="691" spans="1:25" x14ac:dyDescent="0.25">
      <c r="A691" s="1" t="s">
        <v>110</v>
      </c>
      <c r="B691" s="1" t="s">
        <v>71</v>
      </c>
      <c r="C691" s="1" t="s">
        <v>29</v>
      </c>
      <c r="D691" s="1">
        <v>7542344.3711538436</v>
      </c>
      <c r="E691" s="1">
        <v>497794.72849615378</v>
      </c>
      <c r="F691" s="1">
        <v>497794.72849615378</v>
      </c>
      <c r="G691" s="1">
        <v>622243.41062019218</v>
      </c>
      <c r="H691" s="1">
        <v>622243.41062019218</v>
      </c>
      <c r="I691" s="1">
        <v>622243.41062019218</v>
      </c>
      <c r="J691" s="1">
        <v>622243.41062019218</v>
      </c>
      <c r="K691" s="1">
        <v>622243.41062019218</v>
      </c>
      <c r="L691" s="1">
        <v>622243.41062019218</v>
      </c>
      <c r="M691" s="1">
        <v>379002.80465048057</v>
      </c>
      <c r="N691" s="1">
        <v>379002.80465048057</v>
      </c>
      <c r="O691" s="1">
        <v>315835.67054206715</v>
      </c>
      <c r="P691" s="1">
        <v>315835.67054206715</v>
      </c>
      <c r="Q691" s="1">
        <v>442169.93875889399</v>
      </c>
      <c r="R691" s="1">
        <v>442169.93875889399</v>
      </c>
      <c r="S691" s="1">
        <v>442169.93875889399</v>
      </c>
      <c r="T691" s="1">
        <v>442169.93875889399</v>
      </c>
      <c r="U691" s="1">
        <v>442169.93875889399</v>
      </c>
      <c r="V691" s="1">
        <v>442169.93875889399</v>
      </c>
      <c r="W691" s="4">
        <f t="shared" si="22"/>
        <v>4385873.2518259594</v>
      </c>
      <c r="X691" s="4">
        <f t="shared" si="22"/>
        <v>4385873.2518259594</v>
      </c>
      <c r="Y691" s="5">
        <f t="shared" si="21"/>
        <v>0.58149999999999991</v>
      </c>
    </row>
    <row r="692" spans="1:25" x14ac:dyDescent="0.25">
      <c r="A692" s="1" t="s">
        <v>110</v>
      </c>
      <c r="B692" s="1" t="s">
        <v>72</v>
      </c>
      <c r="C692" s="1" t="s">
        <v>73</v>
      </c>
      <c r="D692" s="1">
        <v>4653414.9334939513</v>
      </c>
      <c r="E692" s="1">
        <v>307125.38561060082</v>
      </c>
      <c r="F692" s="1">
        <v>307125.38561060082</v>
      </c>
      <c r="G692" s="1">
        <v>383906.73201325099</v>
      </c>
      <c r="H692" s="1">
        <v>383906.73201325099</v>
      </c>
      <c r="I692" s="1">
        <v>383906.73201325099</v>
      </c>
      <c r="J692" s="1">
        <v>383906.73201325099</v>
      </c>
      <c r="K692" s="1">
        <v>383906.73201325099</v>
      </c>
      <c r="L692" s="1">
        <v>383906.73201325099</v>
      </c>
      <c r="M692" s="1">
        <v>233834.10040807107</v>
      </c>
      <c r="N692" s="1">
        <v>233834.10040807107</v>
      </c>
      <c r="O692" s="1">
        <v>194861.75034005922</v>
      </c>
      <c r="P692" s="1">
        <v>194861.75034005922</v>
      </c>
      <c r="Q692" s="1">
        <v>272806.45047608291</v>
      </c>
      <c r="R692" s="1">
        <v>272806.45047608291</v>
      </c>
      <c r="S692" s="1">
        <v>272806.45047608291</v>
      </c>
      <c r="T692" s="1">
        <v>272806.45047608291</v>
      </c>
      <c r="U692" s="1">
        <v>272806.45047608291</v>
      </c>
      <c r="V692" s="1">
        <v>272806.45047608291</v>
      </c>
      <c r="W692" s="4">
        <f t="shared" si="22"/>
        <v>2705960.783826733</v>
      </c>
      <c r="X692" s="4">
        <f t="shared" si="22"/>
        <v>2705960.783826733</v>
      </c>
      <c r="Y692" s="5">
        <f t="shared" si="21"/>
        <v>0.58150000000000002</v>
      </c>
    </row>
    <row r="693" spans="1:25" x14ac:dyDescent="0.25">
      <c r="A693" s="1" t="s">
        <v>110</v>
      </c>
      <c r="B693" s="1" t="s">
        <v>48</v>
      </c>
      <c r="C693" s="1" t="s">
        <v>49</v>
      </c>
      <c r="D693" s="1">
        <v>4281557.5150560187</v>
      </c>
      <c r="E693" s="1">
        <v>282582.79599369731</v>
      </c>
      <c r="F693" s="1">
        <v>282582.79599369731</v>
      </c>
      <c r="G693" s="1">
        <v>353228.49499212159</v>
      </c>
      <c r="H693" s="1">
        <v>353228.49499212159</v>
      </c>
      <c r="I693" s="1">
        <v>353228.49499212159</v>
      </c>
      <c r="J693" s="1">
        <v>353228.49499212159</v>
      </c>
      <c r="K693" s="1">
        <v>353228.49499212159</v>
      </c>
      <c r="L693" s="1">
        <v>353228.49499212159</v>
      </c>
      <c r="M693" s="1">
        <v>215148.26513156493</v>
      </c>
      <c r="N693" s="1">
        <v>215148.26513156493</v>
      </c>
      <c r="O693" s="1">
        <v>179290.22094297077</v>
      </c>
      <c r="P693" s="1">
        <v>179290.22094297077</v>
      </c>
      <c r="Q693" s="1">
        <v>251006.30932015905</v>
      </c>
      <c r="R693" s="1">
        <v>251006.30932015905</v>
      </c>
      <c r="S693" s="1">
        <v>251006.30932015905</v>
      </c>
      <c r="T693" s="1">
        <v>251006.30932015905</v>
      </c>
      <c r="U693" s="1">
        <v>251006.30932015905</v>
      </c>
      <c r="V693" s="1">
        <v>251006.30932015905</v>
      </c>
      <c r="W693" s="4">
        <f t="shared" si="22"/>
        <v>2489725.6950050751</v>
      </c>
      <c r="X693" s="4">
        <f t="shared" si="22"/>
        <v>2489725.6950050751</v>
      </c>
      <c r="Y693" s="5">
        <f t="shared" si="21"/>
        <v>0.58150000000000002</v>
      </c>
    </row>
    <row r="694" spans="1:25" x14ac:dyDescent="0.25">
      <c r="A694" s="1" t="s">
        <v>110</v>
      </c>
      <c r="B694" s="1" t="s">
        <v>53</v>
      </c>
      <c r="C694" s="1" t="s">
        <v>30</v>
      </c>
      <c r="D694" s="1">
        <v>9688786.1158917695</v>
      </c>
      <c r="E694" s="1">
        <v>639459.88364885689</v>
      </c>
      <c r="F694" s="1">
        <v>639459.88364885689</v>
      </c>
      <c r="G694" s="1">
        <v>799324.85456107103</v>
      </c>
      <c r="H694" s="1">
        <v>799324.85456107103</v>
      </c>
      <c r="I694" s="1">
        <v>799324.85456107103</v>
      </c>
      <c r="J694" s="1">
        <v>799324.85456107103</v>
      </c>
      <c r="K694" s="1">
        <v>799324.85456107103</v>
      </c>
      <c r="L694" s="1">
        <v>799324.85456107103</v>
      </c>
      <c r="M694" s="1">
        <v>486861.50232356141</v>
      </c>
      <c r="N694" s="1">
        <v>486861.50232356141</v>
      </c>
      <c r="O694" s="1">
        <v>405717.91860296787</v>
      </c>
      <c r="P694" s="1">
        <v>405717.91860296787</v>
      </c>
      <c r="Q694" s="1">
        <v>568005.08604415494</v>
      </c>
      <c r="R694" s="1">
        <v>568005.08604415494</v>
      </c>
      <c r="S694" s="1">
        <v>568005.08604415494</v>
      </c>
      <c r="T694" s="1">
        <v>568005.08604415494</v>
      </c>
      <c r="U694" s="1">
        <v>568005.08604415494</v>
      </c>
      <c r="V694" s="1">
        <v>568005.08604415494</v>
      </c>
      <c r="W694" s="4">
        <f t="shared" si="22"/>
        <v>5634029.1263910634</v>
      </c>
      <c r="X694" s="4">
        <f t="shared" si="22"/>
        <v>5634029.1263910634</v>
      </c>
      <c r="Y694" s="5">
        <f t="shared" si="21"/>
        <v>0.58149999999999991</v>
      </c>
    </row>
    <row r="695" spans="1:25" x14ac:dyDescent="0.25">
      <c r="A695" s="1" t="s">
        <v>110</v>
      </c>
      <c r="B695" s="1" t="s">
        <v>74</v>
      </c>
      <c r="C695" s="1" t="s">
        <v>75</v>
      </c>
      <c r="D695" s="1">
        <v>4090015.3309198152</v>
      </c>
      <c r="E695" s="1">
        <v>269941.0118407078</v>
      </c>
      <c r="F695" s="1">
        <v>269941.0118407078</v>
      </c>
      <c r="G695" s="1">
        <v>337426.26480088476</v>
      </c>
      <c r="H695" s="1">
        <v>337426.26480088476</v>
      </c>
      <c r="I695" s="1">
        <v>337426.26480088476</v>
      </c>
      <c r="J695" s="1">
        <v>337426.26480088476</v>
      </c>
      <c r="K695" s="1">
        <v>337426.26480088476</v>
      </c>
      <c r="L695" s="1">
        <v>337426.26480088476</v>
      </c>
      <c r="M695" s="1">
        <v>205523.27037872071</v>
      </c>
      <c r="N695" s="1">
        <v>205523.27037872071</v>
      </c>
      <c r="O695" s="1">
        <v>171269.39198226726</v>
      </c>
      <c r="P695" s="1">
        <v>171269.39198226726</v>
      </c>
      <c r="Q695" s="1">
        <v>239777.14877517414</v>
      </c>
      <c r="R695" s="1">
        <v>239777.14877517414</v>
      </c>
      <c r="S695" s="1">
        <v>239777.14877517414</v>
      </c>
      <c r="T695" s="1">
        <v>239777.14877517414</v>
      </c>
      <c r="U695" s="1">
        <v>239777.14877517414</v>
      </c>
      <c r="V695" s="1">
        <v>239777.14877517414</v>
      </c>
      <c r="W695" s="4">
        <f t="shared" si="22"/>
        <v>2378343.9149298724</v>
      </c>
      <c r="X695" s="4">
        <f t="shared" si="22"/>
        <v>2378343.9149298724</v>
      </c>
      <c r="Y695" s="5">
        <f t="shared" si="21"/>
        <v>0.58149999999999991</v>
      </c>
    </row>
    <row r="696" spans="1:25" x14ac:dyDescent="0.25">
      <c r="A696" s="1" t="s">
        <v>110</v>
      </c>
      <c r="B696" s="1" t="s">
        <v>50</v>
      </c>
      <c r="C696" s="1" t="s">
        <v>25</v>
      </c>
      <c r="D696" s="1">
        <v>4495635.3908088189</v>
      </c>
      <c r="E696" s="1">
        <v>296711.93579338206</v>
      </c>
      <c r="F696" s="1">
        <v>296711.93579338206</v>
      </c>
      <c r="G696" s="1">
        <v>370889.91974172759</v>
      </c>
      <c r="H696" s="1">
        <v>370889.91974172759</v>
      </c>
      <c r="I696" s="1">
        <v>370889.91974172759</v>
      </c>
      <c r="J696" s="1">
        <v>370889.91974172759</v>
      </c>
      <c r="K696" s="1">
        <v>370889.91974172759</v>
      </c>
      <c r="L696" s="1">
        <v>370889.91974172759</v>
      </c>
      <c r="M696" s="1">
        <v>225905.6783881431</v>
      </c>
      <c r="N696" s="1">
        <v>225905.6783881431</v>
      </c>
      <c r="O696" s="1">
        <v>188254.73199011927</v>
      </c>
      <c r="P696" s="1">
        <v>188254.73199011927</v>
      </c>
      <c r="Q696" s="1">
        <v>263556.62478616694</v>
      </c>
      <c r="R696" s="1">
        <v>263556.62478616694</v>
      </c>
      <c r="S696" s="1">
        <v>263556.62478616694</v>
      </c>
      <c r="T696" s="1">
        <v>263556.62478616694</v>
      </c>
      <c r="U696" s="1">
        <v>263556.62478616694</v>
      </c>
      <c r="V696" s="1">
        <v>263556.62478616694</v>
      </c>
      <c r="W696" s="4">
        <f t="shared" si="22"/>
        <v>2614211.979755328</v>
      </c>
      <c r="X696" s="4">
        <f t="shared" si="22"/>
        <v>2614211.979755328</v>
      </c>
      <c r="Y696" s="5">
        <f t="shared" si="21"/>
        <v>0.58150000000000002</v>
      </c>
    </row>
    <row r="697" spans="1:25" x14ac:dyDescent="0.25">
      <c r="A697" s="1" t="s">
        <v>111</v>
      </c>
      <c r="B697" s="1" t="s">
        <v>59</v>
      </c>
      <c r="C697" s="1" t="s">
        <v>26</v>
      </c>
      <c r="D697" s="1">
        <v>50318076.817830458</v>
      </c>
      <c r="E697" s="1">
        <v>4441242.2879768107</v>
      </c>
      <c r="F697" s="1">
        <v>4441242.2879768107</v>
      </c>
      <c r="G697" s="1">
        <v>5551552.8599710129</v>
      </c>
      <c r="H697" s="1">
        <v>5551552.8599710129</v>
      </c>
      <c r="I697" s="1">
        <v>5551552.8599710129</v>
      </c>
      <c r="J697" s="1">
        <v>5551552.8599710129</v>
      </c>
      <c r="K697" s="1">
        <v>5551552.8599710129</v>
      </c>
      <c r="L697" s="1">
        <v>5551552.8599710129</v>
      </c>
      <c r="M697" s="1">
        <v>3513983.1722432994</v>
      </c>
      <c r="N697" s="1">
        <v>3513983.1722432994</v>
      </c>
      <c r="O697" s="1">
        <v>3513983.1722432994</v>
      </c>
      <c r="P697" s="1">
        <v>3513983.1722432994</v>
      </c>
      <c r="Q697" s="1">
        <v>3513983.1722432994</v>
      </c>
      <c r="R697" s="1">
        <v>3513983.1722432994</v>
      </c>
      <c r="S697" s="1">
        <v>3513983.1722432994</v>
      </c>
      <c r="T697" s="1">
        <v>3513983.1722432994</v>
      </c>
      <c r="U697" s="1">
        <v>3513983.1722432994</v>
      </c>
      <c r="V697" s="1">
        <v>3513983.1722432994</v>
      </c>
      <c r="W697" s="4">
        <f t="shared" si="22"/>
        <v>38665816.729106344</v>
      </c>
      <c r="X697" s="4">
        <f t="shared" si="22"/>
        <v>38665816.729106344</v>
      </c>
      <c r="Y697" s="5">
        <f t="shared" si="21"/>
        <v>0.76842795222660265</v>
      </c>
    </row>
    <row r="698" spans="1:25" x14ac:dyDescent="0.25">
      <c r="A698" s="1" t="s">
        <v>111</v>
      </c>
      <c r="B698" s="1" t="s">
        <v>59</v>
      </c>
      <c r="C698" s="1" t="s">
        <v>26</v>
      </c>
      <c r="D698" s="1">
        <v>16973473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8486736.5</v>
      </c>
      <c r="N698" s="1">
        <v>8486736.5</v>
      </c>
      <c r="O698" s="1">
        <v>8486736.5</v>
      </c>
      <c r="P698" s="1">
        <v>8486736.5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4">
        <f t="shared" si="22"/>
        <v>16973473</v>
      </c>
      <c r="X698" s="4">
        <f t="shared" si="22"/>
        <v>16973473</v>
      </c>
      <c r="Y698" s="5">
        <f t="shared" si="21"/>
        <v>1</v>
      </c>
    </row>
    <row r="699" spans="1:25" x14ac:dyDescent="0.25">
      <c r="A699" s="1" t="s">
        <v>111</v>
      </c>
      <c r="B699" s="1" t="s">
        <v>33</v>
      </c>
      <c r="C699" s="1" t="s">
        <v>34</v>
      </c>
      <c r="D699" s="1">
        <v>60000000</v>
      </c>
      <c r="E699" s="1">
        <v>0</v>
      </c>
      <c r="F699" s="1">
        <v>0</v>
      </c>
      <c r="G699" s="1">
        <v>12000000</v>
      </c>
      <c r="H699" s="1">
        <v>12000000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18000000</v>
      </c>
      <c r="P699" s="1">
        <v>18000000</v>
      </c>
      <c r="Q699" s="1">
        <v>0</v>
      </c>
      <c r="R699" s="1">
        <v>0</v>
      </c>
      <c r="S699" s="1">
        <v>18000000</v>
      </c>
      <c r="T699" s="1">
        <v>18000000</v>
      </c>
      <c r="U699" s="1">
        <v>12000000</v>
      </c>
      <c r="V699" s="1">
        <v>12000000</v>
      </c>
      <c r="W699" s="4">
        <f t="shared" si="22"/>
        <v>60000000</v>
      </c>
      <c r="X699" s="4">
        <f t="shared" si="22"/>
        <v>60000000</v>
      </c>
      <c r="Y699" s="5">
        <f t="shared" si="21"/>
        <v>1</v>
      </c>
    </row>
    <row r="700" spans="1:25" x14ac:dyDescent="0.25">
      <c r="A700" s="1" t="s">
        <v>111</v>
      </c>
      <c r="B700" s="1" t="s">
        <v>35</v>
      </c>
      <c r="C700" s="1" t="s">
        <v>34</v>
      </c>
      <c r="D700" s="1">
        <v>150000000</v>
      </c>
      <c r="E700" s="1">
        <v>0</v>
      </c>
      <c r="F700" s="1">
        <v>0</v>
      </c>
      <c r="G700" s="1">
        <v>41250000</v>
      </c>
      <c r="H700" s="1">
        <v>41250000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36250000</v>
      </c>
      <c r="P700" s="1">
        <v>36250000</v>
      </c>
      <c r="Q700" s="1">
        <v>0</v>
      </c>
      <c r="R700" s="1">
        <v>0</v>
      </c>
      <c r="S700" s="1">
        <v>36250000</v>
      </c>
      <c r="T700" s="1">
        <v>36250000</v>
      </c>
      <c r="U700" s="1">
        <v>36250000</v>
      </c>
      <c r="V700" s="1">
        <v>36250000</v>
      </c>
      <c r="W700" s="4">
        <f t="shared" si="22"/>
        <v>150000000</v>
      </c>
      <c r="X700" s="4">
        <f t="shared" si="22"/>
        <v>150000000</v>
      </c>
      <c r="Y700" s="5">
        <f t="shared" si="21"/>
        <v>1</v>
      </c>
    </row>
    <row r="701" spans="1:25" x14ac:dyDescent="0.25">
      <c r="A701" s="1" t="s">
        <v>111</v>
      </c>
      <c r="B701" s="1" t="s">
        <v>38</v>
      </c>
      <c r="C701" s="1" t="s">
        <v>39</v>
      </c>
      <c r="D701" s="1">
        <v>8365142.959398536</v>
      </c>
      <c r="E701" s="1">
        <v>552099.43532030343</v>
      </c>
      <c r="F701" s="1">
        <v>552099.43532030343</v>
      </c>
      <c r="G701" s="1">
        <v>690124.29415037925</v>
      </c>
      <c r="H701" s="1">
        <v>690124.29415037925</v>
      </c>
      <c r="I701" s="1">
        <v>690124.29415037925</v>
      </c>
      <c r="J701" s="1">
        <v>690124.29415037925</v>
      </c>
      <c r="K701" s="1">
        <v>690124.29415037925</v>
      </c>
      <c r="L701" s="1">
        <v>690124.29415037925</v>
      </c>
      <c r="M701" s="1">
        <v>420348.43370977632</v>
      </c>
      <c r="N701" s="1">
        <v>420348.43370977632</v>
      </c>
      <c r="O701" s="1">
        <v>350290.36142481363</v>
      </c>
      <c r="P701" s="1">
        <v>350290.36142481363</v>
      </c>
      <c r="Q701" s="1">
        <v>490406.50599473907</v>
      </c>
      <c r="R701" s="1">
        <v>490406.50599473907</v>
      </c>
      <c r="S701" s="1">
        <v>490406.50599473907</v>
      </c>
      <c r="T701" s="1">
        <v>490406.50599473907</v>
      </c>
      <c r="U701" s="1">
        <v>490406.50599473907</v>
      </c>
      <c r="V701" s="1">
        <v>490406.50599473907</v>
      </c>
      <c r="W701" s="4">
        <f t="shared" si="22"/>
        <v>4864330.6308902493</v>
      </c>
      <c r="X701" s="4">
        <f t="shared" si="22"/>
        <v>4864330.6308902493</v>
      </c>
      <c r="Y701" s="5">
        <f t="shared" si="21"/>
        <v>0.58150000000000002</v>
      </c>
    </row>
    <row r="702" spans="1:25" x14ac:dyDescent="0.25">
      <c r="A702" s="1" t="s">
        <v>111</v>
      </c>
      <c r="B702" s="1" t="s">
        <v>61</v>
      </c>
      <c r="C702" s="1" t="s">
        <v>34</v>
      </c>
      <c r="D702" s="1">
        <v>95532594.990703598</v>
      </c>
      <c r="E702" s="1">
        <v>0</v>
      </c>
      <c r="F702" s="1">
        <v>0</v>
      </c>
      <c r="G702" s="1">
        <v>7642607.5983857792</v>
      </c>
      <c r="H702" s="1">
        <v>7642607.5983857792</v>
      </c>
      <c r="I702" s="1">
        <v>0</v>
      </c>
      <c r="J702" s="1">
        <v>0</v>
      </c>
      <c r="K702" s="1">
        <v>0</v>
      </c>
      <c r="L702" s="1">
        <v>0</v>
      </c>
      <c r="M702" s="1">
        <v>21972496.848079454</v>
      </c>
      <c r="N702" s="1">
        <v>21972496.848079454</v>
      </c>
      <c r="O702" s="1">
        <v>0</v>
      </c>
      <c r="P702" s="1">
        <v>0</v>
      </c>
      <c r="Q702" s="1">
        <v>0</v>
      </c>
      <c r="R702" s="1">
        <v>0</v>
      </c>
      <c r="S702" s="1">
        <v>32958745.272119179</v>
      </c>
      <c r="T702" s="1">
        <v>32958745.272119179</v>
      </c>
      <c r="U702" s="1">
        <v>0</v>
      </c>
      <c r="V702" s="1">
        <v>0</v>
      </c>
      <c r="W702" s="4">
        <f t="shared" si="22"/>
        <v>62573849.718584418</v>
      </c>
      <c r="X702" s="4">
        <f t="shared" si="22"/>
        <v>62573849.718584418</v>
      </c>
      <c r="Y702" s="5">
        <f t="shared" si="21"/>
        <v>0.65499999999658298</v>
      </c>
    </row>
    <row r="703" spans="1:25" x14ac:dyDescent="0.25">
      <c r="A703" s="1" t="s">
        <v>111</v>
      </c>
      <c r="B703" s="1" t="s">
        <v>62</v>
      </c>
      <c r="C703" s="1" t="s">
        <v>63</v>
      </c>
      <c r="D703" s="1">
        <v>47142857</v>
      </c>
      <c r="E703" s="1">
        <v>18039999.999120001</v>
      </c>
      <c r="F703" s="1">
        <v>18039999.999120001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1844464.2857967855</v>
      </c>
      <c r="N703" s="1">
        <v>1844464.2857967855</v>
      </c>
      <c r="O703" s="1">
        <v>1537053.5714973214</v>
      </c>
      <c r="P703" s="1">
        <v>1537053.5714973214</v>
      </c>
      <c r="Q703" s="1">
        <v>2151875.0000962499</v>
      </c>
      <c r="R703" s="1">
        <v>2151875.0000962499</v>
      </c>
      <c r="S703" s="1">
        <v>2151875.0000962499</v>
      </c>
      <c r="T703" s="1">
        <v>2151875.0000962499</v>
      </c>
      <c r="U703" s="1">
        <v>2151875.0000962499</v>
      </c>
      <c r="V703" s="1">
        <v>2151875.0000962499</v>
      </c>
      <c r="W703" s="4">
        <f t="shared" si="22"/>
        <v>27877142.856702857</v>
      </c>
      <c r="X703" s="4">
        <f t="shared" si="22"/>
        <v>27877142.856702857</v>
      </c>
      <c r="Y703" s="5">
        <f t="shared" si="21"/>
        <v>0.59133333511591923</v>
      </c>
    </row>
    <row r="704" spans="1:25" x14ac:dyDescent="0.25">
      <c r="A704" s="1" t="s">
        <v>111</v>
      </c>
      <c r="B704" s="1" t="s">
        <v>40</v>
      </c>
      <c r="C704" s="1" t="s">
        <v>27</v>
      </c>
      <c r="D704" s="1">
        <v>83067332</v>
      </c>
      <c r="E704" s="1">
        <v>4415926</v>
      </c>
      <c r="F704" s="1">
        <v>4415926</v>
      </c>
      <c r="G704" s="1">
        <v>10923653</v>
      </c>
      <c r="H704" s="1">
        <v>10923653</v>
      </c>
      <c r="I704" s="1">
        <v>5969621</v>
      </c>
      <c r="J704" s="1">
        <v>5969621</v>
      </c>
      <c r="K704" s="1">
        <v>6969545</v>
      </c>
      <c r="L704" s="1">
        <v>6969545</v>
      </c>
      <c r="M704" s="1">
        <v>0</v>
      </c>
      <c r="N704" s="1">
        <v>0</v>
      </c>
      <c r="O704" s="1">
        <v>11097154</v>
      </c>
      <c r="P704" s="1">
        <v>11097154</v>
      </c>
      <c r="Q704" s="1">
        <v>11415311</v>
      </c>
      <c r="R704" s="1">
        <v>11415311</v>
      </c>
      <c r="S704" s="1">
        <v>8133043</v>
      </c>
      <c r="T704" s="1">
        <v>8133043</v>
      </c>
      <c r="U704" s="1">
        <v>9009133</v>
      </c>
      <c r="V704" s="1">
        <v>9009133</v>
      </c>
      <c r="W704" s="4">
        <f t="shared" si="22"/>
        <v>67933386</v>
      </c>
      <c r="X704" s="4">
        <f t="shared" si="22"/>
        <v>67933386</v>
      </c>
      <c r="Y704" s="5">
        <f t="shared" si="21"/>
        <v>0.81781109811014518</v>
      </c>
    </row>
    <row r="705" spans="1:25" x14ac:dyDescent="0.25">
      <c r="A705" s="1" t="s">
        <v>111</v>
      </c>
      <c r="B705" s="1" t="s">
        <v>40</v>
      </c>
      <c r="C705" s="1" t="s">
        <v>27</v>
      </c>
      <c r="D705" s="1">
        <v>137153742</v>
      </c>
      <c r="E705" s="1">
        <v>0</v>
      </c>
      <c r="F705" s="1">
        <v>0</v>
      </c>
      <c r="G705" s="1">
        <v>0</v>
      </c>
      <c r="H705" s="1">
        <v>0</v>
      </c>
      <c r="I705" s="1">
        <v>28222369.48114416</v>
      </c>
      <c r="J705" s="1">
        <v>28222369.48114416</v>
      </c>
      <c r="K705" s="1">
        <v>15165732</v>
      </c>
      <c r="L705" s="1">
        <v>15165732</v>
      </c>
      <c r="M705" s="1">
        <v>11900876.06957094</v>
      </c>
      <c r="N705" s="1">
        <v>11900876.06957094</v>
      </c>
      <c r="O705" s="1">
        <v>41158156.37971396</v>
      </c>
      <c r="P705" s="1">
        <v>41158156.37971396</v>
      </c>
      <c r="Q705" s="1">
        <v>40706608.069570944</v>
      </c>
      <c r="R705" s="1">
        <v>40706608.069570944</v>
      </c>
      <c r="S705" s="1">
        <v>0</v>
      </c>
      <c r="T705" s="1">
        <v>0</v>
      </c>
      <c r="U705" s="1">
        <v>0</v>
      </c>
      <c r="V705" s="1">
        <v>0</v>
      </c>
      <c r="W705" s="4">
        <f t="shared" si="22"/>
        <v>137153742</v>
      </c>
      <c r="X705" s="4">
        <f t="shared" si="22"/>
        <v>137153742</v>
      </c>
      <c r="Y705" s="5">
        <f t="shared" si="21"/>
        <v>1</v>
      </c>
    </row>
    <row r="706" spans="1:25" x14ac:dyDescent="0.25">
      <c r="A706" s="1" t="s">
        <v>111</v>
      </c>
      <c r="B706" s="1" t="s">
        <v>40</v>
      </c>
      <c r="C706" s="1" t="s">
        <v>27</v>
      </c>
      <c r="D706" s="1">
        <v>29447692.446053505</v>
      </c>
      <c r="E706" s="1">
        <v>0</v>
      </c>
      <c r="F706" s="1">
        <v>0</v>
      </c>
      <c r="G706" s="1">
        <v>10723846.446053499</v>
      </c>
      <c r="H706" s="1">
        <v>10723846.446053499</v>
      </c>
      <c r="I706" s="1">
        <v>0</v>
      </c>
      <c r="J706" s="1">
        <v>0</v>
      </c>
      <c r="K706" s="1">
        <v>0</v>
      </c>
      <c r="L706" s="1">
        <v>0</v>
      </c>
      <c r="M706" s="1">
        <v>7021442.2500000028</v>
      </c>
      <c r="N706" s="1">
        <v>7021442.2500000028</v>
      </c>
      <c r="O706" s="1">
        <v>4680961.5000000019</v>
      </c>
      <c r="P706" s="1">
        <v>4680961.5000000019</v>
      </c>
      <c r="Q706" s="1">
        <v>7021442.2500000028</v>
      </c>
      <c r="R706" s="1">
        <v>7021442.2500000028</v>
      </c>
      <c r="S706" s="1">
        <v>0</v>
      </c>
      <c r="T706" s="1">
        <v>0</v>
      </c>
      <c r="U706" s="1">
        <v>0</v>
      </c>
      <c r="V706" s="1">
        <v>0</v>
      </c>
      <c r="W706" s="4">
        <f t="shared" si="22"/>
        <v>29447692.446053505</v>
      </c>
      <c r="X706" s="4">
        <f t="shared" si="22"/>
        <v>29447692.446053505</v>
      </c>
      <c r="Y706" s="5">
        <f t="shared" si="21"/>
        <v>1</v>
      </c>
    </row>
    <row r="707" spans="1:25" x14ac:dyDescent="0.25">
      <c r="A707" s="1" t="s">
        <v>111</v>
      </c>
      <c r="B707" s="1" t="s">
        <v>43</v>
      </c>
      <c r="C707" s="1" t="s">
        <v>31</v>
      </c>
      <c r="D707" s="1">
        <v>4361844.4234332498</v>
      </c>
      <c r="E707" s="1">
        <v>253372.54099212299</v>
      </c>
      <c r="F707" s="1">
        <v>253372.54099212299</v>
      </c>
      <c r="G707" s="1">
        <v>316715.67624015373</v>
      </c>
      <c r="H707" s="1">
        <v>316715.67624015373</v>
      </c>
      <c r="I707" s="1">
        <v>316715.67624015373</v>
      </c>
      <c r="J707" s="1">
        <v>316715.67624015373</v>
      </c>
      <c r="K707" s="1">
        <v>316715.67624015373</v>
      </c>
      <c r="L707" s="1">
        <v>316715.67624015373</v>
      </c>
      <c r="M707" s="1">
        <v>235501.72408532866</v>
      </c>
      <c r="N707" s="1">
        <v>235501.72408532866</v>
      </c>
      <c r="O707" s="1">
        <v>196251.43673777388</v>
      </c>
      <c r="P707" s="1">
        <v>196251.43673777388</v>
      </c>
      <c r="Q707" s="1">
        <v>287563.72117100656</v>
      </c>
      <c r="R707" s="1">
        <v>287563.72117100656</v>
      </c>
      <c r="S707" s="1">
        <v>274752.01143288345</v>
      </c>
      <c r="T707" s="1">
        <v>274752.01143288345</v>
      </c>
      <c r="U707" s="1">
        <v>274752.01143288345</v>
      </c>
      <c r="V707" s="1">
        <v>274752.01143288345</v>
      </c>
      <c r="W707" s="4">
        <f t="shared" si="22"/>
        <v>2472340.4745724602</v>
      </c>
      <c r="X707" s="4">
        <f t="shared" si="22"/>
        <v>2472340.4745724602</v>
      </c>
      <c r="Y707" s="5">
        <f t="shared" ref="Y707:Y770" si="23">X707/D707</f>
        <v>0.56681078795250961</v>
      </c>
    </row>
    <row r="708" spans="1:25" x14ac:dyDescent="0.25">
      <c r="A708" s="1" t="s">
        <v>111</v>
      </c>
      <c r="B708" s="1" t="s">
        <v>64</v>
      </c>
      <c r="C708" s="1" t="s">
        <v>23</v>
      </c>
      <c r="D708" s="1">
        <v>10133185.734986868</v>
      </c>
      <c r="E708" s="1">
        <v>668790.25850913336</v>
      </c>
      <c r="F708" s="1">
        <v>668790.25850913336</v>
      </c>
      <c r="G708" s="1">
        <v>835987.82313641661</v>
      </c>
      <c r="H708" s="1">
        <v>835987.82313641661</v>
      </c>
      <c r="I708" s="1">
        <v>835987.82313641661</v>
      </c>
      <c r="J708" s="1">
        <v>835987.82313641661</v>
      </c>
      <c r="K708" s="1">
        <v>835987.82313641661</v>
      </c>
      <c r="L708" s="1">
        <v>835987.82313641661</v>
      </c>
      <c r="M708" s="1">
        <v>509192.58318309003</v>
      </c>
      <c r="N708" s="1">
        <v>509192.58318309003</v>
      </c>
      <c r="O708" s="1">
        <v>424327.15265257505</v>
      </c>
      <c r="P708" s="1">
        <v>424327.15265257505</v>
      </c>
      <c r="Q708" s="1">
        <v>594058.013713605</v>
      </c>
      <c r="R708" s="1">
        <v>594058.013713605</v>
      </c>
      <c r="S708" s="1">
        <v>594058.013713605</v>
      </c>
      <c r="T708" s="1">
        <v>594058.013713605</v>
      </c>
      <c r="U708" s="1">
        <v>594058.013713605</v>
      </c>
      <c r="V708" s="1">
        <v>594058.013713605</v>
      </c>
      <c r="W708" s="4">
        <f t="shared" si="22"/>
        <v>5892447.5048948629</v>
      </c>
      <c r="X708" s="4">
        <f t="shared" si="22"/>
        <v>5892447.5048948629</v>
      </c>
      <c r="Y708" s="5">
        <f t="shared" si="23"/>
        <v>0.58149999999999991</v>
      </c>
    </row>
    <row r="709" spans="1:25" x14ac:dyDescent="0.25">
      <c r="A709" s="1" t="s">
        <v>111</v>
      </c>
      <c r="B709" s="1" t="s">
        <v>65</v>
      </c>
      <c r="C709" s="1" t="s">
        <v>31</v>
      </c>
      <c r="D709" s="1">
        <v>5169706.60919045</v>
      </c>
      <c r="E709" s="1">
        <v>341200.63620656973</v>
      </c>
      <c r="F709" s="1">
        <v>341200.63620656973</v>
      </c>
      <c r="G709" s="1">
        <v>426500.79525821214</v>
      </c>
      <c r="H709" s="1">
        <v>426500.79525821214</v>
      </c>
      <c r="I709" s="1">
        <v>426500.79525821214</v>
      </c>
      <c r="J709" s="1">
        <v>426500.79525821214</v>
      </c>
      <c r="K709" s="1">
        <v>426500.79525821214</v>
      </c>
      <c r="L709" s="1">
        <v>426500.79525821214</v>
      </c>
      <c r="M709" s="1">
        <v>259777.7571118201</v>
      </c>
      <c r="N709" s="1">
        <v>259777.7571118201</v>
      </c>
      <c r="O709" s="1">
        <v>216481.46425985009</v>
      </c>
      <c r="P709" s="1">
        <v>216481.46425985009</v>
      </c>
      <c r="Q709" s="1">
        <v>303074.04996379011</v>
      </c>
      <c r="R709" s="1">
        <v>303074.04996379011</v>
      </c>
      <c r="S709" s="1">
        <v>303074.04996379011</v>
      </c>
      <c r="T709" s="1">
        <v>303074.04996379011</v>
      </c>
      <c r="U709" s="1">
        <v>303074.04996379011</v>
      </c>
      <c r="V709" s="1">
        <v>303074.04996379011</v>
      </c>
      <c r="W709" s="4">
        <f t="shared" si="22"/>
        <v>3006184.3932442465</v>
      </c>
      <c r="X709" s="4">
        <f t="shared" si="22"/>
        <v>3006184.3932442465</v>
      </c>
      <c r="Y709" s="5">
        <f t="shared" si="23"/>
        <v>0.58149999999999991</v>
      </c>
    </row>
    <row r="710" spans="1:25" x14ac:dyDescent="0.25">
      <c r="A710" s="1" t="s">
        <v>111</v>
      </c>
      <c r="B710" s="1" t="s">
        <v>44</v>
      </c>
      <c r="C710" s="1" t="s">
        <v>45</v>
      </c>
      <c r="D710" s="1">
        <v>8365142.959398536</v>
      </c>
      <c r="E710" s="1">
        <v>552099.43532030343</v>
      </c>
      <c r="F710" s="1">
        <v>552099.43532030343</v>
      </c>
      <c r="G710" s="1">
        <v>690124.29415037925</v>
      </c>
      <c r="H710" s="1">
        <v>690124.29415037925</v>
      </c>
      <c r="I710" s="1">
        <v>690124.29415037925</v>
      </c>
      <c r="J710" s="1">
        <v>690124.29415037925</v>
      </c>
      <c r="K710" s="1">
        <v>690124.29415037925</v>
      </c>
      <c r="L710" s="1">
        <v>690124.29415037925</v>
      </c>
      <c r="M710" s="1">
        <v>420348.43370977632</v>
      </c>
      <c r="N710" s="1">
        <v>420348.43370977632</v>
      </c>
      <c r="O710" s="1">
        <v>350290.36142481363</v>
      </c>
      <c r="P710" s="1">
        <v>350290.36142481363</v>
      </c>
      <c r="Q710" s="1">
        <v>490406.50599473907</v>
      </c>
      <c r="R710" s="1">
        <v>490406.50599473907</v>
      </c>
      <c r="S710" s="1">
        <v>490406.50599473907</v>
      </c>
      <c r="T710" s="1">
        <v>490406.50599473907</v>
      </c>
      <c r="U710" s="1">
        <v>490406.50599473907</v>
      </c>
      <c r="V710" s="1">
        <v>490406.50599473907</v>
      </c>
      <c r="W710" s="4">
        <f t="shared" si="22"/>
        <v>4864330.6308902493</v>
      </c>
      <c r="X710" s="4">
        <f t="shared" si="22"/>
        <v>4864330.6308902493</v>
      </c>
      <c r="Y710" s="5">
        <f t="shared" si="23"/>
        <v>0.58150000000000002</v>
      </c>
    </row>
    <row r="711" spans="1:25" x14ac:dyDescent="0.25">
      <c r="A711" s="1" t="s">
        <v>111</v>
      </c>
      <c r="B711" s="1" t="s">
        <v>46</v>
      </c>
      <c r="C711" s="1" t="s">
        <v>22</v>
      </c>
      <c r="D711" s="1">
        <v>80331705.463707015</v>
      </c>
      <c r="E711" s="1">
        <v>5306858.9885593578</v>
      </c>
      <c r="F711" s="1">
        <v>5306858.9885593578</v>
      </c>
      <c r="G711" s="1">
        <v>6633573.7356991973</v>
      </c>
      <c r="H711" s="1">
        <v>6633573.7356991973</v>
      </c>
      <c r="I711" s="1">
        <v>6633573.7356991973</v>
      </c>
      <c r="J711" s="1">
        <v>6633573.7356991973</v>
      </c>
      <c r="K711" s="1">
        <v>6633573.7356991973</v>
      </c>
      <c r="L711" s="1">
        <v>6633573.7356991973</v>
      </c>
      <c r="M711" s="1">
        <v>4162349.4175167298</v>
      </c>
      <c r="N711" s="1">
        <v>4162349.4175167298</v>
      </c>
      <c r="O711" s="1">
        <v>3384778.8198372074</v>
      </c>
      <c r="P711" s="1">
        <v>3384778.8198372074</v>
      </c>
      <c r="Q711" s="1">
        <v>4686016.1560787875</v>
      </c>
      <c r="R711" s="1">
        <v>4686016.1560787875</v>
      </c>
      <c r="S711" s="1">
        <v>4686016.1560787875</v>
      </c>
      <c r="T711" s="1">
        <v>4686016.1560787875</v>
      </c>
      <c r="U711" s="1">
        <v>4686016.1560787875</v>
      </c>
      <c r="V711" s="1">
        <v>4686016.1560787875</v>
      </c>
      <c r="W711" s="4">
        <f t="shared" si="22"/>
        <v>46812756.901247256</v>
      </c>
      <c r="X711" s="4">
        <f t="shared" si="22"/>
        <v>46812756.901247256</v>
      </c>
      <c r="Y711" s="5">
        <f t="shared" si="23"/>
        <v>0.58274322238056742</v>
      </c>
    </row>
    <row r="712" spans="1:25" x14ac:dyDescent="0.25">
      <c r="A712" s="1" t="s">
        <v>111</v>
      </c>
      <c r="B712" s="1" t="s">
        <v>66</v>
      </c>
      <c r="C712" s="1" t="s">
        <v>24</v>
      </c>
      <c r="D712" s="1">
        <v>264650890.71621689</v>
      </c>
      <c r="E712" s="1">
        <v>21833698.484087896</v>
      </c>
      <c r="F712" s="1">
        <v>21833698.484087896</v>
      </c>
      <c r="G712" s="1">
        <v>21833698.484087896</v>
      </c>
      <c r="H712" s="1">
        <v>21833698.484087896</v>
      </c>
      <c r="I712" s="1">
        <v>21833698.484087896</v>
      </c>
      <c r="J712" s="1">
        <v>21833698.484087896</v>
      </c>
      <c r="K712" s="1">
        <v>21833698.484087896</v>
      </c>
      <c r="L712" s="1">
        <v>21833698.484087896</v>
      </c>
      <c r="M712" s="1">
        <v>23558205.77986531</v>
      </c>
      <c r="N712" s="1">
        <v>23558205.77986531</v>
      </c>
      <c r="O712" s="1">
        <v>22050000</v>
      </c>
      <c r="P712" s="1">
        <v>22050000</v>
      </c>
      <c r="Q712" s="1">
        <v>22935000</v>
      </c>
      <c r="R712" s="1">
        <v>22935000</v>
      </c>
      <c r="S712" s="1">
        <v>22300000</v>
      </c>
      <c r="T712" s="1">
        <v>22300000</v>
      </c>
      <c r="U712" s="1">
        <v>21770000</v>
      </c>
      <c r="V712" s="1">
        <v>21770000</v>
      </c>
      <c r="W712" s="4">
        <f t="shared" si="22"/>
        <v>199947999.71621686</v>
      </c>
      <c r="X712" s="4">
        <f t="shared" si="22"/>
        <v>199947999.71621686</v>
      </c>
      <c r="Y712" s="5">
        <f t="shared" si="23"/>
        <v>0.75551606561800522</v>
      </c>
    </row>
    <row r="713" spans="1:25" x14ac:dyDescent="0.25">
      <c r="A713" s="1" t="s">
        <v>111</v>
      </c>
      <c r="B713" s="1" t="s">
        <v>67</v>
      </c>
      <c r="C713" s="1" t="s">
        <v>68</v>
      </c>
      <c r="D713" s="1">
        <v>5916750.6585043678</v>
      </c>
      <c r="E713" s="1">
        <v>390505.54346128833</v>
      </c>
      <c r="F713" s="1">
        <v>390505.54346128833</v>
      </c>
      <c r="G713" s="1">
        <v>488131.92932661035</v>
      </c>
      <c r="H713" s="1">
        <v>488131.92932661035</v>
      </c>
      <c r="I713" s="1">
        <v>488131.92932661035</v>
      </c>
      <c r="J713" s="1">
        <v>488131.92932661035</v>
      </c>
      <c r="K713" s="1">
        <v>488131.92932661035</v>
      </c>
      <c r="L713" s="1">
        <v>488131.92932661035</v>
      </c>
      <c r="M713" s="1">
        <v>307671.03424222715</v>
      </c>
      <c r="N713" s="1">
        <v>307671.03424222715</v>
      </c>
      <c r="O713" s="1">
        <v>246531.277437682</v>
      </c>
      <c r="P713" s="1">
        <v>246531.277437682</v>
      </c>
      <c r="Q713" s="1">
        <v>345143.78841275477</v>
      </c>
      <c r="R713" s="1">
        <v>345143.78841275477</v>
      </c>
      <c r="S713" s="1">
        <v>345143.78841275477</v>
      </c>
      <c r="T713" s="1">
        <v>345143.78841275477</v>
      </c>
      <c r="U713" s="1">
        <v>345143.78841275477</v>
      </c>
      <c r="V713" s="1">
        <v>345143.78841275477</v>
      </c>
      <c r="W713" s="4">
        <f t="shared" si="22"/>
        <v>3444535.0083592925</v>
      </c>
      <c r="X713" s="4">
        <f t="shared" si="22"/>
        <v>3444535.0083592925</v>
      </c>
      <c r="Y713" s="5">
        <f t="shared" si="23"/>
        <v>0.58216666666666661</v>
      </c>
    </row>
    <row r="714" spans="1:25" x14ac:dyDescent="0.25">
      <c r="A714" s="1" t="s">
        <v>111</v>
      </c>
      <c r="B714" s="1" t="s">
        <v>47</v>
      </c>
      <c r="C714" s="1" t="s">
        <v>34</v>
      </c>
      <c r="D714" s="1">
        <v>11415625.887323946</v>
      </c>
      <c r="E714" s="1">
        <v>0</v>
      </c>
      <c r="F714" s="1">
        <v>0</v>
      </c>
      <c r="G714" s="1">
        <v>48846.981494704778</v>
      </c>
      <c r="H714" s="1">
        <v>48846.981494704778</v>
      </c>
      <c r="I714" s="1">
        <v>0</v>
      </c>
      <c r="J714" s="1">
        <v>0</v>
      </c>
      <c r="K714" s="1">
        <v>0</v>
      </c>
      <c r="L714" s="1">
        <v>0</v>
      </c>
      <c r="M714" s="1">
        <v>11366778.905829241</v>
      </c>
      <c r="N714" s="1">
        <v>11366778.905829241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4">
        <f t="shared" si="22"/>
        <v>11415625.887323946</v>
      </c>
      <c r="X714" s="4">
        <f t="shared" si="22"/>
        <v>11415625.887323946</v>
      </c>
      <c r="Y714" s="5">
        <f t="shared" si="23"/>
        <v>1</v>
      </c>
    </row>
    <row r="715" spans="1:25" x14ac:dyDescent="0.25">
      <c r="A715" s="1" t="s">
        <v>111</v>
      </c>
      <c r="B715" s="1" t="s">
        <v>69</v>
      </c>
      <c r="C715" s="1" t="s">
        <v>28</v>
      </c>
      <c r="D715" s="1">
        <v>6194635.0501373634</v>
      </c>
      <c r="E715" s="1">
        <v>408845.91330906603</v>
      </c>
      <c r="F715" s="1">
        <v>408845.91330906603</v>
      </c>
      <c r="G715" s="1">
        <v>511057.3916363325</v>
      </c>
      <c r="H715" s="1">
        <v>511057.3916363325</v>
      </c>
      <c r="I715" s="1">
        <v>511057.3916363325</v>
      </c>
      <c r="J715" s="1">
        <v>511057.3916363325</v>
      </c>
      <c r="K715" s="1">
        <v>511057.3916363325</v>
      </c>
      <c r="L715" s="1">
        <v>511057.3916363325</v>
      </c>
      <c r="M715" s="1">
        <v>311280.41126940248</v>
      </c>
      <c r="N715" s="1">
        <v>311280.41126940248</v>
      </c>
      <c r="O715" s="1">
        <v>259400.34272450209</v>
      </c>
      <c r="P715" s="1">
        <v>259400.34272450209</v>
      </c>
      <c r="Q715" s="1">
        <v>363160.47981430287</v>
      </c>
      <c r="R715" s="1">
        <v>363160.47981430287</v>
      </c>
      <c r="S715" s="1">
        <v>363160.47981430287</v>
      </c>
      <c r="T715" s="1">
        <v>363160.47981430287</v>
      </c>
      <c r="U715" s="1">
        <v>363160.47981430287</v>
      </c>
      <c r="V715" s="1">
        <v>363160.47981430287</v>
      </c>
      <c r="W715" s="4">
        <f t="shared" si="22"/>
        <v>3602180.2816548767</v>
      </c>
      <c r="X715" s="4">
        <f t="shared" si="22"/>
        <v>3602180.2816548767</v>
      </c>
      <c r="Y715" s="5">
        <f t="shared" si="23"/>
        <v>0.58150000000000002</v>
      </c>
    </row>
    <row r="716" spans="1:25" x14ac:dyDescent="0.25">
      <c r="A716" s="1" t="s">
        <v>111</v>
      </c>
      <c r="B716" s="1" t="s">
        <v>70</v>
      </c>
      <c r="C716" s="1" t="s">
        <v>23</v>
      </c>
      <c r="D716" s="1">
        <v>8268750.0182812503</v>
      </c>
      <c r="E716" s="1">
        <v>545737.50120656262</v>
      </c>
      <c r="F716" s="1">
        <v>545737.50120656262</v>
      </c>
      <c r="G716" s="1">
        <v>682171.87650820322</v>
      </c>
      <c r="H716" s="1">
        <v>682171.87650820322</v>
      </c>
      <c r="I716" s="1">
        <v>682171.87650820322</v>
      </c>
      <c r="J716" s="1">
        <v>682171.87650820322</v>
      </c>
      <c r="K716" s="1">
        <v>682171.87650820322</v>
      </c>
      <c r="L716" s="1">
        <v>682171.87650820322</v>
      </c>
      <c r="M716" s="1">
        <v>415504.68841863284</v>
      </c>
      <c r="N716" s="1">
        <v>415504.68841863284</v>
      </c>
      <c r="O716" s="1">
        <v>346253.90701552737</v>
      </c>
      <c r="P716" s="1">
        <v>346253.90701552737</v>
      </c>
      <c r="Q716" s="1">
        <v>484755.46982173825</v>
      </c>
      <c r="R716" s="1">
        <v>484755.46982173825</v>
      </c>
      <c r="S716" s="1">
        <v>484755.46982173825</v>
      </c>
      <c r="T716" s="1">
        <v>484755.46982173825</v>
      </c>
      <c r="U716" s="1">
        <v>484755.46982173825</v>
      </c>
      <c r="V716" s="1">
        <v>484755.46982173825</v>
      </c>
      <c r="W716" s="4">
        <f t="shared" si="22"/>
        <v>4808278.135630548</v>
      </c>
      <c r="X716" s="4">
        <f t="shared" si="22"/>
        <v>4808278.135630548</v>
      </c>
      <c r="Y716" s="5">
        <f t="shared" si="23"/>
        <v>0.58150000000000013</v>
      </c>
    </row>
    <row r="717" spans="1:25" x14ac:dyDescent="0.25">
      <c r="A717" s="1" t="s">
        <v>111</v>
      </c>
      <c r="B717" s="1" t="s">
        <v>71</v>
      </c>
      <c r="C717" s="1" t="s">
        <v>29</v>
      </c>
      <c r="D717" s="1">
        <v>7028205.5711538428</v>
      </c>
      <c r="E717" s="1">
        <v>463861.56769615365</v>
      </c>
      <c r="F717" s="1">
        <v>463861.56769615365</v>
      </c>
      <c r="G717" s="1">
        <v>579826.95962019206</v>
      </c>
      <c r="H717" s="1">
        <v>579826.95962019206</v>
      </c>
      <c r="I717" s="1">
        <v>579826.95962019206</v>
      </c>
      <c r="J717" s="1">
        <v>579826.95962019206</v>
      </c>
      <c r="K717" s="1">
        <v>579826.95962019206</v>
      </c>
      <c r="L717" s="1">
        <v>579826.95962019206</v>
      </c>
      <c r="M717" s="1">
        <v>353167.32995048061</v>
      </c>
      <c r="N717" s="1">
        <v>353167.32995048061</v>
      </c>
      <c r="O717" s="1">
        <v>294306.10829206719</v>
      </c>
      <c r="P717" s="1">
        <v>294306.10829206719</v>
      </c>
      <c r="Q717" s="1">
        <v>412028.55160889402</v>
      </c>
      <c r="R717" s="1">
        <v>412028.55160889402</v>
      </c>
      <c r="S717" s="1">
        <v>412028.55160889402</v>
      </c>
      <c r="T717" s="1">
        <v>412028.55160889402</v>
      </c>
      <c r="U717" s="1">
        <v>412028.55160889402</v>
      </c>
      <c r="V717" s="1">
        <v>412028.55160889402</v>
      </c>
      <c r="W717" s="4">
        <f t="shared" si="22"/>
        <v>4086901.5396259599</v>
      </c>
      <c r="X717" s="4">
        <f t="shared" si="22"/>
        <v>4086901.5396259599</v>
      </c>
      <c r="Y717" s="5">
        <f t="shared" si="23"/>
        <v>0.58150000000000002</v>
      </c>
    </row>
    <row r="718" spans="1:25" x14ac:dyDescent="0.25">
      <c r="A718" s="1" t="s">
        <v>111</v>
      </c>
      <c r="B718" s="1" t="s">
        <v>72</v>
      </c>
      <c r="C718" s="1" t="s">
        <v>73</v>
      </c>
      <c r="D718" s="1">
        <v>6384063.3470905442</v>
      </c>
      <c r="E718" s="1">
        <v>421348.180907976</v>
      </c>
      <c r="F718" s="1">
        <v>421348.180907976</v>
      </c>
      <c r="G718" s="1">
        <v>526685.22613496997</v>
      </c>
      <c r="H718" s="1">
        <v>526685.22613496997</v>
      </c>
      <c r="I718" s="1">
        <v>526685.22613496997</v>
      </c>
      <c r="J718" s="1">
        <v>526685.22613496997</v>
      </c>
      <c r="K718" s="1">
        <v>526685.22613496997</v>
      </c>
      <c r="L718" s="1">
        <v>526685.22613496997</v>
      </c>
      <c r="M718" s="1">
        <v>320799.18319129985</v>
      </c>
      <c r="N718" s="1">
        <v>320799.18319129985</v>
      </c>
      <c r="O718" s="1">
        <v>267332.65265941655</v>
      </c>
      <c r="P718" s="1">
        <v>267332.65265941655</v>
      </c>
      <c r="Q718" s="1">
        <v>374265.71372318314</v>
      </c>
      <c r="R718" s="1">
        <v>374265.71372318314</v>
      </c>
      <c r="S718" s="1">
        <v>374265.71372318314</v>
      </c>
      <c r="T718" s="1">
        <v>374265.71372318314</v>
      </c>
      <c r="U718" s="1">
        <v>374265.71372318314</v>
      </c>
      <c r="V718" s="1">
        <v>374265.71372318314</v>
      </c>
      <c r="W718" s="4">
        <f t="shared" si="22"/>
        <v>3712332.8363331514</v>
      </c>
      <c r="X718" s="4">
        <f t="shared" si="22"/>
        <v>3712332.8363331514</v>
      </c>
      <c r="Y718" s="5">
        <f t="shared" si="23"/>
        <v>0.58150000000000002</v>
      </c>
    </row>
    <row r="719" spans="1:25" x14ac:dyDescent="0.25">
      <c r="A719" s="1" t="s">
        <v>111</v>
      </c>
      <c r="B719" s="1" t="s">
        <v>48</v>
      </c>
      <c r="C719" s="1" t="s">
        <v>49</v>
      </c>
      <c r="D719" s="1">
        <v>4663262.8905674908</v>
      </c>
      <c r="E719" s="1">
        <v>307775.35077745438</v>
      </c>
      <c r="F719" s="1">
        <v>307775.35077745438</v>
      </c>
      <c r="G719" s="1">
        <v>384719.18847181799</v>
      </c>
      <c r="H719" s="1">
        <v>384719.18847181799</v>
      </c>
      <c r="I719" s="1">
        <v>384719.18847181799</v>
      </c>
      <c r="J719" s="1">
        <v>384719.18847181799</v>
      </c>
      <c r="K719" s="1">
        <v>384719.18847181799</v>
      </c>
      <c r="L719" s="1">
        <v>384719.18847181799</v>
      </c>
      <c r="M719" s="1">
        <v>234328.9602510164</v>
      </c>
      <c r="N719" s="1">
        <v>234328.9602510164</v>
      </c>
      <c r="O719" s="1">
        <v>195274.13354251368</v>
      </c>
      <c r="P719" s="1">
        <v>195274.13354251368</v>
      </c>
      <c r="Q719" s="1">
        <v>273383.78695951914</v>
      </c>
      <c r="R719" s="1">
        <v>273383.78695951914</v>
      </c>
      <c r="S719" s="1">
        <v>273383.78695951914</v>
      </c>
      <c r="T719" s="1">
        <v>273383.78695951914</v>
      </c>
      <c r="U719" s="1">
        <v>273383.78695951914</v>
      </c>
      <c r="V719" s="1">
        <v>273383.78695951914</v>
      </c>
      <c r="W719" s="4">
        <f t="shared" si="22"/>
        <v>2711687.3708649953</v>
      </c>
      <c r="X719" s="4">
        <f t="shared" si="22"/>
        <v>2711687.3708649953</v>
      </c>
      <c r="Y719" s="5">
        <f t="shared" si="23"/>
        <v>0.58149999999999991</v>
      </c>
    </row>
    <row r="720" spans="1:25" x14ac:dyDescent="0.25">
      <c r="A720" s="1" t="s">
        <v>111</v>
      </c>
      <c r="B720" s="1" t="s">
        <v>53</v>
      </c>
      <c r="C720" s="1" t="s">
        <v>30</v>
      </c>
      <c r="D720" s="1">
        <v>3286014.9262045384</v>
      </c>
      <c r="E720" s="1">
        <v>216876.98512949955</v>
      </c>
      <c r="F720" s="1">
        <v>216876.98512949955</v>
      </c>
      <c r="G720" s="1">
        <v>271096.23141187441</v>
      </c>
      <c r="H720" s="1">
        <v>271096.23141187441</v>
      </c>
      <c r="I720" s="1">
        <v>271096.23141187441</v>
      </c>
      <c r="J720" s="1">
        <v>271096.23141187441</v>
      </c>
      <c r="K720" s="1">
        <v>271096.23141187441</v>
      </c>
      <c r="L720" s="1">
        <v>271096.23141187441</v>
      </c>
      <c r="M720" s="1">
        <v>165122.25004177805</v>
      </c>
      <c r="N720" s="1">
        <v>165122.25004177805</v>
      </c>
      <c r="O720" s="1">
        <v>137601.87503481505</v>
      </c>
      <c r="P720" s="1">
        <v>137601.87503481505</v>
      </c>
      <c r="Q720" s="1">
        <v>192642.62504874106</v>
      </c>
      <c r="R720" s="1">
        <v>192642.62504874106</v>
      </c>
      <c r="S720" s="1">
        <v>192642.62504874106</v>
      </c>
      <c r="T720" s="1">
        <v>192642.62504874106</v>
      </c>
      <c r="U720" s="1">
        <v>192642.62504874106</v>
      </c>
      <c r="V720" s="1">
        <v>192642.62504874106</v>
      </c>
      <c r="W720" s="4">
        <f t="shared" si="22"/>
        <v>1910817.6795879391</v>
      </c>
      <c r="X720" s="4">
        <f t="shared" si="22"/>
        <v>1910817.6795879391</v>
      </c>
      <c r="Y720" s="5">
        <f t="shared" si="23"/>
        <v>0.58150000000000002</v>
      </c>
    </row>
    <row r="721" spans="1:25" x14ac:dyDescent="0.25">
      <c r="A721" s="1" t="s">
        <v>111</v>
      </c>
      <c r="B721" s="1" t="s">
        <v>74</v>
      </c>
      <c r="C721" s="1" t="s">
        <v>75</v>
      </c>
      <c r="D721" s="1">
        <v>5940301.0640891325</v>
      </c>
      <c r="E721" s="1">
        <v>392059.87022988277</v>
      </c>
      <c r="F721" s="1">
        <v>392059.87022988277</v>
      </c>
      <c r="G721" s="1">
        <v>490074.83778735343</v>
      </c>
      <c r="H721" s="1">
        <v>490074.83778735343</v>
      </c>
      <c r="I721" s="1">
        <v>490074.83778735343</v>
      </c>
      <c r="J721" s="1">
        <v>490074.83778735343</v>
      </c>
      <c r="K721" s="1">
        <v>490074.83778735343</v>
      </c>
      <c r="L721" s="1">
        <v>490074.83778735343</v>
      </c>
      <c r="M721" s="1">
        <v>298500.12847047887</v>
      </c>
      <c r="N721" s="1">
        <v>298500.12847047887</v>
      </c>
      <c r="O721" s="1">
        <v>248750.10705873242</v>
      </c>
      <c r="P721" s="1">
        <v>248750.10705873242</v>
      </c>
      <c r="Q721" s="1">
        <v>348250.14988222538</v>
      </c>
      <c r="R721" s="1">
        <v>348250.14988222538</v>
      </c>
      <c r="S721" s="1">
        <v>348250.14988222538</v>
      </c>
      <c r="T721" s="1">
        <v>348250.14988222538</v>
      </c>
      <c r="U721" s="1">
        <v>348250.14988222538</v>
      </c>
      <c r="V721" s="1">
        <v>348250.14988222538</v>
      </c>
      <c r="W721" s="4">
        <f t="shared" si="22"/>
        <v>3454285.0687678303</v>
      </c>
      <c r="X721" s="4">
        <f t="shared" si="22"/>
        <v>3454285.0687678303</v>
      </c>
      <c r="Y721" s="5">
        <f t="shared" si="23"/>
        <v>0.58149999999999991</v>
      </c>
    </row>
    <row r="722" spans="1:25" x14ac:dyDescent="0.25">
      <c r="A722" s="1" t="s">
        <v>111</v>
      </c>
      <c r="B722" s="1" t="s">
        <v>50</v>
      </c>
      <c r="C722" s="1" t="s">
        <v>25</v>
      </c>
      <c r="D722" s="1">
        <v>4896426.035095864</v>
      </c>
      <c r="E722" s="1">
        <v>323164.11831632705</v>
      </c>
      <c r="F722" s="1">
        <v>323164.11831632705</v>
      </c>
      <c r="G722" s="1">
        <v>403955.14789540879</v>
      </c>
      <c r="H722" s="1">
        <v>403955.14789540879</v>
      </c>
      <c r="I722" s="1">
        <v>403955.14789540879</v>
      </c>
      <c r="J722" s="1">
        <v>403955.14789540879</v>
      </c>
      <c r="K722" s="1">
        <v>403955.14789540879</v>
      </c>
      <c r="L722" s="1">
        <v>403955.14789540879</v>
      </c>
      <c r="M722" s="1">
        <v>246045.40826356714</v>
      </c>
      <c r="N722" s="1">
        <v>246045.40826356714</v>
      </c>
      <c r="O722" s="1">
        <v>205037.8402196393</v>
      </c>
      <c r="P722" s="1">
        <v>205037.8402196393</v>
      </c>
      <c r="Q722" s="1">
        <v>287052.97630749497</v>
      </c>
      <c r="R722" s="1">
        <v>287052.97630749497</v>
      </c>
      <c r="S722" s="1">
        <v>287052.97630749497</v>
      </c>
      <c r="T722" s="1">
        <v>287052.97630749497</v>
      </c>
      <c r="U722" s="1">
        <v>287052.97630749497</v>
      </c>
      <c r="V722" s="1">
        <v>287052.97630749497</v>
      </c>
      <c r="W722" s="4">
        <f t="shared" ref="W722:X771" si="24">U722+S722+Q722+O722+M722+K722+I722+G722+E722</f>
        <v>2847271.7394082448</v>
      </c>
      <c r="X722" s="4">
        <f t="shared" si="24"/>
        <v>2847271.7394082448</v>
      </c>
      <c r="Y722" s="5">
        <f t="shared" si="23"/>
        <v>0.58150000000000002</v>
      </c>
    </row>
    <row r="723" spans="1:25" x14ac:dyDescent="0.25">
      <c r="A723" s="1" t="s">
        <v>112</v>
      </c>
      <c r="B723" s="1" t="s">
        <v>59</v>
      </c>
      <c r="C723" s="1" t="s">
        <v>26</v>
      </c>
      <c r="D723" s="1">
        <v>41633620</v>
      </c>
      <c r="E723" s="1">
        <v>4010781.2358717755</v>
      </c>
      <c r="F723" s="1">
        <v>4010781.2358717755</v>
      </c>
      <c r="G723" s="1">
        <v>5013476.5448397193</v>
      </c>
      <c r="H723" s="1">
        <v>5013476.5448397193</v>
      </c>
      <c r="I723" s="1">
        <v>5013476.5448397193</v>
      </c>
      <c r="J723" s="1">
        <v>5013476.5448397193</v>
      </c>
      <c r="K723" s="1">
        <v>5013476.5448397193</v>
      </c>
      <c r="L723" s="1">
        <v>5013476.5448397193</v>
      </c>
      <c r="M723" s="1">
        <v>2697464.2275801413</v>
      </c>
      <c r="N723" s="1">
        <v>2697464.2275801413</v>
      </c>
      <c r="O723" s="1">
        <v>2697464.2275801413</v>
      </c>
      <c r="P723" s="1">
        <v>2697464.2275801413</v>
      </c>
      <c r="Q723" s="1">
        <v>2697464.2275801413</v>
      </c>
      <c r="R723" s="1">
        <v>2697464.2275801413</v>
      </c>
      <c r="S723" s="1">
        <v>2697464.2275801413</v>
      </c>
      <c r="T723" s="1">
        <v>2697464.2275801413</v>
      </c>
      <c r="U723" s="1">
        <v>2697464.2275801413</v>
      </c>
      <c r="V723" s="1">
        <v>2697464.2275801413</v>
      </c>
      <c r="W723" s="4">
        <f t="shared" si="24"/>
        <v>32538532.008291639</v>
      </c>
      <c r="X723" s="4">
        <f t="shared" si="24"/>
        <v>32538532.008291639</v>
      </c>
      <c r="Y723" s="5">
        <f t="shared" si="23"/>
        <v>0.78154462687346526</v>
      </c>
    </row>
    <row r="724" spans="1:25" x14ac:dyDescent="0.25">
      <c r="A724" s="1" t="s">
        <v>112</v>
      </c>
      <c r="B724" s="1" t="s">
        <v>59</v>
      </c>
      <c r="C724" s="1" t="s">
        <v>26</v>
      </c>
      <c r="D724" s="1">
        <v>19135793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9567896.5</v>
      </c>
      <c r="N724" s="1">
        <v>9567896.5</v>
      </c>
      <c r="O724" s="1">
        <v>9567896.5</v>
      </c>
      <c r="P724" s="1">
        <v>9567896.5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4">
        <f t="shared" si="24"/>
        <v>19135793</v>
      </c>
      <c r="X724" s="4">
        <f t="shared" si="24"/>
        <v>19135793</v>
      </c>
      <c r="Y724" s="5">
        <f t="shared" si="23"/>
        <v>1</v>
      </c>
    </row>
    <row r="725" spans="1:25" x14ac:dyDescent="0.25">
      <c r="A725" s="1" t="s">
        <v>112</v>
      </c>
      <c r="B725" s="1" t="s">
        <v>33</v>
      </c>
      <c r="C725" s="1" t="s">
        <v>34</v>
      </c>
      <c r="D725" s="1">
        <v>84000000</v>
      </c>
      <c r="E725" s="1">
        <v>0</v>
      </c>
      <c r="F725" s="1">
        <v>0</v>
      </c>
      <c r="G725" s="1">
        <v>16800000</v>
      </c>
      <c r="H725" s="1">
        <v>16800000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25200000</v>
      </c>
      <c r="P725" s="1">
        <v>25200000</v>
      </c>
      <c r="Q725" s="1">
        <v>0</v>
      </c>
      <c r="R725" s="1">
        <v>0</v>
      </c>
      <c r="S725" s="1">
        <v>25200000</v>
      </c>
      <c r="T725" s="1">
        <v>25200000</v>
      </c>
      <c r="U725" s="1">
        <v>16800000</v>
      </c>
      <c r="V725" s="1">
        <v>16800000</v>
      </c>
      <c r="W725" s="4">
        <f t="shared" si="24"/>
        <v>84000000</v>
      </c>
      <c r="X725" s="4">
        <f t="shared" si="24"/>
        <v>84000000</v>
      </c>
      <c r="Y725" s="5">
        <f t="shared" si="23"/>
        <v>1</v>
      </c>
    </row>
    <row r="726" spans="1:25" x14ac:dyDescent="0.25">
      <c r="A726" s="1" t="s">
        <v>112</v>
      </c>
      <c r="B726" s="1" t="s">
        <v>35</v>
      </c>
      <c r="C726" s="1" t="s">
        <v>34</v>
      </c>
      <c r="D726" s="1">
        <v>209999999.99999997</v>
      </c>
      <c r="E726" s="1">
        <v>0</v>
      </c>
      <c r="F726" s="1">
        <v>0</v>
      </c>
      <c r="G726" s="1">
        <v>57750000</v>
      </c>
      <c r="H726" s="1">
        <v>57750000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50749999.999999993</v>
      </c>
      <c r="P726" s="1">
        <v>50749999.999999993</v>
      </c>
      <c r="Q726" s="1">
        <v>0</v>
      </c>
      <c r="R726" s="1">
        <v>0</v>
      </c>
      <c r="S726" s="1">
        <v>50749999.999999993</v>
      </c>
      <c r="T726" s="1">
        <v>50749999.999999993</v>
      </c>
      <c r="U726" s="1">
        <v>50749999.999999993</v>
      </c>
      <c r="V726" s="1">
        <v>50749999.999999993</v>
      </c>
      <c r="W726" s="4">
        <f t="shared" si="24"/>
        <v>209999999.99999997</v>
      </c>
      <c r="X726" s="4">
        <f t="shared" si="24"/>
        <v>209999999.99999997</v>
      </c>
      <c r="Y726" s="5">
        <f t="shared" si="23"/>
        <v>1</v>
      </c>
    </row>
    <row r="727" spans="1:25" x14ac:dyDescent="0.25">
      <c r="A727" s="1" t="s">
        <v>112</v>
      </c>
      <c r="B727" s="1" t="s">
        <v>38</v>
      </c>
      <c r="C727" s="1" t="s">
        <v>39</v>
      </c>
      <c r="D727" s="1">
        <v>8473313.204760395</v>
      </c>
      <c r="E727" s="1">
        <v>559238.67151418608</v>
      </c>
      <c r="F727" s="1">
        <v>559238.67151418608</v>
      </c>
      <c r="G727" s="1">
        <v>699048.3393927326</v>
      </c>
      <c r="H727" s="1">
        <v>699048.3393927326</v>
      </c>
      <c r="I727" s="1">
        <v>699048.3393927326</v>
      </c>
      <c r="J727" s="1">
        <v>699048.3393927326</v>
      </c>
      <c r="K727" s="1">
        <v>699048.3393927326</v>
      </c>
      <c r="L727" s="1">
        <v>699048.3393927326</v>
      </c>
      <c r="M727" s="1">
        <v>425783.98853920976</v>
      </c>
      <c r="N727" s="1">
        <v>425783.98853920976</v>
      </c>
      <c r="O727" s="1">
        <v>354819.99044934148</v>
      </c>
      <c r="P727" s="1">
        <v>354819.99044934148</v>
      </c>
      <c r="Q727" s="1">
        <v>496747.98662907805</v>
      </c>
      <c r="R727" s="1">
        <v>496747.98662907805</v>
      </c>
      <c r="S727" s="1">
        <v>496747.98662907805</v>
      </c>
      <c r="T727" s="1">
        <v>496747.98662907805</v>
      </c>
      <c r="U727" s="1">
        <v>496747.98662907805</v>
      </c>
      <c r="V727" s="1">
        <v>496747.98662907805</v>
      </c>
      <c r="W727" s="4">
        <f t="shared" si="24"/>
        <v>4927231.6285681697</v>
      </c>
      <c r="X727" s="4">
        <f t="shared" si="24"/>
        <v>4927231.6285681697</v>
      </c>
      <c r="Y727" s="5">
        <f t="shared" si="23"/>
        <v>0.58150000000000002</v>
      </c>
    </row>
    <row r="728" spans="1:25" x14ac:dyDescent="0.25">
      <c r="A728" s="1" t="s">
        <v>112</v>
      </c>
      <c r="B728" s="1" t="s">
        <v>61</v>
      </c>
      <c r="C728" s="1" t="s">
        <v>34</v>
      </c>
      <c r="D728" s="1">
        <v>124600117.07462201</v>
      </c>
      <c r="E728" s="1">
        <v>0</v>
      </c>
      <c r="F728" s="1">
        <v>0</v>
      </c>
      <c r="G728" s="1">
        <v>9968009.3648343831</v>
      </c>
      <c r="H728" s="1">
        <v>9968009.3648343831</v>
      </c>
      <c r="I728" s="1">
        <v>0</v>
      </c>
      <c r="J728" s="1">
        <v>0</v>
      </c>
      <c r="K728" s="1">
        <v>0</v>
      </c>
      <c r="L728" s="1">
        <v>0</v>
      </c>
      <c r="M728" s="1">
        <v>28658026.927446906</v>
      </c>
      <c r="N728" s="1">
        <v>28658026.927446906</v>
      </c>
      <c r="O728" s="1">
        <v>0</v>
      </c>
      <c r="P728" s="1">
        <v>0</v>
      </c>
      <c r="Q728" s="1">
        <v>0</v>
      </c>
      <c r="R728" s="1">
        <v>0</v>
      </c>
      <c r="S728" s="1">
        <v>42987040.39117036</v>
      </c>
      <c r="T728" s="1">
        <v>42987040.39117036</v>
      </c>
      <c r="U728" s="1">
        <v>0</v>
      </c>
      <c r="V728" s="1">
        <v>0</v>
      </c>
      <c r="W728" s="4">
        <f t="shared" si="24"/>
        <v>81613076.683451653</v>
      </c>
      <c r="X728" s="4">
        <f t="shared" si="24"/>
        <v>81613076.683451653</v>
      </c>
      <c r="Y728" s="5">
        <f t="shared" si="23"/>
        <v>0.65499999999658298</v>
      </c>
    </row>
    <row r="729" spans="1:25" x14ac:dyDescent="0.25">
      <c r="A729" s="1" t="s">
        <v>112</v>
      </c>
      <c r="B729" s="1" t="s">
        <v>62</v>
      </c>
      <c r="C729" s="1" t="s">
        <v>63</v>
      </c>
      <c r="D729" s="1">
        <v>33142857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2485714.2857142854</v>
      </c>
      <c r="N729" s="1">
        <v>2485714.2857142854</v>
      </c>
      <c r="O729" s="1">
        <v>2071428.5714285714</v>
      </c>
      <c r="P729" s="1">
        <v>2071428.5714285714</v>
      </c>
      <c r="Q729" s="1">
        <v>2899999.9999999995</v>
      </c>
      <c r="R729" s="1">
        <v>2899999.9999999995</v>
      </c>
      <c r="S729" s="1">
        <v>2899999.9999999995</v>
      </c>
      <c r="T729" s="1">
        <v>2899999.9999999995</v>
      </c>
      <c r="U729" s="1">
        <v>2899999.9999999995</v>
      </c>
      <c r="V729" s="1">
        <v>2899999.9999999995</v>
      </c>
      <c r="W729" s="4">
        <f t="shared" si="24"/>
        <v>13257142.857142854</v>
      </c>
      <c r="X729" s="4">
        <f t="shared" si="24"/>
        <v>13257142.857142854</v>
      </c>
      <c r="Y729" s="5">
        <f t="shared" si="23"/>
        <v>0.40000000172413785</v>
      </c>
    </row>
    <row r="730" spans="1:25" x14ac:dyDescent="0.25">
      <c r="A730" s="1" t="s">
        <v>112</v>
      </c>
      <c r="B730" s="1" t="s">
        <v>40</v>
      </c>
      <c r="C730" s="1" t="s">
        <v>27</v>
      </c>
      <c r="D730" s="1">
        <v>132256798</v>
      </c>
      <c r="E730" s="1">
        <v>15681347</v>
      </c>
      <c r="F730" s="1">
        <v>15681347</v>
      </c>
      <c r="G730" s="1">
        <v>20298879</v>
      </c>
      <c r="H730" s="1">
        <v>20298879</v>
      </c>
      <c r="I730" s="1">
        <v>7049834</v>
      </c>
      <c r="J730" s="1">
        <v>7049834</v>
      </c>
      <c r="K730" s="1">
        <v>13919221</v>
      </c>
      <c r="L730" s="1">
        <v>13919221</v>
      </c>
      <c r="M730" s="1">
        <v>11250000</v>
      </c>
      <c r="N730" s="1">
        <v>11250000</v>
      </c>
      <c r="O730" s="1">
        <v>27204749</v>
      </c>
      <c r="P730" s="1">
        <v>27204749</v>
      </c>
      <c r="Q730" s="1">
        <v>6228891</v>
      </c>
      <c r="R730" s="1">
        <v>6228891</v>
      </c>
      <c r="S730" s="1">
        <v>12900534</v>
      </c>
      <c r="T730" s="1">
        <v>12900534</v>
      </c>
      <c r="U730" s="1">
        <v>5111534</v>
      </c>
      <c r="V730" s="1">
        <v>5111534</v>
      </c>
      <c r="W730" s="4">
        <f t="shared" si="24"/>
        <v>119644989</v>
      </c>
      <c r="X730" s="4">
        <f t="shared" si="24"/>
        <v>119644989</v>
      </c>
      <c r="Y730" s="5">
        <f t="shared" si="23"/>
        <v>0.90464150659386144</v>
      </c>
    </row>
    <row r="731" spans="1:25" x14ac:dyDescent="0.25">
      <c r="A731" s="1" t="s">
        <v>112</v>
      </c>
      <c r="B731" s="1" t="s">
        <v>40</v>
      </c>
      <c r="C731" s="1" t="s">
        <v>27</v>
      </c>
      <c r="D731" s="1">
        <v>172377755</v>
      </c>
      <c r="E731" s="1">
        <v>0</v>
      </c>
      <c r="F731" s="1">
        <v>0</v>
      </c>
      <c r="G731" s="1">
        <v>42516224</v>
      </c>
      <c r="H731" s="1">
        <v>42516224</v>
      </c>
      <c r="I731" s="1">
        <v>0</v>
      </c>
      <c r="J731" s="1">
        <v>0</v>
      </c>
      <c r="K731" s="1">
        <v>0</v>
      </c>
      <c r="L731" s="1">
        <v>0</v>
      </c>
      <c r="M731" s="1">
        <v>48698074.125</v>
      </c>
      <c r="N731" s="1">
        <v>48698074.125</v>
      </c>
      <c r="O731" s="1">
        <v>32465382.75</v>
      </c>
      <c r="P731" s="1">
        <v>32465382.75</v>
      </c>
      <c r="Q731" s="1">
        <v>48698074.125</v>
      </c>
      <c r="R731" s="1">
        <v>48698074.125</v>
      </c>
      <c r="S731" s="1">
        <v>0</v>
      </c>
      <c r="T731" s="1">
        <v>0</v>
      </c>
      <c r="U731" s="1">
        <v>0</v>
      </c>
      <c r="V731" s="1">
        <v>0</v>
      </c>
      <c r="W731" s="4">
        <f t="shared" si="24"/>
        <v>172377755</v>
      </c>
      <c r="X731" s="4">
        <f t="shared" si="24"/>
        <v>172377755</v>
      </c>
      <c r="Y731" s="5">
        <f t="shared" si="23"/>
        <v>1</v>
      </c>
    </row>
    <row r="732" spans="1:25" x14ac:dyDescent="0.25">
      <c r="A732" s="1" t="s">
        <v>112</v>
      </c>
      <c r="B732" s="1" t="s">
        <v>40</v>
      </c>
      <c r="C732" s="1" t="s">
        <v>27</v>
      </c>
      <c r="D732" s="1">
        <v>45139967</v>
      </c>
      <c r="E732" s="1">
        <v>15960086.66314508</v>
      </c>
      <c r="F732" s="1">
        <v>15960086.66314508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10942455.126320595</v>
      </c>
      <c r="N732" s="1">
        <v>10942455.126320595</v>
      </c>
      <c r="O732" s="1">
        <v>7294970.0842137299</v>
      </c>
      <c r="P732" s="1">
        <v>7294970.0842137299</v>
      </c>
      <c r="Q732" s="1">
        <v>10942455.126320595</v>
      </c>
      <c r="R732" s="1">
        <v>10942455.126320595</v>
      </c>
      <c r="S732" s="1">
        <v>0</v>
      </c>
      <c r="T732" s="1">
        <v>0</v>
      </c>
      <c r="U732" s="1">
        <v>0</v>
      </c>
      <c r="V732" s="1">
        <v>0</v>
      </c>
      <c r="W732" s="4">
        <f t="shared" si="24"/>
        <v>45139967</v>
      </c>
      <c r="X732" s="4">
        <f t="shared" si="24"/>
        <v>45139967</v>
      </c>
      <c r="Y732" s="5">
        <f t="shared" si="23"/>
        <v>1</v>
      </c>
    </row>
    <row r="733" spans="1:25" x14ac:dyDescent="0.25">
      <c r="A733" s="1" t="s">
        <v>112</v>
      </c>
      <c r="B733" s="1" t="s">
        <v>43</v>
      </c>
      <c r="C733" s="1" t="s">
        <v>31</v>
      </c>
      <c r="D733" s="1">
        <v>3302932</v>
      </c>
      <c r="E733" s="1">
        <v>191862.06192424177</v>
      </c>
      <c r="F733" s="1">
        <v>191862.06192424177</v>
      </c>
      <c r="G733" s="1">
        <v>239827.5774053022</v>
      </c>
      <c r="H733" s="1">
        <v>239827.5774053022</v>
      </c>
      <c r="I733" s="1">
        <v>239827.5774053022</v>
      </c>
      <c r="J733" s="1">
        <v>239827.5774053022</v>
      </c>
      <c r="K733" s="1">
        <v>239827.5774053022</v>
      </c>
      <c r="L733" s="1">
        <v>239827.5774053022</v>
      </c>
      <c r="M733" s="1">
        <v>178329.68873738256</v>
      </c>
      <c r="N733" s="1">
        <v>178329.68873738256</v>
      </c>
      <c r="O733" s="1">
        <v>148608.0739478188</v>
      </c>
      <c r="P733" s="1">
        <v>148608.0739478188</v>
      </c>
      <c r="Q733" s="1">
        <v>184176.05857652889</v>
      </c>
      <c r="R733" s="1">
        <v>184176.05857652889</v>
      </c>
      <c r="S733" s="1">
        <v>208051.30352694631</v>
      </c>
      <c r="T733" s="1">
        <v>208051.30352694631</v>
      </c>
      <c r="U733" s="1">
        <v>208051.30352694631</v>
      </c>
      <c r="V733" s="1">
        <v>208051.30352694631</v>
      </c>
      <c r="W733" s="4">
        <f t="shared" si="24"/>
        <v>1838561.2224557714</v>
      </c>
      <c r="X733" s="4">
        <f t="shared" si="24"/>
        <v>1838561.2224557714</v>
      </c>
      <c r="Y733" s="5">
        <f t="shared" si="23"/>
        <v>0.5566451935600768</v>
      </c>
    </row>
    <row r="734" spans="1:25" x14ac:dyDescent="0.25">
      <c r="A734" s="1" t="s">
        <v>112</v>
      </c>
      <c r="B734" s="1" t="s">
        <v>64</v>
      </c>
      <c r="C734" s="1" t="s">
        <v>23</v>
      </c>
      <c r="D734" s="1">
        <v>5433264.3128844006</v>
      </c>
      <c r="E734" s="1">
        <v>358595.44465037045</v>
      </c>
      <c r="F734" s="1">
        <v>358595.44465037045</v>
      </c>
      <c r="G734" s="1">
        <v>448244.30581296305</v>
      </c>
      <c r="H734" s="1">
        <v>448244.30581296305</v>
      </c>
      <c r="I734" s="1">
        <v>448244.30581296305</v>
      </c>
      <c r="J734" s="1">
        <v>448244.30581296305</v>
      </c>
      <c r="K734" s="1">
        <v>448244.30581296305</v>
      </c>
      <c r="L734" s="1">
        <v>448244.30581296305</v>
      </c>
      <c r="M734" s="1">
        <v>273021.53172244114</v>
      </c>
      <c r="N734" s="1">
        <v>273021.53172244114</v>
      </c>
      <c r="O734" s="1">
        <v>227517.94310203427</v>
      </c>
      <c r="P734" s="1">
        <v>227517.94310203427</v>
      </c>
      <c r="Q734" s="1">
        <v>318525.12034284795</v>
      </c>
      <c r="R734" s="1">
        <v>318525.12034284795</v>
      </c>
      <c r="S734" s="1">
        <v>318525.12034284795</v>
      </c>
      <c r="T734" s="1">
        <v>318525.12034284795</v>
      </c>
      <c r="U734" s="1">
        <v>318525.12034284795</v>
      </c>
      <c r="V734" s="1">
        <v>318525.12034284795</v>
      </c>
      <c r="W734" s="4">
        <f t="shared" si="24"/>
        <v>3159443.1979422793</v>
      </c>
      <c r="X734" s="4">
        <f t="shared" si="24"/>
        <v>3159443.1979422793</v>
      </c>
      <c r="Y734" s="5">
        <f t="shared" si="23"/>
        <v>0.58150000000000002</v>
      </c>
    </row>
    <row r="735" spans="1:25" x14ac:dyDescent="0.25">
      <c r="A735" s="1" t="s">
        <v>112</v>
      </c>
      <c r="B735" s="1" t="s">
        <v>65</v>
      </c>
      <c r="C735" s="1" t="s">
        <v>31</v>
      </c>
      <c r="D735" s="1">
        <v>4837207.2748463489</v>
      </c>
      <c r="E735" s="1">
        <v>319255.68013985903</v>
      </c>
      <c r="F735" s="1">
        <v>319255.68013985903</v>
      </c>
      <c r="G735" s="1">
        <v>399069.60017482378</v>
      </c>
      <c r="H735" s="1">
        <v>399069.60017482378</v>
      </c>
      <c r="I735" s="1">
        <v>399069.60017482378</v>
      </c>
      <c r="J735" s="1">
        <v>399069.60017482378</v>
      </c>
      <c r="K735" s="1">
        <v>399069.60017482378</v>
      </c>
      <c r="L735" s="1">
        <v>399069.60017482378</v>
      </c>
      <c r="M735" s="1">
        <v>243069.66556102902</v>
      </c>
      <c r="N735" s="1">
        <v>243069.66556102902</v>
      </c>
      <c r="O735" s="1">
        <v>202558.05463419086</v>
      </c>
      <c r="P735" s="1">
        <v>202558.05463419086</v>
      </c>
      <c r="Q735" s="1">
        <v>283581.27648786717</v>
      </c>
      <c r="R735" s="1">
        <v>283581.27648786717</v>
      </c>
      <c r="S735" s="1">
        <v>283581.27648786717</v>
      </c>
      <c r="T735" s="1">
        <v>283581.27648786717</v>
      </c>
      <c r="U735" s="1">
        <v>283581.27648786717</v>
      </c>
      <c r="V735" s="1">
        <v>283581.27648786717</v>
      </c>
      <c r="W735" s="4">
        <f t="shared" si="24"/>
        <v>2812836.030323152</v>
      </c>
      <c r="X735" s="4">
        <f t="shared" si="24"/>
        <v>2812836.030323152</v>
      </c>
      <c r="Y735" s="5">
        <f t="shared" si="23"/>
        <v>0.58150000000000002</v>
      </c>
    </row>
    <row r="736" spans="1:25" x14ac:dyDescent="0.25">
      <c r="A736" s="1" t="s">
        <v>112</v>
      </c>
      <c r="B736" s="1" t="s">
        <v>44</v>
      </c>
      <c r="C736" s="1" t="s">
        <v>45</v>
      </c>
      <c r="D736" s="1">
        <v>8473313.204760395</v>
      </c>
      <c r="E736" s="1">
        <v>559238.67151418608</v>
      </c>
      <c r="F736" s="1">
        <v>559238.67151418608</v>
      </c>
      <c r="G736" s="1">
        <v>699048.3393927326</v>
      </c>
      <c r="H736" s="1">
        <v>699048.3393927326</v>
      </c>
      <c r="I736" s="1">
        <v>699048.3393927326</v>
      </c>
      <c r="J736" s="1">
        <v>699048.3393927326</v>
      </c>
      <c r="K736" s="1">
        <v>699048.3393927326</v>
      </c>
      <c r="L736" s="1">
        <v>699048.3393927326</v>
      </c>
      <c r="M736" s="1">
        <v>425783.98853920976</v>
      </c>
      <c r="N736" s="1">
        <v>425783.98853920976</v>
      </c>
      <c r="O736" s="1">
        <v>354819.99044934148</v>
      </c>
      <c r="P736" s="1">
        <v>354819.99044934148</v>
      </c>
      <c r="Q736" s="1">
        <v>496747.98662907805</v>
      </c>
      <c r="R736" s="1">
        <v>496747.98662907805</v>
      </c>
      <c r="S736" s="1">
        <v>496747.98662907805</v>
      </c>
      <c r="T736" s="1">
        <v>496747.98662907805</v>
      </c>
      <c r="U736" s="1">
        <v>496747.98662907805</v>
      </c>
      <c r="V736" s="1">
        <v>496747.98662907805</v>
      </c>
      <c r="W736" s="4">
        <f t="shared" si="24"/>
        <v>4927231.6285681697</v>
      </c>
      <c r="X736" s="4">
        <f t="shared" si="24"/>
        <v>4927231.6285681697</v>
      </c>
      <c r="Y736" s="5">
        <f t="shared" si="23"/>
        <v>0.58150000000000002</v>
      </c>
    </row>
    <row r="737" spans="1:25" x14ac:dyDescent="0.25">
      <c r="A737" s="1" t="s">
        <v>112</v>
      </c>
      <c r="B737" s="1" t="s">
        <v>46</v>
      </c>
      <c r="C737" s="1" t="s">
        <v>22</v>
      </c>
      <c r="D737" s="1">
        <v>110036567.40975825</v>
      </c>
      <c r="E737" s="1">
        <v>7269216.3506041169</v>
      </c>
      <c r="F737" s="1">
        <v>7269216.3506041169</v>
      </c>
      <c r="G737" s="1">
        <v>9086520.4382551461</v>
      </c>
      <c r="H737" s="1">
        <v>9086520.4382551461</v>
      </c>
      <c r="I737" s="1">
        <v>9086520.4382551461</v>
      </c>
      <c r="J737" s="1">
        <v>9086520.4382551461</v>
      </c>
      <c r="K737" s="1">
        <v>9086520.4382551461</v>
      </c>
      <c r="L737" s="1">
        <v>9086520.4382551461</v>
      </c>
      <c r="M737" s="1">
        <v>5701492.8242805954</v>
      </c>
      <c r="N737" s="1">
        <v>5701492.8242805954</v>
      </c>
      <c r="O737" s="1">
        <v>4636394.0691438103</v>
      </c>
      <c r="P737" s="1">
        <v>4636394.0691438103</v>
      </c>
      <c r="Q737" s="1">
        <v>6418799.7710883534</v>
      </c>
      <c r="R737" s="1">
        <v>6418799.7710883534</v>
      </c>
      <c r="S737" s="1">
        <v>6418799.7710883534</v>
      </c>
      <c r="T737" s="1">
        <v>6418799.7710883534</v>
      </c>
      <c r="U737" s="1">
        <v>6418799.7710883534</v>
      </c>
      <c r="V737" s="1">
        <v>26418799.771088354</v>
      </c>
      <c r="W737" s="4">
        <f t="shared" si="24"/>
        <v>64123063.872059017</v>
      </c>
      <c r="X737" s="4">
        <f t="shared" si="24"/>
        <v>84123063.872059032</v>
      </c>
      <c r="Y737" s="5">
        <f t="shared" si="23"/>
        <v>0.76450098228526564</v>
      </c>
    </row>
    <row r="738" spans="1:25" x14ac:dyDescent="0.25">
      <c r="A738" s="1" t="s">
        <v>112</v>
      </c>
      <c r="B738" s="1" t="s">
        <v>66</v>
      </c>
      <c r="C738" s="1" t="s">
        <v>24</v>
      </c>
      <c r="D738" s="1">
        <v>396960653.14306641</v>
      </c>
      <c r="E738" s="1">
        <v>32749253.884302981</v>
      </c>
      <c r="F738" s="1">
        <v>32749253.884302981</v>
      </c>
      <c r="G738" s="1">
        <v>32749253.884302981</v>
      </c>
      <c r="H738" s="1">
        <v>32749253.884302981</v>
      </c>
      <c r="I738" s="1">
        <v>32749253.884302981</v>
      </c>
      <c r="J738" s="1">
        <v>32749253.884302981</v>
      </c>
      <c r="K738" s="1">
        <v>32749253.884302981</v>
      </c>
      <c r="L738" s="1">
        <v>32749253.884302981</v>
      </c>
      <c r="M738" s="1">
        <v>36023674.462788075</v>
      </c>
      <c r="N738" s="1">
        <v>36023674.462788075</v>
      </c>
      <c r="O738" s="1">
        <v>32784058</v>
      </c>
      <c r="P738" s="1">
        <v>32784058</v>
      </c>
      <c r="Q738" s="1">
        <v>33284058</v>
      </c>
      <c r="R738" s="1">
        <v>33284058</v>
      </c>
      <c r="S738" s="1">
        <v>32784058</v>
      </c>
      <c r="T738" s="1">
        <v>32784058</v>
      </c>
      <c r="U738" s="1">
        <v>32784058</v>
      </c>
      <c r="V738" s="1">
        <v>32784058</v>
      </c>
      <c r="W738" s="4">
        <f t="shared" si="24"/>
        <v>298656922</v>
      </c>
      <c r="X738" s="4">
        <f t="shared" si="24"/>
        <v>298656922</v>
      </c>
      <c r="Y738" s="5">
        <f t="shared" si="23"/>
        <v>0.75235900494239338</v>
      </c>
    </row>
    <row r="739" spans="1:25" x14ac:dyDescent="0.25">
      <c r="A739" s="1" t="s">
        <v>112</v>
      </c>
      <c r="B739" s="1" t="s">
        <v>67</v>
      </c>
      <c r="C739" s="1" t="s">
        <v>68</v>
      </c>
      <c r="D739" s="1">
        <v>5916730.9033732815</v>
      </c>
      <c r="E739" s="1">
        <v>390504.23962263664</v>
      </c>
      <c r="F739" s="1">
        <v>390504.23962263664</v>
      </c>
      <c r="G739" s="1">
        <v>488130.29952829576</v>
      </c>
      <c r="H739" s="1">
        <v>488130.29952829576</v>
      </c>
      <c r="I739" s="1">
        <v>488130.29952829576</v>
      </c>
      <c r="J739" s="1">
        <v>488130.29952829576</v>
      </c>
      <c r="K739" s="1">
        <v>488130.29952829576</v>
      </c>
      <c r="L739" s="1">
        <v>488130.29952829576</v>
      </c>
      <c r="M739" s="1">
        <v>307670.00697541056</v>
      </c>
      <c r="N739" s="1">
        <v>307670.00697541056</v>
      </c>
      <c r="O739" s="1">
        <v>246530.45430722006</v>
      </c>
      <c r="P739" s="1">
        <v>246530.45430722006</v>
      </c>
      <c r="Q739" s="1">
        <v>345142.63603010809</v>
      </c>
      <c r="R739" s="1">
        <v>345142.63603010809</v>
      </c>
      <c r="S739" s="1">
        <v>345142.63603010809</v>
      </c>
      <c r="T739" s="1">
        <v>345142.63603010809</v>
      </c>
      <c r="U739" s="1">
        <v>345142.63603010809</v>
      </c>
      <c r="V739" s="1">
        <v>345142.63603010809</v>
      </c>
      <c r="W739" s="4">
        <f t="shared" si="24"/>
        <v>3444523.5075804787</v>
      </c>
      <c r="X739" s="4">
        <f t="shared" si="24"/>
        <v>3444523.5075804787</v>
      </c>
      <c r="Y739" s="5">
        <f t="shared" si="23"/>
        <v>0.58216666666666661</v>
      </c>
    </row>
    <row r="740" spans="1:25" x14ac:dyDescent="0.25">
      <c r="A740" s="1" t="s">
        <v>112</v>
      </c>
      <c r="B740" s="1" t="s">
        <v>69</v>
      </c>
      <c r="C740" s="1" t="s">
        <v>28</v>
      </c>
      <c r="D740" s="1">
        <v>7518664.997690266</v>
      </c>
      <c r="E740" s="1">
        <v>496231.88984755764</v>
      </c>
      <c r="F740" s="1">
        <v>496231.88984755764</v>
      </c>
      <c r="G740" s="1">
        <v>620289.86230944702</v>
      </c>
      <c r="H740" s="1">
        <v>620289.86230944702</v>
      </c>
      <c r="I740" s="1">
        <v>620289.86230944702</v>
      </c>
      <c r="J740" s="1">
        <v>620289.86230944702</v>
      </c>
      <c r="K740" s="1">
        <v>620289.86230944702</v>
      </c>
      <c r="L740" s="1">
        <v>620289.86230944702</v>
      </c>
      <c r="M740" s="1">
        <v>377812.91613393585</v>
      </c>
      <c r="N740" s="1">
        <v>377812.91613393585</v>
      </c>
      <c r="O740" s="1">
        <v>314844.09677827987</v>
      </c>
      <c r="P740" s="1">
        <v>314844.09677827987</v>
      </c>
      <c r="Q740" s="1">
        <v>440781.73548959178</v>
      </c>
      <c r="R740" s="1">
        <v>440781.73548959178</v>
      </c>
      <c r="S740" s="1">
        <v>440781.73548959178</v>
      </c>
      <c r="T740" s="1">
        <v>440781.73548959178</v>
      </c>
      <c r="U740" s="1">
        <v>440781.73548959178</v>
      </c>
      <c r="V740" s="1">
        <v>440781.73548959178</v>
      </c>
      <c r="W740" s="4">
        <f t="shared" si="24"/>
        <v>4372103.6961568901</v>
      </c>
      <c r="X740" s="4">
        <f t="shared" si="24"/>
        <v>4372103.6961568901</v>
      </c>
      <c r="Y740" s="5">
        <f t="shared" si="23"/>
        <v>0.58150000000000002</v>
      </c>
    </row>
    <row r="741" spans="1:25" x14ac:dyDescent="0.25">
      <c r="A741" s="1" t="s">
        <v>112</v>
      </c>
      <c r="B741" s="1" t="s">
        <v>70</v>
      </c>
      <c r="C741" s="1" t="s">
        <v>23</v>
      </c>
      <c r="D741" s="1">
        <v>9646875.0344531182</v>
      </c>
      <c r="E741" s="1">
        <v>636693.75227390591</v>
      </c>
      <c r="F741" s="1">
        <v>636693.75227390591</v>
      </c>
      <c r="G741" s="1">
        <v>795867.1903423823</v>
      </c>
      <c r="H741" s="1">
        <v>795867.1903423823</v>
      </c>
      <c r="I741" s="1">
        <v>795867.1903423823</v>
      </c>
      <c r="J741" s="1">
        <v>795867.1903423823</v>
      </c>
      <c r="K741" s="1">
        <v>795867.1903423823</v>
      </c>
      <c r="L741" s="1">
        <v>795867.1903423823</v>
      </c>
      <c r="M741" s="1">
        <v>484755.47048126918</v>
      </c>
      <c r="N741" s="1">
        <v>484755.47048126918</v>
      </c>
      <c r="O741" s="1">
        <v>403962.89206772431</v>
      </c>
      <c r="P741" s="1">
        <v>403962.89206772431</v>
      </c>
      <c r="Q741" s="1">
        <v>565548.04889481398</v>
      </c>
      <c r="R741" s="1">
        <v>565548.04889481398</v>
      </c>
      <c r="S741" s="1">
        <v>565548.04889481398</v>
      </c>
      <c r="T741" s="1">
        <v>565548.04889481398</v>
      </c>
      <c r="U741" s="1">
        <v>565548.04889481398</v>
      </c>
      <c r="V741" s="1">
        <v>565548.04889481398</v>
      </c>
      <c r="W741" s="4">
        <f t="shared" si="24"/>
        <v>5609657.8325344883</v>
      </c>
      <c r="X741" s="4">
        <f t="shared" si="24"/>
        <v>5609657.8325344883</v>
      </c>
      <c r="Y741" s="5">
        <f t="shared" si="23"/>
        <v>0.58150000000000002</v>
      </c>
    </row>
    <row r="742" spans="1:25" x14ac:dyDescent="0.25">
      <c r="A742" s="1" t="s">
        <v>112</v>
      </c>
      <c r="B742" s="1" t="s">
        <v>71</v>
      </c>
      <c r="C742" s="1" t="s">
        <v>29</v>
      </c>
      <c r="D742" s="1">
        <v>7102555.021153843</v>
      </c>
      <c r="E742" s="1">
        <v>468768.63139615371</v>
      </c>
      <c r="F742" s="1">
        <v>468768.63139615371</v>
      </c>
      <c r="G742" s="1">
        <v>585960.78924519208</v>
      </c>
      <c r="H742" s="1">
        <v>585960.78924519208</v>
      </c>
      <c r="I742" s="1">
        <v>585960.78924519208</v>
      </c>
      <c r="J742" s="1">
        <v>585960.78924519208</v>
      </c>
      <c r="K742" s="1">
        <v>585960.78924519208</v>
      </c>
      <c r="L742" s="1">
        <v>585960.78924519208</v>
      </c>
      <c r="M742" s="1">
        <v>356903.3898129806</v>
      </c>
      <c r="N742" s="1">
        <v>356903.3898129806</v>
      </c>
      <c r="O742" s="1">
        <v>297419.4915108172</v>
      </c>
      <c r="P742" s="1">
        <v>297419.4915108172</v>
      </c>
      <c r="Q742" s="1">
        <v>416387.28811514407</v>
      </c>
      <c r="R742" s="1">
        <v>416387.28811514407</v>
      </c>
      <c r="S742" s="1">
        <v>416387.28811514407</v>
      </c>
      <c r="T742" s="1">
        <v>416387.28811514407</v>
      </c>
      <c r="U742" s="1">
        <v>416387.28811514407</v>
      </c>
      <c r="V742" s="1">
        <v>416387.28811514407</v>
      </c>
      <c r="W742" s="4">
        <f t="shared" si="24"/>
        <v>4130135.7448009597</v>
      </c>
      <c r="X742" s="4">
        <f t="shared" si="24"/>
        <v>4130135.7448009597</v>
      </c>
      <c r="Y742" s="5">
        <f t="shared" si="23"/>
        <v>0.58150000000000002</v>
      </c>
    </row>
    <row r="743" spans="1:25" x14ac:dyDescent="0.25">
      <c r="A743" s="1" t="s">
        <v>112</v>
      </c>
      <c r="B743" s="1" t="s">
        <v>72</v>
      </c>
      <c r="C743" s="1" t="s">
        <v>73</v>
      </c>
      <c r="D743" s="1">
        <v>9568057.4768258203</v>
      </c>
      <c r="E743" s="1">
        <v>631491.79347050423</v>
      </c>
      <c r="F743" s="1">
        <v>631491.79347050423</v>
      </c>
      <c r="G743" s="1">
        <v>789364.74183813017</v>
      </c>
      <c r="H743" s="1">
        <v>789364.74183813017</v>
      </c>
      <c r="I743" s="1">
        <v>789364.74183813017</v>
      </c>
      <c r="J743" s="1">
        <v>789364.74183813017</v>
      </c>
      <c r="K743" s="1">
        <v>789364.74183813017</v>
      </c>
      <c r="L743" s="1">
        <v>789364.74183813017</v>
      </c>
      <c r="M743" s="1">
        <v>480794.88821049745</v>
      </c>
      <c r="N743" s="1">
        <v>480794.88821049745</v>
      </c>
      <c r="O743" s="1">
        <v>400662.40684208123</v>
      </c>
      <c r="P743" s="1">
        <v>400662.40684208123</v>
      </c>
      <c r="Q743" s="1">
        <v>560927.36957891367</v>
      </c>
      <c r="R743" s="1">
        <v>560927.36957891367</v>
      </c>
      <c r="S743" s="1">
        <v>560927.36957891367</v>
      </c>
      <c r="T743" s="1">
        <v>560927.36957891367</v>
      </c>
      <c r="U743" s="1">
        <v>560927.36957891367</v>
      </c>
      <c r="V743" s="1">
        <v>560927.36957891367</v>
      </c>
      <c r="W743" s="4">
        <f t="shared" si="24"/>
        <v>5563825.4227742143</v>
      </c>
      <c r="X743" s="4">
        <f t="shared" si="24"/>
        <v>5563825.4227742143</v>
      </c>
      <c r="Y743" s="5">
        <f t="shared" si="23"/>
        <v>0.58150000000000002</v>
      </c>
    </row>
    <row r="744" spans="1:25" x14ac:dyDescent="0.25">
      <c r="A744" s="1" t="s">
        <v>112</v>
      </c>
      <c r="B744" s="1" t="s">
        <v>48</v>
      </c>
      <c r="C744" s="1" t="s">
        <v>49</v>
      </c>
      <c r="D744" s="1">
        <v>5834597.1177311502</v>
      </c>
      <c r="E744" s="1">
        <v>385083.40977025597</v>
      </c>
      <c r="F744" s="1">
        <v>385083.40977025597</v>
      </c>
      <c r="G744" s="1">
        <v>481354.26221281994</v>
      </c>
      <c r="H744" s="1">
        <v>481354.26221281994</v>
      </c>
      <c r="I744" s="1">
        <v>481354.26221281994</v>
      </c>
      <c r="J744" s="1">
        <v>481354.26221281994</v>
      </c>
      <c r="K744" s="1">
        <v>481354.26221281994</v>
      </c>
      <c r="L744" s="1">
        <v>481354.26221281994</v>
      </c>
      <c r="M744" s="1">
        <v>293188.50516599021</v>
      </c>
      <c r="N744" s="1">
        <v>293188.50516599021</v>
      </c>
      <c r="O744" s="1">
        <v>244323.75430499183</v>
      </c>
      <c r="P744" s="1">
        <v>244323.75430499183</v>
      </c>
      <c r="Q744" s="1">
        <v>342053.25602698856</v>
      </c>
      <c r="R744" s="1">
        <v>342053.25602698856</v>
      </c>
      <c r="S744" s="1">
        <v>342053.25602698856</v>
      </c>
      <c r="T744" s="1">
        <v>342053.25602698856</v>
      </c>
      <c r="U744" s="1">
        <v>342053.25602698856</v>
      </c>
      <c r="V744" s="1">
        <v>342053.25602698856</v>
      </c>
      <c r="W744" s="4">
        <f t="shared" si="24"/>
        <v>3392818.2239606632</v>
      </c>
      <c r="X744" s="4">
        <f t="shared" si="24"/>
        <v>3392818.2239606632</v>
      </c>
      <c r="Y744" s="5">
        <f t="shared" si="23"/>
        <v>0.58149999999999991</v>
      </c>
    </row>
    <row r="745" spans="1:25" x14ac:dyDescent="0.25">
      <c r="A745" s="1" t="s">
        <v>112</v>
      </c>
      <c r="B745" s="1" t="s">
        <v>53</v>
      </c>
      <c r="C745" s="1" t="s">
        <v>30</v>
      </c>
      <c r="D745" s="1">
        <v>3286014.9262045384</v>
      </c>
      <c r="E745" s="1">
        <v>216876.98512949955</v>
      </c>
      <c r="F745" s="1">
        <v>216876.98512949955</v>
      </c>
      <c r="G745" s="1">
        <v>271096.23141187441</v>
      </c>
      <c r="H745" s="1">
        <v>271096.23141187441</v>
      </c>
      <c r="I745" s="1">
        <v>271096.23141187441</v>
      </c>
      <c r="J745" s="1">
        <v>271096.23141187441</v>
      </c>
      <c r="K745" s="1">
        <v>271096.23141187441</v>
      </c>
      <c r="L745" s="1">
        <v>271096.23141187441</v>
      </c>
      <c r="M745" s="1">
        <v>165122.25004177805</v>
      </c>
      <c r="N745" s="1">
        <v>165122.25004177805</v>
      </c>
      <c r="O745" s="1">
        <v>137601.87503481505</v>
      </c>
      <c r="P745" s="1">
        <v>137601.87503481505</v>
      </c>
      <c r="Q745" s="1">
        <v>192642.62504874106</v>
      </c>
      <c r="R745" s="1">
        <v>192642.62504874106</v>
      </c>
      <c r="S745" s="1">
        <v>192642.62504874106</v>
      </c>
      <c r="T745" s="1">
        <v>192642.62504874106</v>
      </c>
      <c r="U745" s="1">
        <v>192642.62504874106</v>
      </c>
      <c r="V745" s="1">
        <v>192642.62504874106</v>
      </c>
      <c r="W745" s="4">
        <f t="shared" si="24"/>
        <v>1910817.6795879391</v>
      </c>
      <c r="X745" s="4">
        <f t="shared" si="24"/>
        <v>1910817.6795879391</v>
      </c>
      <c r="Y745" s="5">
        <f t="shared" si="23"/>
        <v>0.58150000000000002</v>
      </c>
    </row>
    <row r="746" spans="1:25" x14ac:dyDescent="0.25">
      <c r="A746" s="1" t="s">
        <v>112</v>
      </c>
      <c r="B746" s="1" t="s">
        <v>74</v>
      </c>
      <c r="C746" s="1" t="s">
        <v>75</v>
      </c>
      <c r="D746" s="1">
        <v>8241780.7775132349</v>
      </c>
      <c r="E746" s="1">
        <v>543957.53131587361</v>
      </c>
      <c r="F746" s="1">
        <v>543957.53131587361</v>
      </c>
      <c r="G746" s="1">
        <v>679946.91414484195</v>
      </c>
      <c r="H746" s="1">
        <v>679946.91414484195</v>
      </c>
      <c r="I746" s="1">
        <v>679946.91414484195</v>
      </c>
      <c r="J746" s="1">
        <v>679946.91414484195</v>
      </c>
      <c r="K746" s="1">
        <v>679946.91414484195</v>
      </c>
      <c r="L746" s="1">
        <v>679946.91414484195</v>
      </c>
      <c r="M746" s="1">
        <v>414149.48407003999</v>
      </c>
      <c r="N746" s="1">
        <v>414149.48407003999</v>
      </c>
      <c r="O746" s="1">
        <v>345124.57005836669</v>
      </c>
      <c r="P746" s="1">
        <v>345124.57005836669</v>
      </c>
      <c r="Q746" s="1">
        <v>483174.39808171336</v>
      </c>
      <c r="R746" s="1">
        <v>483174.39808171336</v>
      </c>
      <c r="S746" s="1">
        <v>483174.39808171336</v>
      </c>
      <c r="T746" s="1">
        <v>483174.39808171336</v>
      </c>
      <c r="U746" s="1">
        <v>483174.39808171336</v>
      </c>
      <c r="V746" s="1">
        <v>483174.39808171336</v>
      </c>
      <c r="W746" s="4">
        <f t="shared" si="24"/>
        <v>4792595.5221239459</v>
      </c>
      <c r="X746" s="4">
        <f t="shared" si="24"/>
        <v>4792595.5221239459</v>
      </c>
      <c r="Y746" s="5">
        <f t="shared" si="23"/>
        <v>0.58150000000000002</v>
      </c>
    </row>
    <row r="747" spans="1:25" x14ac:dyDescent="0.25">
      <c r="A747" s="1" t="s">
        <v>112</v>
      </c>
      <c r="B747" s="1" t="s">
        <v>50</v>
      </c>
      <c r="C747" s="1" t="s">
        <v>25</v>
      </c>
      <c r="D747" s="1">
        <v>6126326.9736177064</v>
      </c>
      <c r="E747" s="1">
        <v>404337.58025876869</v>
      </c>
      <c r="F747" s="1">
        <v>404337.58025876869</v>
      </c>
      <c r="G747" s="1">
        <v>505421.97532346082</v>
      </c>
      <c r="H747" s="1">
        <v>505421.97532346082</v>
      </c>
      <c r="I747" s="1">
        <v>505421.97532346082</v>
      </c>
      <c r="J747" s="1">
        <v>505421.97532346082</v>
      </c>
      <c r="K747" s="1">
        <v>505421.97532346082</v>
      </c>
      <c r="L747" s="1">
        <v>505421.97532346082</v>
      </c>
      <c r="M747" s="1">
        <v>307847.93042428972</v>
      </c>
      <c r="N747" s="1">
        <v>307847.93042428972</v>
      </c>
      <c r="O747" s="1">
        <v>256539.94202024146</v>
      </c>
      <c r="P747" s="1">
        <v>256539.94202024146</v>
      </c>
      <c r="Q747" s="1">
        <v>359155.91882833804</v>
      </c>
      <c r="R747" s="1">
        <v>359155.91882833804</v>
      </c>
      <c r="S747" s="1">
        <v>359155.91882833804</v>
      </c>
      <c r="T747" s="1">
        <v>359155.91882833804</v>
      </c>
      <c r="U747" s="1">
        <v>359155.91882833804</v>
      </c>
      <c r="V747" s="1">
        <v>359155.91882833804</v>
      </c>
      <c r="W747" s="4">
        <f t="shared" si="24"/>
        <v>3562459.1351586967</v>
      </c>
      <c r="X747" s="4">
        <f t="shared" si="24"/>
        <v>3562459.1351586967</v>
      </c>
      <c r="Y747" s="5">
        <f t="shared" si="23"/>
        <v>0.58150000000000002</v>
      </c>
    </row>
    <row r="748" spans="1:25" x14ac:dyDescent="0.25">
      <c r="A748" s="1" t="s">
        <v>113</v>
      </c>
      <c r="B748" s="1" t="s">
        <v>59</v>
      </c>
      <c r="C748" s="1" t="s">
        <v>26</v>
      </c>
      <c r="D748" s="1">
        <v>55627546.847552747</v>
      </c>
      <c r="E748" s="1">
        <v>3671418.0919384817</v>
      </c>
      <c r="F748" s="1">
        <v>3671418.0919384817</v>
      </c>
      <c r="G748" s="1">
        <v>4589272.6149231018</v>
      </c>
      <c r="H748" s="1">
        <v>4589272.6149231018</v>
      </c>
      <c r="I748" s="1">
        <v>4589272.6149231018</v>
      </c>
      <c r="J748" s="1">
        <v>4589272.6149231018</v>
      </c>
      <c r="K748" s="1">
        <v>4589272.6149231018</v>
      </c>
      <c r="L748" s="1">
        <v>4589272.6149231018</v>
      </c>
      <c r="M748" s="1">
        <v>10235468.619949717</v>
      </c>
      <c r="N748" s="1">
        <v>10235468.619949717</v>
      </c>
      <c r="O748" s="1">
        <v>4658807.048482541</v>
      </c>
      <c r="P748" s="1">
        <v>4658807.048482541</v>
      </c>
      <c r="Q748" s="1">
        <v>4658807.048482541</v>
      </c>
      <c r="R748" s="1">
        <v>4658807.048482541</v>
      </c>
      <c r="S748" s="1">
        <v>4658807.048482541</v>
      </c>
      <c r="T748" s="1">
        <v>4658807.048482541</v>
      </c>
      <c r="U748" s="1">
        <v>4658807.048482541</v>
      </c>
      <c r="V748" s="1">
        <v>4658807.048482541</v>
      </c>
      <c r="W748" s="4">
        <f t="shared" si="24"/>
        <v>46309932.750587672</v>
      </c>
      <c r="X748" s="4">
        <f t="shared" si="24"/>
        <v>46309932.750587672</v>
      </c>
      <c r="Y748" s="5">
        <f t="shared" si="23"/>
        <v>0.83250000000000024</v>
      </c>
    </row>
    <row r="749" spans="1:25" x14ac:dyDescent="0.25">
      <c r="A749" s="1" t="s">
        <v>113</v>
      </c>
      <c r="B749" s="1" t="s">
        <v>33</v>
      </c>
      <c r="C749" s="1" t="s">
        <v>34</v>
      </c>
      <c r="D749" s="1">
        <v>108000000</v>
      </c>
      <c r="E749" s="1">
        <v>0</v>
      </c>
      <c r="F749" s="1">
        <v>0</v>
      </c>
      <c r="G749" s="1">
        <v>21600000</v>
      </c>
      <c r="H749" s="1">
        <v>21600000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32400000</v>
      </c>
      <c r="P749" s="1">
        <v>32400000</v>
      </c>
      <c r="Q749" s="1">
        <v>0</v>
      </c>
      <c r="R749" s="1">
        <v>0</v>
      </c>
      <c r="S749" s="1">
        <v>32400000</v>
      </c>
      <c r="T749" s="1">
        <v>32400000</v>
      </c>
      <c r="U749" s="1">
        <v>21600000</v>
      </c>
      <c r="V749" s="1">
        <v>21600000</v>
      </c>
      <c r="W749" s="4">
        <f t="shared" si="24"/>
        <v>108000000</v>
      </c>
      <c r="X749" s="4">
        <f t="shared" si="24"/>
        <v>108000000</v>
      </c>
      <c r="Y749" s="5">
        <f t="shared" si="23"/>
        <v>1</v>
      </c>
    </row>
    <row r="750" spans="1:25" x14ac:dyDescent="0.25">
      <c r="A750" s="1" t="s">
        <v>113</v>
      </c>
      <c r="B750" s="1" t="s">
        <v>35</v>
      </c>
      <c r="C750" s="1" t="s">
        <v>34</v>
      </c>
      <c r="D750" s="1">
        <v>270000000</v>
      </c>
      <c r="E750" s="1">
        <v>0</v>
      </c>
      <c r="F750" s="1">
        <v>0</v>
      </c>
      <c r="G750" s="1">
        <v>74250000</v>
      </c>
      <c r="H750" s="1">
        <v>74250000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65250000</v>
      </c>
      <c r="P750" s="1">
        <v>65250000</v>
      </c>
      <c r="Q750" s="1">
        <v>0</v>
      </c>
      <c r="R750" s="1">
        <v>0</v>
      </c>
      <c r="S750" s="1">
        <v>65250000</v>
      </c>
      <c r="T750" s="1">
        <v>65250000</v>
      </c>
      <c r="U750" s="1">
        <v>65250000</v>
      </c>
      <c r="V750" s="1">
        <v>65250000</v>
      </c>
      <c r="W750" s="4">
        <f t="shared" si="24"/>
        <v>270000000</v>
      </c>
      <c r="X750" s="4">
        <f t="shared" si="24"/>
        <v>270000000</v>
      </c>
      <c r="Y750" s="5">
        <f t="shared" si="23"/>
        <v>1</v>
      </c>
    </row>
    <row r="751" spans="1:25" x14ac:dyDescent="0.25">
      <c r="A751" s="1" t="s">
        <v>113</v>
      </c>
      <c r="B751" s="1" t="s">
        <v>38</v>
      </c>
      <c r="C751" s="1" t="s">
        <v>39</v>
      </c>
      <c r="D751" s="1">
        <v>7271240.6445771493</v>
      </c>
      <c r="E751" s="1">
        <v>479901.88254209189</v>
      </c>
      <c r="F751" s="1">
        <v>479901.88254209189</v>
      </c>
      <c r="G751" s="1">
        <v>599877.35317761486</v>
      </c>
      <c r="H751" s="1">
        <v>599877.35317761486</v>
      </c>
      <c r="I751" s="1">
        <v>599877.35317761486</v>
      </c>
      <c r="J751" s="1">
        <v>599877.35317761486</v>
      </c>
      <c r="K751" s="1">
        <v>599877.35317761486</v>
      </c>
      <c r="L751" s="1">
        <v>599877.35317761486</v>
      </c>
      <c r="M751" s="1">
        <v>365379.84239000181</v>
      </c>
      <c r="N751" s="1">
        <v>365379.84239000181</v>
      </c>
      <c r="O751" s="1">
        <v>304483.2019916682</v>
      </c>
      <c r="P751" s="1">
        <v>304483.2019916682</v>
      </c>
      <c r="Q751" s="1">
        <v>426276.48278833547</v>
      </c>
      <c r="R751" s="1">
        <v>426276.48278833547</v>
      </c>
      <c r="S751" s="1">
        <v>426276.48278833547</v>
      </c>
      <c r="T751" s="1">
        <v>426276.48278833547</v>
      </c>
      <c r="U751" s="1">
        <v>426276.48278833547</v>
      </c>
      <c r="V751" s="1">
        <v>426276.48278833547</v>
      </c>
      <c r="W751" s="4">
        <f t="shared" si="24"/>
        <v>4228226.4348216131</v>
      </c>
      <c r="X751" s="4">
        <f t="shared" si="24"/>
        <v>4228226.4348216131</v>
      </c>
      <c r="Y751" s="5">
        <f t="shared" si="23"/>
        <v>0.58150000000000013</v>
      </c>
    </row>
    <row r="752" spans="1:25" x14ac:dyDescent="0.25">
      <c r="A752" s="1" t="s">
        <v>113</v>
      </c>
      <c r="B752" s="1" t="s">
        <v>61</v>
      </c>
      <c r="C752" s="1" t="s">
        <v>34</v>
      </c>
      <c r="D752" s="1">
        <v>131237078.469621</v>
      </c>
      <c r="E752" s="1">
        <v>0</v>
      </c>
      <c r="F752" s="1">
        <v>0</v>
      </c>
      <c r="G752" s="1">
        <v>10498966.276373826</v>
      </c>
      <c r="H752" s="1">
        <v>10498966.276373826</v>
      </c>
      <c r="I752" s="1">
        <v>0</v>
      </c>
      <c r="J752" s="1">
        <v>0</v>
      </c>
      <c r="K752" s="1">
        <v>0</v>
      </c>
      <c r="L752" s="1">
        <v>0</v>
      </c>
      <c r="M752" s="1">
        <v>30184528.048311792</v>
      </c>
      <c r="N752" s="1">
        <v>30184528.048311792</v>
      </c>
      <c r="O752" s="1">
        <v>0</v>
      </c>
      <c r="P752" s="1">
        <v>0</v>
      </c>
      <c r="Q752" s="1">
        <v>0</v>
      </c>
      <c r="R752" s="1">
        <v>0</v>
      </c>
      <c r="S752" s="1">
        <v>45276792.072467685</v>
      </c>
      <c r="T752" s="1">
        <v>45276792.072467685</v>
      </c>
      <c r="U752" s="1">
        <v>0</v>
      </c>
      <c r="V752" s="1">
        <v>0</v>
      </c>
      <c r="W752" s="4">
        <f t="shared" si="24"/>
        <v>85960286.397153318</v>
      </c>
      <c r="X752" s="4">
        <f t="shared" si="24"/>
        <v>85960286.397153318</v>
      </c>
      <c r="Y752" s="5">
        <f t="shared" si="23"/>
        <v>0.65499999999658298</v>
      </c>
    </row>
    <row r="753" spans="1:25" x14ac:dyDescent="0.25">
      <c r="A753" s="1" t="s">
        <v>113</v>
      </c>
      <c r="B753" s="1" t="s">
        <v>62</v>
      </c>
      <c r="C753" s="1" t="s">
        <v>63</v>
      </c>
      <c r="D753" s="1">
        <v>51142861</v>
      </c>
      <c r="E753" s="1">
        <v>21999999.999120001</v>
      </c>
      <c r="F753" s="1">
        <v>21999999.999120001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1773214.2857967855</v>
      </c>
      <c r="N753" s="1">
        <v>1773214.2857967855</v>
      </c>
      <c r="O753" s="1">
        <v>1477678.5714973214</v>
      </c>
      <c r="P753" s="1">
        <v>1477678.5714973214</v>
      </c>
      <c r="Q753" s="1">
        <v>2068750.0000962499</v>
      </c>
      <c r="R753" s="1">
        <v>2068750.0000962499</v>
      </c>
      <c r="S753" s="1">
        <v>2068750.0000962499</v>
      </c>
      <c r="T753" s="1">
        <v>2068750.0000962499</v>
      </c>
      <c r="U753" s="1">
        <v>2068750.0000962499</v>
      </c>
      <c r="V753" s="1">
        <v>2068750.0000962499</v>
      </c>
      <c r="W753" s="4">
        <f t="shared" si="24"/>
        <v>31457142.856702857</v>
      </c>
      <c r="X753" s="4">
        <f t="shared" si="24"/>
        <v>31457142.856702857</v>
      </c>
      <c r="Y753" s="5">
        <f t="shared" si="23"/>
        <v>0.61508375248508007</v>
      </c>
    </row>
    <row r="754" spans="1:25" x14ac:dyDescent="0.25">
      <c r="A754" s="1" t="s">
        <v>113</v>
      </c>
      <c r="B754" s="1" t="s">
        <v>40</v>
      </c>
      <c r="C754" s="1" t="s">
        <v>114</v>
      </c>
      <c r="D754" s="1">
        <v>127937652</v>
      </c>
      <c r="E754" s="1">
        <v>10510992</v>
      </c>
      <c r="F754" s="1">
        <v>10510992</v>
      </c>
      <c r="G754" s="1">
        <v>25074977.550000001</v>
      </c>
      <c r="H754" s="1">
        <v>25074977.550000001</v>
      </c>
      <c r="I754" s="1">
        <v>13674968.279999999</v>
      </c>
      <c r="J754" s="1">
        <v>13674968.279999999</v>
      </c>
      <c r="K754" s="1">
        <v>10252478</v>
      </c>
      <c r="L754" s="1">
        <v>10252478</v>
      </c>
      <c r="M754" s="1">
        <v>4500000</v>
      </c>
      <c r="N754" s="1">
        <v>4500000</v>
      </c>
      <c r="O754" s="1">
        <v>16343955.440000001</v>
      </c>
      <c r="P754" s="1">
        <v>16343955.440000001</v>
      </c>
      <c r="Q754" s="1">
        <v>17910304</v>
      </c>
      <c r="R754" s="1">
        <v>17910304</v>
      </c>
      <c r="S754" s="1">
        <v>5195275</v>
      </c>
      <c r="T754" s="1">
        <v>5195275</v>
      </c>
      <c r="U754" s="1">
        <v>5229306.58</v>
      </c>
      <c r="V754" s="1">
        <v>5229306.58</v>
      </c>
      <c r="W754" s="4">
        <f t="shared" si="24"/>
        <v>108692256.84999999</v>
      </c>
      <c r="X754" s="4">
        <f t="shared" si="24"/>
        <v>108692256.84999999</v>
      </c>
      <c r="Y754" s="5">
        <f t="shared" si="23"/>
        <v>0.8495720778899396</v>
      </c>
    </row>
    <row r="755" spans="1:25" x14ac:dyDescent="0.25">
      <c r="A755" s="1" t="s">
        <v>113</v>
      </c>
      <c r="B755" s="1" t="s">
        <v>40</v>
      </c>
      <c r="C755" s="1" t="s">
        <v>114</v>
      </c>
      <c r="D755" s="1">
        <v>191292535</v>
      </c>
      <c r="E755" s="1">
        <v>0</v>
      </c>
      <c r="F755" s="1">
        <v>0</v>
      </c>
      <c r="G755" s="1">
        <v>5204917</v>
      </c>
      <c r="H755" s="1">
        <v>5204917</v>
      </c>
      <c r="I755" s="1">
        <v>25884537.603753679</v>
      </c>
      <c r="J755" s="1">
        <v>25884537.603753679</v>
      </c>
      <c r="K755" s="1">
        <v>10406550</v>
      </c>
      <c r="L755" s="1">
        <v>10406550</v>
      </c>
      <c r="M755" s="1">
        <v>21282270.549842369</v>
      </c>
      <c r="N755" s="1">
        <v>21282270.549842369</v>
      </c>
      <c r="O755" s="1">
        <v>96825439.296561584</v>
      </c>
      <c r="P755" s="1">
        <v>96825439.296561584</v>
      </c>
      <c r="Q755" s="1">
        <v>31688820.549842369</v>
      </c>
      <c r="R755" s="1">
        <v>31688820.549842369</v>
      </c>
      <c r="S755" s="1">
        <v>0</v>
      </c>
      <c r="T755" s="1">
        <v>0</v>
      </c>
      <c r="U755" s="1">
        <v>0</v>
      </c>
      <c r="V755" s="1">
        <v>0</v>
      </c>
      <c r="W755" s="4">
        <f t="shared" si="24"/>
        <v>191292535</v>
      </c>
      <c r="X755" s="4">
        <f t="shared" si="24"/>
        <v>191292535</v>
      </c>
      <c r="Y755" s="5">
        <f t="shared" si="23"/>
        <v>1</v>
      </c>
    </row>
    <row r="756" spans="1:25" x14ac:dyDescent="0.25">
      <c r="A756" s="1" t="s">
        <v>113</v>
      </c>
      <c r="B756" s="1" t="s">
        <v>40</v>
      </c>
      <c r="C756" s="1" t="s">
        <v>114</v>
      </c>
      <c r="D756" s="1">
        <v>49038478</v>
      </c>
      <c r="E756" s="1">
        <v>0</v>
      </c>
      <c r="F756" s="1">
        <v>0</v>
      </c>
      <c r="G756" s="1">
        <v>20519239</v>
      </c>
      <c r="H756" s="1">
        <v>20519239</v>
      </c>
      <c r="I756" s="1">
        <v>0</v>
      </c>
      <c r="J756" s="1">
        <v>0</v>
      </c>
      <c r="K756" s="1">
        <v>0</v>
      </c>
      <c r="L756" s="1">
        <v>0</v>
      </c>
      <c r="M756" s="1">
        <v>10694714.625</v>
      </c>
      <c r="N756" s="1">
        <v>10694714.625</v>
      </c>
      <c r="O756" s="1">
        <v>7129809.75</v>
      </c>
      <c r="P756" s="1">
        <v>7129809.75</v>
      </c>
      <c r="Q756" s="1">
        <v>10694714.625</v>
      </c>
      <c r="R756" s="1">
        <v>10694714.625</v>
      </c>
      <c r="S756" s="1">
        <v>0</v>
      </c>
      <c r="T756" s="1">
        <v>0</v>
      </c>
      <c r="U756" s="1">
        <v>0</v>
      </c>
      <c r="V756" s="1">
        <v>0</v>
      </c>
      <c r="W756" s="4">
        <f t="shared" si="24"/>
        <v>49038478</v>
      </c>
      <c r="X756" s="4">
        <f t="shared" si="24"/>
        <v>49038478</v>
      </c>
      <c r="Y756" s="5">
        <f t="shared" si="23"/>
        <v>1</v>
      </c>
    </row>
    <row r="757" spans="1:25" x14ac:dyDescent="0.25">
      <c r="A757" s="1" t="s">
        <v>113</v>
      </c>
      <c r="B757" s="1" t="s">
        <v>43</v>
      </c>
      <c r="C757" s="1" t="s">
        <v>31</v>
      </c>
      <c r="D757" s="1">
        <v>3615275</v>
      </c>
      <c r="E757" s="1">
        <v>210005.53186669579</v>
      </c>
      <c r="F757" s="1">
        <v>210005.53186669579</v>
      </c>
      <c r="G757" s="1">
        <v>262506.91483336972</v>
      </c>
      <c r="H757" s="1">
        <v>262506.91483336972</v>
      </c>
      <c r="I757" s="1">
        <v>262506.91483336972</v>
      </c>
      <c r="J757" s="1">
        <v>262506.91483336972</v>
      </c>
      <c r="K757" s="1">
        <v>262506.91483336972</v>
      </c>
      <c r="L757" s="1">
        <v>262506.91483336972</v>
      </c>
      <c r="M757" s="1">
        <v>195193.4674073495</v>
      </c>
      <c r="N757" s="1">
        <v>195193.4674073495</v>
      </c>
      <c r="O757" s="1">
        <v>162661.22283945791</v>
      </c>
      <c r="P757" s="1">
        <v>162661.22283945791</v>
      </c>
      <c r="Q757" s="1">
        <v>201593.15463987738</v>
      </c>
      <c r="R757" s="1">
        <v>201593.15463987738</v>
      </c>
      <c r="S757" s="1">
        <v>227725.71197524108</v>
      </c>
      <c r="T757" s="1">
        <v>227725.71197524108</v>
      </c>
      <c r="U757" s="1">
        <v>227725.71197524108</v>
      </c>
      <c r="V757" s="1">
        <v>227725.71197524108</v>
      </c>
      <c r="W757" s="4">
        <f t="shared" si="24"/>
        <v>2012425.5452039717</v>
      </c>
      <c r="X757" s="4">
        <f t="shared" si="24"/>
        <v>2012425.5452039717</v>
      </c>
      <c r="Y757" s="5">
        <f t="shared" si="23"/>
        <v>0.55664521929976885</v>
      </c>
    </row>
    <row r="758" spans="1:25" x14ac:dyDescent="0.25">
      <c r="A758" s="1" t="s">
        <v>113</v>
      </c>
      <c r="B758" s="1" t="s">
        <v>64</v>
      </c>
      <c r="C758" s="1" t="s">
        <v>23</v>
      </c>
      <c r="D758" s="1">
        <v>8400974.0582756475</v>
      </c>
      <c r="E758" s="1">
        <v>554464.28784619272</v>
      </c>
      <c r="F758" s="1">
        <v>554464.28784619272</v>
      </c>
      <c r="G758" s="1">
        <v>693080.3598077409</v>
      </c>
      <c r="H758" s="1">
        <v>693080.3598077409</v>
      </c>
      <c r="I758" s="1">
        <v>693080.3598077409</v>
      </c>
      <c r="J758" s="1">
        <v>693080.3598077409</v>
      </c>
      <c r="K758" s="1">
        <v>693080.3598077409</v>
      </c>
      <c r="L758" s="1">
        <v>693080.3598077409</v>
      </c>
      <c r="M758" s="1">
        <v>422148.94642835128</v>
      </c>
      <c r="N758" s="1">
        <v>422148.94642835128</v>
      </c>
      <c r="O758" s="1">
        <v>351790.78869029274</v>
      </c>
      <c r="P758" s="1">
        <v>351790.78869029274</v>
      </c>
      <c r="Q758" s="1">
        <v>492507.10416640982</v>
      </c>
      <c r="R758" s="1">
        <v>492507.10416640982</v>
      </c>
      <c r="S758" s="1">
        <v>492507.10416640982</v>
      </c>
      <c r="T758" s="1">
        <v>492507.10416640982</v>
      </c>
      <c r="U758" s="1">
        <v>492507.10416640982</v>
      </c>
      <c r="V758" s="1">
        <v>492507.10416640982</v>
      </c>
      <c r="W758" s="4">
        <f t="shared" si="24"/>
        <v>4885166.4148872886</v>
      </c>
      <c r="X758" s="4">
        <f t="shared" si="24"/>
        <v>4885166.4148872886</v>
      </c>
      <c r="Y758" s="5">
        <f t="shared" si="23"/>
        <v>0.58149999999999991</v>
      </c>
    </row>
    <row r="759" spans="1:25" x14ac:dyDescent="0.25">
      <c r="A759" s="1" t="s">
        <v>113</v>
      </c>
      <c r="B759" s="1" t="s">
        <v>65</v>
      </c>
      <c r="C759" s="1" t="s">
        <v>31</v>
      </c>
      <c r="D759" s="1">
        <v>5850785.2362276101</v>
      </c>
      <c r="E759" s="1">
        <v>386151.82559102232</v>
      </c>
      <c r="F759" s="1">
        <v>386151.82559102232</v>
      </c>
      <c r="G759" s="1">
        <v>482689.78198877786</v>
      </c>
      <c r="H759" s="1">
        <v>482689.78198877786</v>
      </c>
      <c r="I759" s="1">
        <v>482689.78198877786</v>
      </c>
      <c r="J759" s="1">
        <v>482689.78198877786</v>
      </c>
      <c r="K759" s="1">
        <v>482689.78198877786</v>
      </c>
      <c r="L759" s="1">
        <v>482689.78198877786</v>
      </c>
      <c r="M759" s="1">
        <v>294001.9581204374</v>
      </c>
      <c r="N759" s="1">
        <v>294001.9581204374</v>
      </c>
      <c r="O759" s="1">
        <v>245001.63176703115</v>
      </c>
      <c r="P759" s="1">
        <v>245001.63176703115</v>
      </c>
      <c r="Q759" s="1">
        <v>343002.28447384358</v>
      </c>
      <c r="R759" s="1">
        <v>343002.28447384358</v>
      </c>
      <c r="S759" s="1">
        <v>343002.28447384358</v>
      </c>
      <c r="T759" s="1">
        <v>343002.28447384358</v>
      </c>
      <c r="U759" s="1">
        <v>343002.28447384358</v>
      </c>
      <c r="V759" s="1">
        <v>343002.28447384358</v>
      </c>
      <c r="W759" s="4">
        <f t="shared" si="24"/>
        <v>3402231.614866355</v>
      </c>
      <c r="X759" s="4">
        <f t="shared" si="24"/>
        <v>3402231.614866355</v>
      </c>
      <c r="Y759" s="5">
        <f t="shared" si="23"/>
        <v>0.58149999999999991</v>
      </c>
    </row>
    <row r="760" spans="1:25" x14ac:dyDescent="0.25">
      <c r="A760" s="1" t="s">
        <v>113</v>
      </c>
      <c r="B760" s="1" t="s">
        <v>44</v>
      </c>
      <c r="C760" s="1" t="s">
        <v>45</v>
      </c>
      <c r="D760" s="1">
        <v>7271240.6445771493</v>
      </c>
      <c r="E760" s="1">
        <v>479901.88254209189</v>
      </c>
      <c r="F760" s="1">
        <v>479901.88254209189</v>
      </c>
      <c r="G760" s="1">
        <v>599877.35317761486</v>
      </c>
      <c r="H760" s="1">
        <v>599877.35317761486</v>
      </c>
      <c r="I760" s="1">
        <v>599877.35317761486</v>
      </c>
      <c r="J760" s="1">
        <v>599877.35317761486</v>
      </c>
      <c r="K760" s="1">
        <v>599877.35317761486</v>
      </c>
      <c r="L760" s="1">
        <v>599877.35317761486</v>
      </c>
      <c r="M760" s="1">
        <v>365379.84239000181</v>
      </c>
      <c r="N760" s="1">
        <v>365379.84239000181</v>
      </c>
      <c r="O760" s="1">
        <v>304483.2019916682</v>
      </c>
      <c r="P760" s="1">
        <v>304483.2019916682</v>
      </c>
      <c r="Q760" s="1">
        <v>426276.48278833547</v>
      </c>
      <c r="R760" s="1">
        <v>426276.48278833547</v>
      </c>
      <c r="S760" s="1">
        <v>426276.48278833547</v>
      </c>
      <c r="T760" s="1">
        <v>426276.48278833547</v>
      </c>
      <c r="U760" s="1">
        <v>426276.48278833547</v>
      </c>
      <c r="V760" s="1">
        <v>426276.48278833547</v>
      </c>
      <c r="W760" s="4">
        <f t="shared" si="24"/>
        <v>4228226.4348216131</v>
      </c>
      <c r="X760" s="4">
        <f t="shared" si="24"/>
        <v>4228226.4348216131</v>
      </c>
      <c r="Y760" s="5">
        <f t="shared" si="23"/>
        <v>0.58150000000000013</v>
      </c>
    </row>
    <row r="761" spans="1:25" x14ac:dyDescent="0.25">
      <c r="A761" s="1" t="s">
        <v>113</v>
      </c>
      <c r="B761" s="1" t="s">
        <v>46</v>
      </c>
      <c r="C761" s="1" t="s">
        <v>22</v>
      </c>
      <c r="D761" s="1">
        <v>116736569.32291105</v>
      </c>
      <c r="E761" s="1">
        <v>7711830.6978401989</v>
      </c>
      <c r="F761" s="1">
        <v>7711830.6978401989</v>
      </c>
      <c r="G761" s="1">
        <v>9639788.3723002486</v>
      </c>
      <c r="H761" s="1">
        <v>9639788.3723002486</v>
      </c>
      <c r="I761" s="1">
        <v>9639788.3723002486</v>
      </c>
      <c r="J761" s="1">
        <v>9639788.3723002486</v>
      </c>
      <c r="K761" s="1">
        <v>9639788.3723002486</v>
      </c>
      <c r="L761" s="1">
        <v>9639788.3723002486</v>
      </c>
      <c r="M761" s="1">
        <v>6048650.2623007782</v>
      </c>
      <c r="N761" s="1">
        <v>6048650.2623007782</v>
      </c>
      <c r="O761" s="1">
        <v>4918698.8507689666</v>
      </c>
      <c r="P761" s="1">
        <v>4918698.8507689666</v>
      </c>
      <c r="Q761" s="1">
        <v>6809633.2163583208</v>
      </c>
      <c r="R761" s="1">
        <v>6809633.2163583208</v>
      </c>
      <c r="S761" s="1">
        <v>6809633.2163583208</v>
      </c>
      <c r="T761" s="1">
        <v>6809633.2163583208</v>
      </c>
      <c r="U761" s="1">
        <v>6809633.2163583199</v>
      </c>
      <c r="V761" s="1">
        <v>26809633.216358319</v>
      </c>
      <c r="W761" s="4">
        <f t="shared" si="24"/>
        <v>68027444.576885656</v>
      </c>
      <c r="X761" s="4">
        <f t="shared" si="24"/>
        <v>88027444.576885656</v>
      </c>
      <c r="Y761" s="5">
        <f t="shared" si="23"/>
        <v>0.75406914120791402</v>
      </c>
    </row>
    <row r="762" spans="1:25" x14ac:dyDescent="0.25">
      <c r="A762" s="1" t="s">
        <v>113</v>
      </c>
      <c r="B762" s="1" t="s">
        <v>66</v>
      </c>
      <c r="C762" s="1" t="s">
        <v>24</v>
      </c>
      <c r="D762" s="1">
        <v>396616917.22649539</v>
      </c>
      <c r="E762" s="1">
        <v>32720895.67118587</v>
      </c>
      <c r="F762" s="1">
        <v>32720895.67118587</v>
      </c>
      <c r="G762" s="1">
        <v>32720895.67118587</v>
      </c>
      <c r="H762" s="1">
        <v>32720895.67118587</v>
      </c>
      <c r="I762" s="1">
        <v>32720895.67118587</v>
      </c>
      <c r="J762" s="1">
        <v>32720895.67118587</v>
      </c>
      <c r="K762" s="1">
        <v>32720895.67118587</v>
      </c>
      <c r="L762" s="1">
        <v>32720895.67118587</v>
      </c>
      <c r="M762" s="1">
        <v>41189661.315256521</v>
      </c>
      <c r="N762" s="1">
        <v>41189661.315256521</v>
      </c>
      <c r="O762" s="1">
        <v>35458620</v>
      </c>
      <c r="P762" s="1">
        <v>35458620</v>
      </c>
      <c r="Q762" s="1">
        <v>35458620</v>
      </c>
      <c r="R762" s="1">
        <v>35458620</v>
      </c>
      <c r="S762" s="1">
        <v>34458620</v>
      </c>
      <c r="T762" s="1">
        <v>34458620</v>
      </c>
      <c r="U762" s="1">
        <v>38458620</v>
      </c>
      <c r="V762" s="1">
        <v>38458620</v>
      </c>
      <c r="W762" s="4">
        <f t="shared" si="24"/>
        <v>315907724</v>
      </c>
      <c r="X762" s="4">
        <f t="shared" si="24"/>
        <v>315907724</v>
      </c>
      <c r="Y762" s="5">
        <f t="shared" si="23"/>
        <v>0.79650592367343498</v>
      </c>
    </row>
    <row r="763" spans="1:25" x14ac:dyDescent="0.25">
      <c r="A763" s="1" t="s">
        <v>113</v>
      </c>
      <c r="B763" s="1" t="s">
        <v>67</v>
      </c>
      <c r="C763" s="1" t="s">
        <v>68</v>
      </c>
      <c r="D763" s="1">
        <v>11061752.304765295</v>
      </c>
      <c r="E763" s="1">
        <v>730075.6521145096</v>
      </c>
      <c r="F763" s="1">
        <v>730075.6521145096</v>
      </c>
      <c r="G763" s="1">
        <v>912594.56514313689</v>
      </c>
      <c r="H763" s="1">
        <v>912594.56514313689</v>
      </c>
      <c r="I763" s="1">
        <v>912594.56514313689</v>
      </c>
      <c r="J763" s="1">
        <v>912594.56514313689</v>
      </c>
      <c r="K763" s="1">
        <v>912594.56514313689</v>
      </c>
      <c r="L763" s="1">
        <v>912594.56514313689</v>
      </c>
      <c r="M763" s="1">
        <v>575211.11984779511</v>
      </c>
      <c r="N763" s="1">
        <v>575211.11984779511</v>
      </c>
      <c r="O763" s="1">
        <v>460906.34603188728</v>
      </c>
      <c r="P763" s="1">
        <v>460906.34603188728</v>
      </c>
      <c r="Q763" s="1">
        <v>645268.88444464211</v>
      </c>
      <c r="R763" s="1">
        <v>645268.88444464211</v>
      </c>
      <c r="S763" s="1">
        <v>645268.88444464211</v>
      </c>
      <c r="T763" s="1">
        <v>645268.88444464211</v>
      </c>
      <c r="U763" s="1">
        <v>645268.88444464211</v>
      </c>
      <c r="V763" s="1">
        <v>645268.88444464211</v>
      </c>
      <c r="W763" s="4">
        <f t="shared" si="24"/>
        <v>6439783.4667575294</v>
      </c>
      <c r="X763" s="4">
        <f t="shared" si="24"/>
        <v>6439783.4667575294</v>
      </c>
      <c r="Y763" s="5">
        <f t="shared" si="23"/>
        <v>0.58216666666666672</v>
      </c>
    </row>
    <row r="764" spans="1:25" x14ac:dyDescent="0.25">
      <c r="A764" s="1" t="s">
        <v>113</v>
      </c>
      <c r="B764" s="1" t="s">
        <v>69</v>
      </c>
      <c r="C764" s="1" t="s">
        <v>28</v>
      </c>
      <c r="D764" s="1">
        <v>8925865.7443187088</v>
      </c>
      <c r="E764" s="1">
        <v>589107.1391250348</v>
      </c>
      <c r="F764" s="1">
        <v>589107.1391250348</v>
      </c>
      <c r="G764" s="1">
        <v>736383.92390629346</v>
      </c>
      <c r="H764" s="1">
        <v>736383.92390629346</v>
      </c>
      <c r="I764" s="1">
        <v>736383.92390629346</v>
      </c>
      <c r="J764" s="1">
        <v>736383.92390629346</v>
      </c>
      <c r="K764" s="1">
        <v>736383.92390629346</v>
      </c>
      <c r="L764" s="1">
        <v>736383.92390629346</v>
      </c>
      <c r="M764" s="1">
        <v>448524.75365201512</v>
      </c>
      <c r="N764" s="1">
        <v>448524.75365201512</v>
      </c>
      <c r="O764" s="1">
        <v>373770.62804334593</v>
      </c>
      <c r="P764" s="1">
        <v>373770.62804334593</v>
      </c>
      <c r="Q764" s="1">
        <v>523278.87926068425</v>
      </c>
      <c r="R764" s="1">
        <v>523278.87926068425</v>
      </c>
      <c r="S764" s="1">
        <v>523278.87926068425</v>
      </c>
      <c r="T764" s="1">
        <v>523278.87926068425</v>
      </c>
      <c r="U764" s="1">
        <v>523278.87926068425</v>
      </c>
      <c r="V764" s="1">
        <v>523278.87926068425</v>
      </c>
      <c r="W764" s="4">
        <f t="shared" si="24"/>
        <v>5190390.9303213293</v>
      </c>
      <c r="X764" s="4">
        <f t="shared" si="24"/>
        <v>5190390.9303213293</v>
      </c>
      <c r="Y764" s="5">
        <f t="shared" si="23"/>
        <v>0.58150000000000002</v>
      </c>
    </row>
    <row r="765" spans="1:25" x14ac:dyDescent="0.25">
      <c r="A765" s="1" t="s">
        <v>113</v>
      </c>
      <c r="B765" s="1" t="s">
        <v>70</v>
      </c>
      <c r="C765" s="1" t="s">
        <v>23</v>
      </c>
      <c r="D765" s="1">
        <v>8268750.0182812503</v>
      </c>
      <c r="E765" s="1">
        <v>545737.50120656262</v>
      </c>
      <c r="F765" s="1">
        <v>545737.50120656262</v>
      </c>
      <c r="G765" s="1">
        <v>682171.87650820322</v>
      </c>
      <c r="H765" s="1">
        <v>682171.87650820322</v>
      </c>
      <c r="I765" s="1">
        <v>682171.87650820322</v>
      </c>
      <c r="J765" s="1">
        <v>682171.87650820322</v>
      </c>
      <c r="K765" s="1">
        <v>682171.87650820322</v>
      </c>
      <c r="L765" s="1">
        <v>682171.87650820322</v>
      </c>
      <c r="M765" s="1">
        <v>415504.68841863284</v>
      </c>
      <c r="N765" s="1">
        <v>415504.68841863284</v>
      </c>
      <c r="O765" s="1">
        <v>346253.90701552737</v>
      </c>
      <c r="P765" s="1">
        <v>346253.90701552737</v>
      </c>
      <c r="Q765" s="1">
        <v>484755.46982173825</v>
      </c>
      <c r="R765" s="1">
        <v>484755.46982173825</v>
      </c>
      <c r="S765" s="1">
        <v>484755.46982173825</v>
      </c>
      <c r="T765" s="1">
        <v>484755.46982173825</v>
      </c>
      <c r="U765" s="1">
        <v>484755.46982173825</v>
      </c>
      <c r="V765" s="1">
        <v>484755.46982173825</v>
      </c>
      <c r="W765" s="4">
        <f t="shared" si="24"/>
        <v>4808278.135630548</v>
      </c>
      <c r="X765" s="4">
        <f t="shared" si="24"/>
        <v>4808278.135630548</v>
      </c>
      <c r="Y765" s="5">
        <f t="shared" si="23"/>
        <v>0.58150000000000013</v>
      </c>
    </row>
    <row r="766" spans="1:25" x14ac:dyDescent="0.25">
      <c r="A766" s="1" t="s">
        <v>113</v>
      </c>
      <c r="B766" s="1" t="s">
        <v>71</v>
      </c>
      <c r="C766" s="1" t="s">
        <v>29</v>
      </c>
      <c r="D766" s="1">
        <v>7819371.1211538427</v>
      </c>
      <c r="E766" s="1">
        <v>516078.4939961537</v>
      </c>
      <c r="F766" s="1">
        <v>516078.4939961537</v>
      </c>
      <c r="G766" s="1">
        <v>645098.1174951921</v>
      </c>
      <c r="H766" s="1">
        <v>645098.1174951921</v>
      </c>
      <c r="I766" s="1">
        <v>645098.1174951921</v>
      </c>
      <c r="J766" s="1">
        <v>645098.1174951921</v>
      </c>
      <c r="K766" s="1">
        <v>645098.1174951921</v>
      </c>
      <c r="L766" s="1">
        <v>645098.1174951921</v>
      </c>
      <c r="M766" s="1">
        <v>392923.39883798052</v>
      </c>
      <c r="N766" s="1">
        <v>392923.39883798052</v>
      </c>
      <c r="O766" s="1">
        <v>327436.16569831711</v>
      </c>
      <c r="P766" s="1">
        <v>327436.16569831711</v>
      </c>
      <c r="Q766" s="1">
        <v>458410.63197764393</v>
      </c>
      <c r="R766" s="1">
        <v>458410.63197764393</v>
      </c>
      <c r="S766" s="1">
        <v>458410.63197764393</v>
      </c>
      <c r="T766" s="1">
        <v>458410.63197764393</v>
      </c>
      <c r="U766" s="1">
        <v>458410.63197764393</v>
      </c>
      <c r="V766" s="1">
        <v>458410.63197764393</v>
      </c>
      <c r="W766" s="4">
        <f t="shared" si="24"/>
        <v>4546964.3069509603</v>
      </c>
      <c r="X766" s="4">
        <f t="shared" si="24"/>
        <v>4546964.3069509603</v>
      </c>
      <c r="Y766" s="5">
        <f t="shared" si="23"/>
        <v>0.58150000000000013</v>
      </c>
    </row>
    <row r="767" spans="1:25" x14ac:dyDescent="0.25">
      <c r="A767" s="1" t="s">
        <v>113</v>
      </c>
      <c r="B767" s="1" t="s">
        <v>72</v>
      </c>
      <c r="C767" s="1" t="s">
        <v>73</v>
      </c>
      <c r="D767" s="1">
        <v>10366678.074418619</v>
      </c>
      <c r="E767" s="1">
        <v>684200.75291162892</v>
      </c>
      <c r="F767" s="1">
        <v>684200.75291162892</v>
      </c>
      <c r="G767" s="1">
        <v>855250.94113953609</v>
      </c>
      <c r="H767" s="1">
        <v>855250.94113953609</v>
      </c>
      <c r="I767" s="1">
        <v>855250.94113953609</v>
      </c>
      <c r="J767" s="1">
        <v>855250.94113953609</v>
      </c>
      <c r="K767" s="1">
        <v>855250.94113953609</v>
      </c>
      <c r="L767" s="1">
        <v>855250.94113953609</v>
      </c>
      <c r="M767" s="1">
        <v>520925.57323953562</v>
      </c>
      <c r="N767" s="1">
        <v>520925.57323953562</v>
      </c>
      <c r="O767" s="1">
        <v>434104.64436627971</v>
      </c>
      <c r="P767" s="1">
        <v>434104.64436627971</v>
      </c>
      <c r="Q767" s="1">
        <v>607746.50211279152</v>
      </c>
      <c r="R767" s="1">
        <v>607746.50211279152</v>
      </c>
      <c r="S767" s="1">
        <v>607746.50211279152</v>
      </c>
      <c r="T767" s="1">
        <v>607746.50211279152</v>
      </c>
      <c r="U767" s="1">
        <v>607746.50211279152</v>
      </c>
      <c r="V767" s="1">
        <v>607746.50211279152</v>
      </c>
      <c r="W767" s="4">
        <f t="shared" si="24"/>
        <v>6028223.300274427</v>
      </c>
      <c r="X767" s="4">
        <f t="shared" si="24"/>
        <v>6028223.300274427</v>
      </c>
      <c r="Y767" s="5">
        <f t="shared" si="23"/>
        <v>0.58150000000000002</v>
      </c>
    </row>
    <row r="768" spans="1:25" x14ac:dyDescent="0.25">
      <c r="A768" s="1" t="s">
        <v>113</v>
      </c>
      <c r="B768" s="1" t="s">
        <v>48</v>
      </c>
      <c r="C768" s="1" t="s">
        <v>49</v>
      </c>
      <c r="D768" s="1">
        <v>5936111.5563627863</v>
      </c>
      <c r="E768" s="1">
        <v>391783.36271994398</v>
      </c>
      <c r="F768" s="1">
        <v>391783.36271994398</v>
      </c>
      <c r="G768" s="1">
        <v>489729.20339992992</v>
      </c>
      <c r="H768" s="1">
        <v>489729.20339992992</v>
      </c>
      <c r="I768" s="1">
        <v>489729.20339992992</v>
      </c>
      <c r="J768" s="1">
        <v>489729.20339992992</v>
      </c>
      <c r="K768" s="1">
        <v>489729.20339992992</v>
      </c>
      <c r="L768" s="1">
        <v>489729.20339992992</v>
      </c>
      <c r="M768" s="1">
        <v>298289.60570722993</v>
      </c>
      <c r="N768" s="1">
        <v>298289.60570722993</v>
      </c>
      <c r="O768" s="1">
        <v>248574.67142269161</v>
      </c>
      <c r="P768" s="1">
        <v>248574.67142269161</v>
      </c>
      <c r="Q768" s="1">
        <v>348004.53999176825</v>
      </c>
      <c r="R768" s="1">
        <v>348004.53999176825</v>
      </c>
      <c r="S768" s="1">
        <v>348004.53999176825</v>
      </c>
      <c r="T768" s="1">
        <v>348004.53999176825</v>
      </c>
      <c r="U768" s="1">
        <v>348004.53999176825</v>
      </c>
      <c r="V768" s="1">
        <v>348004.53999176825</v>
      </c>
      <c r="W768" s="4">
        <f t="shared" si="24"/>
        <v>3451848.8700249596</v>
      </c>
      <c r="X768" s="4">
        <f t="shared" si="24"/>
        <v>3451848.8700249596</v>
      </c>
      <c r="Y768" s="5">
        <f t="shared" si="23"/>
        <v>0.58149999999999991</v>
      </c>
    </row>
    <row r="769" spans="1:25" x14ac:dyDescent="0.25">
      <c r="A769" s="1" t="s">
        <v>113</v>
      </c>
      <c r="B769" s="1" t="s">
        <v>53</v>
      </c>
      <c r="C769" s="1" t="s">
        <v>30</v>
      </c>
      <c r="D769" s="1">
        <v>10489132.514602674</v>
      </c>
      <c r="E769" s="1">
        <v>692282.74596377648</v>
      </c>
      <c r="F769" s="1">
        <v>692282.74596377648</v>
      </c>
      <c r="G769" s="1">
        <v>865353.43245472061</v>
      </c>
      <c r="H769" s="1">
        <v>865353.43245472061</v>
      </c>
      <c r="I769" s="1">
        <v>865353.43245472061</v>
      </c>
      <c r="J769" s="1">
        <v>865353.43245472061</v>
      </c>
      <c r="K769" s="1">
        <v>865353.43245472061</v>
      </c>
      <c r="L769" s="1">
        <v>865353.43245472061</v>
      </c>
      <c r="M769" s="1">
        <v>527078.90885878436</v>
      </c>
      <c r="N769" s="1">
        <v>527078.90885878436</v>
      </c>
      <c r="O769" s="1">
        <v>439232.42404898698</v>
      </c>
      <c r="P769" s="1">
        <v>439232.42404898698</v>
      </c>
      <c r="Q769" s="1">
        <v>614925.39366858173</v>
      </c>
      <c r="R769" s="1">
        <v>614925.39366858173</v>
      </c>
      <c r="S769" s="1">
        <v>614925.39366858173</v>
      </c>
      <c r="T769" s="1">
        <v>614925.39366858173</v>
      </c>
      <c r="U769" s="1">
        <v>614925.39366858173</v>
      </c>
      <c r="V769" s="1">
        <v>614925.39366858173</v>
      </c>
      <c r="W769" s="4">
        <f t="shared" si="24"/>
        <v>6099430.5572414547</v>
      </c>
      <c r="X769" s="4">
        <f t="shared" si="24"/>
        <v>6099430.5572414547</v>
      </c>
      <c r="Y769" s="5">
        <f t="shared" si="23"/>
        <v>0.58150000000000002</v>
      </c>
    </row>
    <row r="770" spans="1:25" x14ac:dyDescent="0.25">
      <c r="A770" s="1" t="s">
        <v>113</v>
      </c>
      <c r="B770" s="1" t="s">
        <v>74</v>
      </c>
      <c r="C770" s="1" t="s">
        <v>75</v>
      </c>
      <c r="D770" s="1">
        <v>2781796.8932646206</v>
      </c>
      <c r="E770" s="1">
        <v>183598.59495546497</v>
      </c>
      <c r="F770" s="1">
        <v>183598.59495546497</v>
      </c>
      <c r="G770" s="1">
        <v>229498.24369433121</v>
      </c>
      <c r="H770" s="1">
        <v>229498.24369433121</v>
      </c>
      <c r="I770" s="1">
        <v>229498.24369433121</v>
      </c>
      <c r="J770" s="1">
        <v>229498.24369433121</v>
      </c>
      <c r="K770" s="1">
        <v>229498.24369433121</v>
      </c>
      <c r="L770" s="1">
        <v>229498.24369433121</v>
      </c>
      <c r="M770" s="1">
        <v>139785.29388654718</v>
      </c>
      <c r="N770" s="1">
        <v>139785.29388654718</v>
      </c>
      <c r="O770" s="1">
        <v>116487.74490545598</v>
      </c>
      <c r="P770" s="1">
        <v>116487.74490545598</v>
      </c>
      <c r="Q770" s="1">
        <v>163082.84286763836</v>
      </c>
      <c r="R770" s="1">
        <v>163082.84286763836</v>
      </c>
      <c r="S770" s="1">
        <v>163082.84286763836</v>
      </c>
      <c r="T770" s="1">
        <v>163082.84286763836</v>
      </c>
      <c r="U770" s="1">
        <v>163082.84286763836</v>
      </c>
      <c r="V770" s="1">
        <v>163082.84286763836</v>
      </c>
      <c r="W770" s="4">
        <f t="shared" si="24"/>
        <v>1617614.8934333771</v>
      </c>
      <c r="X770" s="4">
        <f t="shared" si="24"/>
        <v>1617614.8934333771</v>
      </c>
      <c r="Y770" s="5">
        <f t="shared" si="23"/>
        <v>0.58150000000000013</v>
      </c>
    </row>
    <row r="771" spans="1:25" x14ac:dyDescent="0.25">
      <c r="A771" s="1" t="s">
        <v>113</v>
      </c>
      <c r="B771" s="1" t="s">
        <v>50</v>
      </c>
      <c r="C771" s="1" t="s">
        <v>25</v>
      </c>
      <c r="D771" s="1">
        <v>6232917.1341809239</v>
      </c>
      <c r="E771" s="1">
        <v>411372.530855941</v>
      </c>
      <c r="F771" s="1">
        <v>411372.530855941</v>
      </c>
      <c r="G771" s="1">
        <v>514215.66356992623</v>
      </c>
      <c r="H771" s="1">
        <v>514215.66356992623</v>
      </c>
      <c r="I771" s="1">
        <v>514215.66356992623</v>
      </c>
      <c r="J771" s="1">
        <v>514215.66356992623</v>
      </c>
      <c r="K771" s="1">
        <v>514215.66356992623</v>
      </c>
      <c r="L771" s="1">
        <v>514215.66356992623</v>
      </c>
      <c r="M771" s="1">
        <v>313204.0859925914</v>
      </c>
      <c r="N771" s="1">
        <v>313204.0859925914</v>
      </c>
      <c r="O771" s="1">
        <v>261003.40499382617</v>
      </c>
      <c r="P771" s="1">
        <v>261003.40499382617</v>
      </c>
      <c r="Q771" s="1">
        <v>365404.76699135662</v>
      </c>
      <c r="R771" s="1">
        <v>365404.76699135662</v>
      </c>
      <c r="S771" s="1">
        <v>365404.76699135662</v>
      </c>
      <c r="T771" s="1">
        <v>365404.76699135662</v>
      </c>
      <c r="U771" s="1">
        <v>365404.76699135662</v>
      </c>
      <c r="V771" s="1">
        <v>365404.76699135662</v>
      </c>
      <c r="W771" s="4">
        <f t="shared" si="24"/>
        <v>3624441.3135262076</v>
      </c>
      <c r="X771" s="4">
        <f t="shared" si="24"/>
        <v>3624441.3135262076</v>
      </c>
      <c r="Y771" s="5">
        <f t="shared" ref="Y771" si="25">X771/D771</f>
        <v>0.58150000000000002</v>
      </c>
    </row>
  </sheetData>
  <autoFilter ref="A1:Y77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Sheet3</vt:lpstr>
      <vt:lpstr>Sheet5</vt:lpstr>
      <vt:lpstr>April Funding Publication</vt:lpstr>
      <vt:lpstr>Sheet1 (2)</vt:lpstr>
      <vt:lpstr>'April Funding Publication'!Print_Area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2020-04-03T08:04:23Z</cp:lastPrinted>
  <dcterms:created xsi:type="dcterms:W3CDTF">2020-03-14T10:31:01Z</dcterms:created>
  <dcterms:modified xsi:type="dcterms:W3CDTF">2020-04-24T05:58:12Z</dcterms:modified>
</cp:coreProperties>
</file>